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mailcarletonca-my.sharepoint.com/personal/ahmedabdulla3_cunet_carleton_ca/Documents/Graduate Research/David MacKay/1 Optimizing Hydrogen Microgrids/Results (FinalV2)/Models/SI/"/>
    </mc:Choice>
  </mc:AlternateContent>
  <xr:revisionPtr revIDLastSave="0" documentId="8_{7303699A-08B1-4C48-94A5-36C3D02B2341}" xr6:coauthVersionLast="47" xr6:coauthVersionMax="47" xr10:uidLastSave="{00000000-0000-0000-0000-000000000000}"/>
  <bookViews>
    <workbookView xWindow="28695" yWindow="-16320" windowWidth="29040" windowHeight="16440" activeTab="8" xr2:uid="{00000000-000D-0000-FFFF-FFFF00000000}"/>
  </bookViews>
  <sheets>
    <sheet name="Arctic Bay" sheetId="1" r:id="rId1"/>
    <sheet name="Aupaluk" sheetId="2" r:id="rId2"/>
    <sheet name="Beaver Creek" sheetId="3" r:id="rId3"/>
    <sheet name="Brochet" sheetId="4" r:id="rId4"/>
    <sheet name="Fort Chipewyan" sheetId="5" r:id="rId5"/>
    <sheet name="Fort Good Hope" sheetId="6" r:id="rId6"/>
    <sheet name="Fort McPherson" sheetId="7" r:id="rId7"/>
    <sheet name="Fort Simpson" sheetId="8" r:id="rId8"/>
    <sheet name="Francois" sheetId="9" r:id="rId9"/>
    <sheet name="Inukjuak" sheetId="10" r:id="rId10"/>
    <sheet name="Iqaluit" sheetId="11" r:id="rId11"/>
    <sheet name="Kangiqsualujjuaq" sheetId="12" r:id="rId12"/>
    <sheet name="Kangiqsujuaq" sheetId="13" r:id="rId13"/>
    <sheet name="Keewaywin" sheetId="14" r:id="rId14"/>
    <sheet name="Kingfisher Lake" sheetId="15" r:id="rId15"/>
    <sheet name="Kuujjuaq" sheetId="16" r:id="rId16"/>
    <sheet name="Kwadacha" sheetId="17" r:id="rId17"/>
    <sheet name="Makkovik" sheetId="18" r:id="rId18"/>
    <sheet name="Natuashish" sheetId="19" r:id="rId19"/>
    <sheet name="Naujaat" sheetId="20" r:id="rId20"/>
    <sheet name="Old Crow" sheetId="21" r:id="rId21"/>
    <sheet name="Old Masset" sheetId="22" r:id="rId22"/>
    <sheet name="Peawanuck" sheetId="23" r:id="rId23"/>
    <sheet name="Pond Inlet" sheetId="24" r:id="rId24"/>
    <sheet name="Port Clements" sheetId="25" r:id="rId25"/>
    <sheet name="Port Hope Simpson" sheetId="26" r:id="rId26"/>
    <sheet name="Ramea" sheetId="27" r:id="rId27"/>
    <sheet name="Rankin Inlet" sheetId="28" r:id="rId28"/>
    <sheet name="Resolute Bay" sheetId="29" r:id="rId29"/>
    <sheet name="Shamattawa" sheetId="30" r:id="rId30"/>
    <sheet name="Tadoule Lake" sheetId="31" r:id="rId31"/>
    <sheet name="Tsiigehtchic" sheetId="32" r:id="rId32"/>
    <sheet name="Umiujaq" sheetId="33" r:id="rId33"/>
    <sheet name="Watson Lake" sheetId="34" r:id="rId34"/>
    <sheet name="Weagamow Lake" sheetId="35" r:id="rId35"/>
    <sheet name="Whati" sheetId="36" r:id="rId36"/>
    <sheet name="Wrigley" sheetId="37" r:id="rId3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3" i="2" l="1"/>
  <c r="F23" i="3"/>
  <c r="F23" i="4"/>
  <c r="F23" i="5"/>
  <c r="F23" i="6"/>
  <c r="F23" i="7"/>
  <c r="F23" i="8"/>
  <c r="F23" i="9"/>
  <c r="F23" i="10"/>
  <c r="F23" i="11"/>
  <c r="F23" i="12"/>
  <c r="F23" i="13"/>
  <c r="F23" i="14"/>
  <c r="F23" i="15"/>
  <c r="F23" i="16"/>
  <c r="F23" i="17"/>
  <c r="F23" i="18"/>
  <c r="F23" i="19"/>
  <c r="F23" i="20"/>
  <c r="F23" i="21"/>
  <c r="F23" i="22"/>
  <c r="F23" i="23"/>
  <c r="F23" i="24"/>
  <c r="F23" i="25"/>
  <c r="F23" i="26"/>
  <c r="F23" i="27"/>
  <c r="F23" i="28"/>
  <c r="F23" i="29"/>
  <c r="F23" i="30"/>
  <c r="F23" i="31"/>
  <c r="F23" i="32"/>
  <c r="F23" i="33"/>
  <c r="F23" i="34"/>
  <c r="F23" i="35"/>
  <c r="F23" i="36"/>
  <c r="F23" i="37"/>
  <c r="F23" i="1"/>
  <c r="E8" i="2"/>
  <c r="E8" i="3"/>
  <c r="E8" i="4"/>
  <c r="E8" i="5"/>
  <c r="E8" i="6"/>
  <c r="E8" i="7"/>
  <c r="E8" i="8"/>
  <c r="E8" i="9"/>
  <c r="E8" i="10"/>
  <c r="E8" i="11"/>
  <c r="E8" i="12"/>
  <c r="E8" i="13"/>
  <c r="E8" i="14"/>
  <c r="E8" i="15"/>
  <c r="E8" i="16"/>
  <c r="E8" i="17"/>
  <c r="E8" i="18"/>
  <c r="E8" i="19"/>
  <c r="E8" i="20"/>
  <c r="E8" i="21"/>
  <c r="E8" i="22"/>
  <c r="E8" i="23"/>
  <c r="E8" i="24"/>
  <c r="E8" i="25"/>
  <c r="E8" i="26"/>
  <c r="E8" i="27"/>
  <c r="E8" i="28"/>
  <c r="E8" i="29"/>
  <c r="E8" i="30"/>
  <c r="E8" i="31"/>
  <c r="E8" i="32"/>
  <c r="E8" i="33"/>
  <c r="E8" i="34"/>
  <c r="E8" i="35"/>
  <c r="E8" i="36"/>
  <c r="E8" i="37"/>
  <c r="E8" i="1"/>
  <c r="E13" i="2"/>
  <c r="E13" i="3"/>
  <c r="E13" i="4"/>
  <c r="E13" i="5"/>
  <c r="E13" i="6"/>
  <c r="E13" i="7"/>
  <c r="E13" i="8"/>
  <c r="E13" i="9"/>
  <c r="E13" i="10"/>
  <c r="E13" i="11"/>
  <c r="E13" i="12"/>
  <c r="E13" i="13"/>
  <c r="E13" i="14"/>
  <c r="E13" i="15"/>
  <c r="E13" i="16"/>
  <c r="E13" i="17"/>
  <c r="E13" i="18"/>
  <c r="E13" i="19"/>
  <c r="E13" i="20"/>
  <c r="E13" i="21"/>
  <c r="E13" i="22"/>
  <c r="E13" i="23"/>
  <c r="E13" i="24"/>
  <c r="E13" i="25"/>
  <c r="E13" i="26"/>
  <c r="E13" i="27"/>
  <c r="E13" i="28"/>
  <c r="E13" i="29"/>
  <c r="E13" i="30"/>
  <c r="E13" i="31"/>
  <c r="E13" i="32"/>
  <c r="E13" i="33"/>
  <c r="E13" i="34"/>
  <c r="E13" i="35"/>
  <c r="E13" i="36"/>
  <c r="E13" i="37"/>
  <c r="E13" i="1"/>
  <c r="E17" i="2"/>
  <c r="E17" i="3"/>
  <c r="E17" i="4"/>
  <c r="E17" i="5"/>
  <c r="E17" i="6"/>
  <c r="E17" i="7"/>
  <c r="E17" i="8"/>
  <c r="E17" i="9"/>
  <c r="E17" i="10"/>
  <c r="E17" i="11"/>
  <c r="E17" i="12"/>
  <c r="E17" i="13"/>
  <c r="E17" i="14"/>
  <c r="E17" i="15"/>
  <c r="E17" i="16"/>
  <c r="E17" i="17"/>
  <c r="E17" i="18"/>
  <c r="E17" i="19"/>
  <c r="E17" i="20"/>
  <c r="E17" i="21"/>
  <c r="E17" i="22"/>
  <c r="E17" i="23"/>
  <c r="E17" i="24"/>
  <c r="E17" i="25"/>
  <c r="E17" i="26"/>
  <c r="E17" i="27"/>
  <c r="E17" i="28"/>
  <c r="E17" i="29"/>
  <c r="E17" i="30"/>
  <c r="E17" i="31"/>
  <c r="E17" i="32"/>
  <c r="E17" i="33"/>
  <c r="E17" i="34"/>
  <c r="E17" i="35"/>
  <c r="E17" i="36"/>
  <c r="E17" i="37"/>
  <c r="E17" i="1"/>
  <c r="E19" i="2"/>
  <c r="E19" i="3"/>
  <c r="E19" i="4"/>
  <c r="E19" i="5"/>
  <c r="E19" i="6"/>
  <c r="E19" i="7"/>
  <c r="E19" i="8"/>
  <c r="E19" i="9"/>
  <c r="E19" i="10"/>
  <c r="E19" i="11"/>
  <c r="E19" i="12"/>
  <c r="E19" i="13"/>
  <c r="E19" i="14"/>
  <c r="E19" i="15"/>
  <c r="E19" i="16"/>
  <c r="E19" i="17"/>
  <c r="E19" i="18"/>
  <c r="E19" i="19"/>
  <c r="E19" i="20"/>
  <c r="E19" i="21"/>
  <c r="E19" i="22"/>
  <c r="E19" i="23"/>
  <c r="E19" i="24"/>
  <c r="E19" i="25"/>
  <c r="E19" i="26"/>
  <c r="E19" i="27"/>
  <c r="E19" i="28"/>
  <c r="E19" i="29"/>
  <c r="E19" i="30"/>
  <c r="E19" i="31"/>
  <c r="E19" i="32"/>
  <c r="E19" i="33"/>
  <c r="E19" i="34"/>
  <c r="E19" i="35"/>
  <c r="E19" i="36"/>
  <c r="E19" i="37"/>
  <c r="E19" i="1"/>
  <c r="E21" i="2"/>
  <c r="E21" i="3"/>
  <c r="E21" i="4"/>
  <c r="E21" i="5"/>
  <c r="E21" i="6"/>
  <c r="E21" i="7"/>
  <c r="E21" i="8"/>
  <c r="E21" i="9"/>
  <c r="E21" i="10"/>
  <c r="E21" i="11"/>
  <c r="E21" i="12"/>
  <c r="E21" i="13"/>
  <c r="E21" i="14"/>
  <c r="E21" i="15"/>
  <c r="E21" i="16"/>
  <c r="E21" i="17"/>
  <c r="E21" i="18"/>
  <c r="E21" i="19"/>
  <c r="E21" i="20"/>
  <c r="E21" i="21"/>
  <c r="E21" i="22"/>
  <c r="E21" i="23"/>
  <c r="E21" i="24"/>
  <c r="E21" i="25"/>
  <c r="E21" i="26"/>
  <c r="E21" i="27"/>
  <c r="E21" i="28"/>
  <c r="E21" i="29"/>
  <c r="E21" i="30"/>
  <c r="E21" i="31"/>
  <c r="E21" i="32"/>
  <c r="E21" i="33"/>
  <c r="E21" i="34"/>
  <c r="E21" i="35"/>
  <c r="E21" i="36"/>
  <c r="E21" i="37"/>
  <c r="E21" i="1"/>
  <c r="C23" i="2"/>
  <c r="C23" i="3"/>
  <c r="C23" i="4"/>
  <c r="C23" i="5"/>
  <c r="C23" i="6"/>
  <c r="C23" i="7"/>
  <c r="C23" i="8"/>
  <c r="C23" i="9"/>
  <c r="C23" i="10"/>
  <c r="C23" i="11"/>
  <c r="C23" i="12"/>
  <c r="C23" i="13"/>
  <c r="C23" i="14"/>
  <c r="C23" i="15"/>
  <c r="C23" i="16"/>
  <c r="C23" i="17"/>
  <c r="C23" i="18"/>
  <c r="C23" i="19"/>
  <c r="C23" i="20"/>
  <c r="C23" i="21"/>
  <c r="C23" i="22"/>
  <c r="C23" i="23"/>
  <c r="C23" i="24"/>
  <c r="C23" i="25"/>
  <c r="C23" i="26"/>
  <c r="C23" i="27"/>
  <c r="C23" i="28"/>
  <c r="C23" i="29"/>
  <c r="C23" i="30"/>
  <c r="C23" i="31"/>
  <c r="C23" i="32"/>
  <c r="C23" i="33"/>
  <c r="C23" i="34"/>
  <c r="C23" i="35"/>
  <c r="C23" i="36"/>
  <c r="C23" i="37"/>
  <c r="C23" i="1"/>
  <c r="E23" i="2"/>
  <c r="E23" i="3"/>
  <c r="E23" i="4"/>
  <c r="E23" i="5"/>
  <c r="E23" i="6"/>
  <c r="E23" i="7"/>
  <c r="E23" i="8"/>
  <c r="E23" i="9"/>
  <c r="E23" i="10"/>
  <c r="E23" i="11"/>
  <c r="E23" i="12"/>
  <c r="E23" i="13"/>
  <c r="E23" i="14"/>
  <c r="E23" i="15"/>
  <c r="E23" i="16"/>
  <c r="E23" i="17"/>
  <c r="E23" i="18"/>
  <c r="E23" i="19"/>
  <c r="E23" i="20"/>
  <c r="E23" i="21"/>
  <c r="E23" i="22"/>
  <c r="E23" i="23"/>
  <c r="E23" i="24"/>
  <c r="E23" i="25"/>
  <c r="E23" i="26"/>
  <c r="E23" i="27"/>
  <c r="E23" i="28"/>
  <c r="E23" i="29"/>
  <c r="E23" i="30"/>
  <c r="E23" i="31"/>
  <c r="E23" i="32"/>
  <c r="E23" i="33"/>
  <c r="E23" i="34"/>
  <c r="E23" i="35"/>
  <c r="E23" i="36"/>
  <c r="E23" i="37"/>
  <c r="E23" i="1"/>
  <c r="D23" i="2"/>
  <c r="D23" i="3"/>
  <c r="D23" i="4"/>
  <c r="D23" i="5"/>
  <c r="D23" i="6"/>
  <c r="D23" i="7"/>
  <c r="D23" i="8"/>
  <c r="D23" i="9"/>
  <c r="D23" i="10"/>
  <c r="D23" i="11"/>
  <c r="D23" i="12"/>
  <c r="D23" i="13"/>
  <c r="D23" i="14"/>
  <c r="D23" i="15"/>
  <c r="D23" i="16"/>
  <c r="D23" i="17"/>
  <c r="D23" i="18"/>
  <c r="D23" i="19"/>
  <c r="D23" i="20"/>
  <c r="D23" i="21"/>
  <c r="D23" i="22"/>
  <c r="D23" i="23"/>
  <c r="D23" i="24"/>
  <c r="D23" i="25"/>
  <c r="D23" i="26"/>
  <c r="D23" i="27"/>
  <c r="D23" i="28"/>
  <c r="D23" i="29"/>
  <c r="D23" i="30"/>
  <c r="D23" i="31"/>
  <c r="D23" i="32"/>
  <c r="D23" i="33"/>
  <c r="D23" i="34"/>
  <c r="D23" i="35"/>
  <c r="D23" i="36"/>
  <c r="D23" i="37"/>
  <c r="D23" i="1"/>
  <c r="C19" i="2"/>
  <c r="C19" i="3"/>
  <c r="C19" i="4"/>
  <c r="C19" i="5"/>
  <c r="C19" i="6"/>
  <c r="C19" i="7"/>
  <c r="C19" i="8"/>
  <c r="C19" i="9"/>
  <c r="C19" i="10"/>
  <c r="C19" i="11"/>
  <c r="C19" i="12"/>
  <c r="C19" i="13"/>
  <c r="C19" i="14"/>
  <c r="C19" i="15"/>
  <c r="C19" i="16"/>
  <c r="C19" i="17"/>
  <c r="C19" i="18"/>
  <c r="C19" i="19"/>
  <c r="C19" i="20"/>
  <c r="C19" i="21"/>
  <c r="C19" i="22"/>
  <c r="C19" i="23"/>
  <c r="C19" i="24"/>
  <c r="C19" i="25"/>
  <c r="C19" i="26"/>
  <c r="C19" i="27"/>
  <c r="C19" i="28"/>
  <c r="C19" i="29"/>
  <c r="C19" i="30"/>
  <c r="C19" i="31"/>
  <c r="C19" i="32"/>
  <c r="C19" i="33"/>
  <c r="C19" i="34"/>
  <c r="C19" i="35"/>
  <c r="C19" i="36"/>
  <c r="C19" i="37"/>
  <c r="C19" i="1"/>
  <c r="K23" i="5"/>
  <c r="L23" i="5" s="1"/>
  <c r="K23" i="6"/>
  <c r="L23" i="6" s="1"/>
  <c r="K23" i="14"/>
  <c r="L23" i="14" s="1"/>
  <c r="K23" i="15"/>
  <c r="H64" i="15" s="1"/>
  <c r="K23" i="30"/>
  <c r="L23" i="30" s="1"/>
  <c r="J23" i="1"/>
  <c r="J23" i="3"/>
  <c r="J23" i="4"/>
  <c r="J23" i="5"/>
  <c r="J23" i="6"/>
  <c r="J23" i="7"/>
  <c r="J23" i="8"/>
  <c r="J23" i="9"/>
  <c r="J23" i="10"/>
  <c r="J23" i="11"/>
  <c r="J23" i="12"/>
  <c r="J23" i="13"/>
  <c r="J23" i="14"/>
  <c r="J23" i="15"/>
  <c r="J23" i="16"/>
  <c r="J23" i="17"/>
  <c r="J23" i="18"/>
  <c r="J23" i="19"/>
  <c r="J23" i="20"/>
  <c r="J23" i="21"/>
  <c r="J23" i="22"/>
  <c r="J23" i="23"/>
  <c r="J23" i="24"/>
  <c r="J23" i="25"/>
  <c r="J23" i="26"/>
  <c r="J23" i="27"/>
  <c r="J23" i="28"/>
  <c r="J23" i="29"/>
  <c r="J23" i="30"/>
  <c r="J23" i="31"/>
  <c r="J23" i="32"/>
  <c r="J23" i="33"/>
  <c r="J23" i="34"/>
  <c r="J23" i="35"/>
  <c r="J23" i="36"/>
  <c r="J23" i="37"/>
  <c r="J23" i="2"/>
  <c r="I23" i="3"/>
  <c r="I23" i="5"/>
  <c r="I23" i="7"/>
  <c r="I23" i="11"/>
  <c r="I23" i="13"/>
  <c r="I23" i="14"/>
  <c r="I23" i="15"/>
  <c r="I23" i="20"/>
  <c r="I23" i="22"/>
  <c r="I23" i="23"/>
  <c r="I23" i="25"/>
  <c r="I23" i="26"/>
  <c r="I23" i="31"/>
  <c r="I23" i="34"/>
  <c r="I23" i="37"/>
  <c r="B64" i="14"/>
  <c r="B64" i="18"/>
  <c r="B64" i="2"/>
  <c r="C21" i="1"/>
  <c r="C21" i="3"/>
  <c r="C21" i="4"/>
  <c r="C21" i="5"/>
  <c r="C21" i="6"/>
  <c r="C21" i="7"/>
  <c r="C21" i="8"/>
  <c r="C21" i="9"/>
  <c r="C21" i="10"/>
  <c r="C21" i="11"/>
  <c r="C21" i="12"/>
  <c r="C21" i="13"/>
  <c r="C21" i="14"/>
  <c r="C21" i="15"/>
  <c r="C21" i="16"/>
  <c r="C21" i="17"/>
  <c r="C21" i="18"/>
  <c r="C21" i="19"/>
  <c r="C21" i="20"/>
  <c r="C21" i="21"/>
  <c r="C21" i="22"/>
  <c r="C21" i="23"/>
  <c r="C21" i="24"/>
  <c r="C21" i="25"/>
  <c r="C21" i="26"/>
  <c r="C21" i="27"/>
  <c r="C21" i="28"/>
  <c r="C21" i="29"/>
  <c r="C21" i="30"/>
  <c r="C21" i="31"/>
  <c r="C21" i="32"/>
  <c r="C21" i="33"/>
  <c r="C21" i="34"/>
  <c r="C21" i="35"/>
  <c r="C21" i="36"/>
  <c r="C21" i="37"/>
  <c r="C21" i="2"/>
  <c r="E9" i="1"/>
  <c r="E9" i="3"/>
  <c r="E9" i="4"/>
  <c r="E9" i="5"/>
  <c r="E9" i="6"/>
  <c r="E9" i="7"/>
  <c r="E9" i="8"/>
  <c r="E9" i="9"/>
  <c r="E9" i="10"/>
  <c r="E9" i="11"/>
  <c r="E9" i="12"/>
  <c r="E9" i="13"/>
  <c r="E9" i="14"/>
  <c r="E9" i="15"/>
  <c r="E9" i="16"/>
  <c r="E9" i="17"/>
  <c r="E9" i="18"/>
  <c r="E9" i="19"/>
  <c r="E9" i="20"/>
  <c r="E9" i="21"/>
  <c r="E9" i="22"/>
  <c r="E9" i="23"/>
  <c r="E9" i="24"/>
  <c r="E9" i="25"/>
  <c r="E9" i="26"/>
  <c r="E9" i="27"/>
  <c r="E9" i="28"/>
  <c r="E9" i="29"/>
  <c r="E9" i="30"/>
  <c r="E9" i="31"/>
  <c r="E9" i="32"/>
  <c r="E9" i="33"/>
  <c r="E9" i="34"/>
  <c r="E9" i="35"/>
  <c r="E9" i="36"/>
  <c r="E9" i="37"/>
  <c r="E9" i="2"/>
  <c r="C11" i="1"/>
  <c r="C11" i="3"/>
  <c r="C11" i="4"/>
  <c r="C11" i="5"/>
  <c r="C11" i="6"/>
  <c r="C11" i="7"/>
  <c r="C11" i="8"/>
  <c r="C11" i="9"/>
  <c r="C11" i="10"/>
  <c r="C11" i="11"/>
  <c r="C11" i="12"/>
  <c r="C11" i="13"/>
  <c r="C11" i="14"/>
  <c r="C11" i="15"/>
  <c r="C11" i="16"/>
  <c r="C11" i="17"/>
  <c r="C11" i="18"/>
  <c r="C11" i="19"/>
  <c r="C11" i="20"/>
  <c r="C11" i="21"/>
  <c r="C11" i="22"/>
  <c r="C11" i="23"/>
  <c r="C11" i="24"/>
  <c r="C11" i="25"/>
  <c r="C11" i="26"/>
  <c r="C11" i="27"/>
  <c r="C11" i="28"/>
  <c r="C11" i="29"/>
  <c r="C11" i="30"/>
  <c r="C11" i="31"/>
  <c r="C11" i="32"/>
  <c r="C11" i="33"/>
  <c r="C11" i="34"/>
  <c r="C11" i="35"/>
  <c r="C11" i="36"/>
  <c r="C11" i="37"/>
  <c r="C11" i="2"/>
  <c r="C10" i="1"/>
  <c r="C10" i="3"/>
  <c r="C10" i="4"/>
  <c r="C10" i="5"/>
  <c r="C10" i="6"/>
  <c r="C10" i="7"/>
  <c r="C10" i="8"/>
  <c r="C10" i="9"/>
  <c r="C10" i="10"/>
  <c r="C10" i="11"/>
  <c r="C10" i="12"/>
  <c r="C10" i="13"/>
  <c r="C10" i="14"/>
  <c r="C10" i="15"/>
  <c r="C10" i="16"/>
  <c r="C10" i="17"/>
  <c r="C10" i="18"/>
  <c r="C10" i="19"/>
  <c r="C10" i="20"/>
  <c r="C10" i="21"/>
  <c r="C10" i="22"/>
  <c r="C10" i="23"/>
  <c r="C10" i="24"/>
  <c r="C10" i="25"/>
  <c r="C10" i="26"/>
  <c r="C10" i="27"/>
  <c r="C10" i="28"/>
  <c r="C10" i="29"/>
  <c r="C10" i="30"/>
  <c r="C10" i="31"/>
  <c r="C10" i="32"/>
  <c r="C10" i="33"/>
  <c r="C10" i="34"/>
  <c r="C10" i="35"/>
  <c r="C10" i="36"/>
  <c r="C10" i="37"/>
  <c r="C10" i="2"/>
  <c r="C9" i="1"/>
  <c r="C9" i="3"/>
  <c r="C9" i="4"/>
  <c r="C9" i="5"/>
  <c r="C9" i="6"/>
  <c r="C9" i="7"/>
  <c r="C9" i="8"/>
  <c r="C9" i="9"/>
  <c r="C9" i="10"/>
  <c r="C9" i="11"/>
  <c r="C9" i="12"/>
  <c r="C9" i="13"/>
  <c r="C9" i="14"/>
  <c r="C9" i="15"/>
  <c r="C9" i="16"/>
  <c r="C9" i="17"/>
  <c r="C9" i="18"/>
  <c r="C9" i="19"/>
  <c r="C9" i="20"/>
  <c r="C9" i="21"/>
  <c r="C9" i="22"/>
  <c r="C9" i="23"/>
  <c r="C9" i="24"/>
  <c r="C9" i="25"/>
  <c r="C9" i="26"/>
  <c r="C9" i="27"/>
  <c r="C9" i="28"/>
  <c r="C9" i="29"/>
  <c r="C9" i="30"/>
  <c r="C9" i="31"/>
  <c r="C9" i="32"/>
  <c r="C9" i="33"/>
  <c r="C9" i="34"/>
  <c r="C9" i="35"/>
  <c r="C9" i="36"/>
  <c r="C9" i="37"/>
  <c r="C9" i="2"/>
  <c r="C8" i="1"/>
  <c r="C8" i="3"/>
  <c r="C8" i="4"/>
  <c r="C8" i="5"/>
  <c r="C8" i="6"/>
  <c r="C8" i="7"/>
  <c r="C8" i="8"/>
  <c r="C8" i="9"/>
  <c r="C8" i="10"/>
  <c r="C8" i="11"/>
  <c r="C8" i="12"/>
  <c r="C8" i="13"/>
  <c r="C8" i="14"/>
  <c r="C8" i="15"/>
  <c r="C8" i="16"/>
  <c r="C8" i="17"/>
  <c r="C8" i="18"/>
  <c r="C8" i="19"/>
  <c r="C8" i="20"/>
  <c r="C8" i="21"/>
  <c r="C8" i="22"/>
  <c r="C8" i="23"/>
  <c r="C8" i="24"/>
  <c r="C8" i="25"/>
  <c r="C8" i="26"/>
  <c r="C8" i="27"/>
  <c r="C8" i="28"/>
  <c r="C8" i="29"/>
  <c r="C8" i="30"/>
  <c r="C8" i="31"/>
  <c r="C8" i="32"/>
  <c r="C8" i="33"/>
  <c r="C8" i="34"/>
  <c r="C8" i="35"/>
  <c r="C8" i="36"/>
  <c r="C8" i="37"/>
  <c r="C8" i="2"/>
  <c r="I10" i="1"/>
  <c r="I10" i="3"/>
  <c r="I10" i="4"/>
  <c r="I10" i="5"/>
  <c r="I10" i="6"/>
  <c r="I10" i="7"/>
  <c r="I10" i="8"/>
  <c r="I10" i="9"/>
  <c r="I10" i="10"/>
  <c r="I10" i="11"/>
  <c r="I10" i="12"/>
  <c r="I10" i="13"/>
  <c r="I10" i="14"/>
  <c r="I10" i="15"/>
  <c r="I10" i="16"/>
  <c r="I10" i="17"/>
  <c r="I10" i="18"/>
  <c r="I10" i="19"/>
  <c r="I10" i="20"/>
  <c r="I10" i="21"/>
  <c r="I10" i="22"/>
  <c r="I10" i="23"/>
  <c r="I10" i="24"/>
  <c r="I10" i="25"/>
  <c r="I10" i="26"/>
  <c r="I10" i="27"/>
  <c r="I10" i="28"/>
  <c r="I10" i="29"/>
  <c r="I10" i="30"/>
  <c r="I10" i="31"/>
  <c r="I10" i="32"/>
  <c r="I10" i="33"/>
  <c r="I10" i="34"/>
  <c r="I10" i="35"/>
  <c r="I10" i="36"/>
  <c r="I10" i="37"/>
  <c r="I10" i="2"/>
  <c r="I9" i="1"/>
  <c r="I11" i="1"/>
  <c r="I9" i="3"/>
  <c r="I11" i="3"/>
  <c r="I9" i="4"/>
  <c r="I11" i="4"/>
  <c r="I9" i="5"/>
  <c r="I11" i="5"/>
  <c r="I9" i="6"/>
  <c r="I11" i="6"/>
  <c r="I9" i="7"/>
  <c r="I11" i="7"/>
  <c r="I9" i="8"/>
  <c r="I11" i="8"/>
  <c r="I9" i="9"/>
  <c r="I11" i="9"/>
  <c r="I9" i="10"/>
  <c r="I11" i="10"/>
  <c r="I9" i="11"/>
  <c r="I11" i="11"/>
  <c r="I9" i="12"/>
  <c r="I11" i="12"/>
  <c r="I9" i="13"/>
  <c r="I11" i="13"/>
  <c r="I9" i="14"/>
  <c r="I11" i="14"/>
  <c r="I9" i="15"/>
  <c r="I11" i="15"/>
  <c r="I9" i="16"/>
  <c r="I11" i="16"/>
  <c r="I9" i="17"/>
  <c r="I11" i="17"/>
  <c r="I9" i="18"/>
  <c r="I11" i="18"/>
  <c r="I9" i="19"/>
  <c r="I11" i="19"/>
  <c r="I9" i="20"/>
  <c r="I11" i="20"/>
  <c r="I9" i="21"/>
  <c r="I11" i="21"/>
  <c r="I9" i="22"/>
  <c r="I11" i="22"/>
  <c r="I9" i="23"/>
  <c r="I11" i="23"/>
  <c r="I9" i="24"/>
  <c r="I11" i="24"/>
  <c r="I9" i="25"/>
  <c r="I11" i="25"/>
  <c r="I9" i="26"/>
  <c r="I11" i="26"/>
  <c r="I9" i="27"/>
  <c r="I11" i="27"/>
  <c r="I9" i="28"/>
  <c r="I11" i="28"/>
  <c r="I9" i="29"/>
  <c r="I11" i="29"/>
  <c r="I9" i="30"/>
  <c r="I11" i="30"/>
  <c r="I9" i="31"/>
  <c r="I11" i="31"/>
  <c r="I9" i="32"/>
  <c r="I11" i="32"/>
  <c r="I9" i="33"/>
  <c r="I11" i="33"/>
  <c r="I9" i="34"/>
  <c r="I11" i="34"/>
  <c r="I9" i="35"/>
  <c r="I11" i="35"/>
  <c r="I9" i="36"/>
  <c r="I11" i="36"/>
  <c r="I9" i="37"/>
  <c r="I11" i="37"/>
  <c r="I9" i="2"/>
  <c r="I11" i="2"/>
  <c r="I8" i="1"/>
  <c r="I8" i="3"/>
  <c r="K8" i="3" s="1"/>
  <c r="I8" i="4"/>
  <c r="I8" i="5"/>
  <c r="K8" i="5" s="1"/>
  <c r="I8" i="6"/>
  <c r="I8" i="7"/>
  <c r="K8" i="7" s="1"/>
  <c r="I8" i="8"/>
  <c r="K8" i="8" s="1"/>
  <c r="I8" i="9"/>
  <c r="K8" i="9" s="1"/>
  <c r="I8" i="10"/>
  <c r="K8" i="10" s="1"/>
  <c r="I8" i="11"/>
  <c r="I8" i="12"/>
  <c r="K8" i="12" s="1"/>
  <c r="I8" i="13"/>
  <c r="K8" i="13" s="1"/>
  <c r="I8" i="14"/>
  <c r="K8" i="14" s="1"/>
  <c r="I8" i="15"/>
  <c r="K8" i="15" s="1"/>
  <c r="I8" i="16"/>
  <c r="K8" i="16" s="1"/>
  <c r="I8" i="17"/>
  <c r="K8" i="17" s="1"/>
  <c r="I8" i="18"/>
  <c r="I8" i="19"/>
  <c r="I8" i="20"/>
  <c r="I8" i="21"/>
  <c r="I8" i="22"/>
  <c r="I8" i="23"/>
  <c r="I8" i="24"/>
  <c r="K8" i="24" s="1"/>
  <c r="I8" i="25"/>
  <c r="K8" i="25" s="1"/>
  <c r="I8" i="26"/>
  <c r="K8" i="26" s="1"/>
  <c r="I8" i="27"/>
  <c r="K8" i="27" s="1"/>
  <c r="I8" i="28"/>
  <c r="K8" i="28" s="1"/>
  <c r="I8" i="29"/>
  <c r="K8" i="29" s="1"/>
  <c r="I8" i="30"/>
  <c r="K8" i="30" s="1"/>
  <c r="I8" i="31"/>
  <c r="K8" i="31" s="1"/>
  <c r="I8" i="32"/>
  <c r="K8" i="32" s="1"/>
  <c r="I8" i="33"/>
  <c r="K8" i="33" s="1"/>
  <c r="I8" i="34"/>
  <c r="I8" i="35"/>
  <c r="I8" i="36"/>
  <c r="I8" i="37"/>
  <c r="I8" i="2"/>
  <c r="K8" i="1"/>
  <c r="K8" i="4"/>
  <c r="K8" i="6"/>
  <c r="K8" i="11"/>
  <c r="K8" i="18"/>
  <c r="K8" i="19"/>
  <c r="K8" i="20"/>
  <c r="K8" i="21"/>
  <c r="K8" i="22"/>
  <c r="K8" i="23"/>
  <c r="K8" i="34"/>
  <c r="K8" i="35"/>
  <c r="K8" i="36"/>
  <c r="K8" i="37"/>
  <c r="K8" i="2"/>
  <c r="J21" i="1"/>
  <c r="J21" i="3"/>
  <c r="J21" i="4"/>
  <c r="J21" i="5"/>
  <c r="J21" i="6"/>
  <c r="J21" i="7"/>
  <c r="J21" i="8"/>
  <c r="J21" i="9"/>
  <c r="J21" i="10"/>
  <c r="J21" i="11"/>
  <c r="J21" i="12"/>
  <c r="J21" i="13"/>
  <c r="J21" i="14"/>
  <c r="J21" i="15"/>
  <c r="J21" i="16"/>
  <c r="J21" i="17"/>
  <c r="J21" i="18"/>
  <c r="J21" i="19"/>
  <c r="J21" i="20"/>
  <c r="J21" i="21"/>
  <c r="J21" i="22"/>
  <c r="J21" i="23"/>
  <c r="J21" i="24"/>
  <c r="J21" i="25"/>
  <c r="J21" i="26"/>
  <c r="J21" i="27"/>
  <c r="J21" i="28"/>
  <c r="J21" i="29"/>
  <c r="J21" i="30"/>
  <c r="J21" i="31"/>
  <c r="J21" i="32"/>
  <c r="J21" i="33"/>
  <c r="J21" i="34"/>
  <c r="J21" i="35"/>
  <c r="J21" i="36"/>
  <c r="J21" i="37"/>
  <c r="J21" i="2"/>
  <c r="I21" i="1"/>
  <c r="I21" i="3"/>
  <c r="I21" i="4"/>
  <c r="I21" i="5"/>
  <c r="I21" i="6"/>
  <c r="I21" i="7"/>
  <c r="I21" i="8"/>
  <c r="I21" i="9"/>
  <c r="I21" i="10"/>
  <c r="I21" i="11"/>
  <c r="I21" i="12"/>
  <c r="I21" i="13"/>
  <c r="I21" i="14"/>
  <c r="I21" i="15"/>
  <c r="I21" i="16"/>
  <c r="I21" i="17"/>
  <c r="I21" i="18"/>
  <c r="I21" i="19"/>
  <c r="I21" i="20"/>
  <c r="I21" i="21"/>
  <c r="I21" i="22"/>
  <c r="I21" i="23"/>
  <c r="I21" i="24"/>
  <c r="I21" i="25"/>
  <c r="I21" i="26"/>
  <c r="I21" i="27"/>
  <c r="I21" i="28"/>
  <c r="I21" i="29"/>
  <c r="I21" i="30"/>
  <c r="I21" i="31"/>
  <c r="I21" i="32"/>
  <c r="I21" i="33"/>
  <c r="I21" i="34"/>
  <c r="I21" i="35"/>
  <c r="I21" i="36"/>
  <c r="I21" i="37"/>
  <c r="I21" i="2"/>
  <c r="K21" i="1"/>
  <c r="L21" i="1" s="1"/>
  <c r="K21" i="3"/>
  <c r="L21" i="3" s="1"/>
  <c r="K21" i="4"/>
  <c r="L21" i="4" s="1"/>
  <c r="K21" i="5"/>
  <c r="L21" i="5" s="1"/>
  <c r="K21" i="6"/>
  <c r="L21" i="6" s="1"/>
  <c r="K21" i="7"/>
  <c r="L21" i="7" s="1"/>
  <c r="K21" i="8"/>
  <c r="L21" i="8" s="1"/>
  <c r="K21" i="9"/>
  <c r="L21" i="9" s="1"/>
  <c r="K21" i="10"/>
  <c r="L21" i="10" s="1"/>
  <c r="K21" i="11"/>
  <c r="L21" i="11" s="1"/>
  <c r="K21" i="12"/>
  <c r="L21" i="12" s="1"/>
  <c r="K21" i="18"/>
  <c r="L21" i="18" s="1"/>
  <c r="K21" i="19"/>
  <c r="L21" i="19" s="1"/>
  <c r="K21" i="20"/>
  <c r="L21" i="20" s="1"/>
  <c r="K21" i="21"/>
  <c r="L21" i="21" s="1"/>
  <c r="K21" i="22"/>
  <c r="L21" i="22" s="1"/>
  <c r="K21" i="23"/>
  <c r="L21" i="23" s="1"/>
  <c r="K21" i="24"/>
  <c r="L21" i="24" s="1"/>
  <c r="K21" i="25"/>
  <c r="L21" i="25" s="1"/>
  <c r="K21" i="26"/>
  <c r="L21" i="26" s="1"/>
  <c r="K21" i="27"/>
  <c r="L21" i="27" s="1"/>
  <c r="K21" i="28"/>
  <c r="L21" i="28" s="1"/>
  <c r="K21" i="34"/>
  <c r="L21" i="34" s="1"/>
  <c r="K21" i="35"/>
  <c r="L21" i="35" s="1"/>
  <c r="K21" i="36"/>
  <c r="L21" i="36" s="1"/>
  <c r="K21" i="37"/>
  <c r="L21" i="37" s="1"/>
  <c r="K21" i="2"/>
  <c r="L21" i="2" s="1"/>
  <c r="D21" i="1"/>
  <c r="D21" i="3"/>
  <c r="D21" i="4"/>
  <c r="D21" i="5"/>
  <c r="D21" i="6"/>
  <c r="D21" i="7"/>
  <c r="D21" i="8"/>
  <c r="D21" i="9"/>
  <c r="D21" i="10"/>
  <c r="D21" i="11"/>
  <c r="D21" i="12"/>
  <c r="D21" i="13"/>
  <c r="D21" i="14"/>
  <c r="D21" i="15"/>
  <c r="D21" i="16"/>
  <c r="D21" i="17"/>
  <c r="D21" i="18"/>
  <c r="D21" i="19"/>
  <c r="D21" i="20"/>
  <c r="D21" i="21"/>
  <c r="D21" i="22"/>
  <c r="D21" i="23"/>
  <c r="D21" i="24"/>
  <c r="D21" i="25"/>
  <c r="D21" i="26"/>
  <c r="D21" i="27"/>
  <c r="D21" i="28"/>
  <c r="D21" i="29"/>
  <c r="D21" i="30"/>
  <c r="D21" i="31"/>
  <c r="D21" i="32"/>
  <c r="D21" i="33"/>
  <c r="D21" i="34"/>
  <c r="D21" i="35"/>
  <c r="D21" i="36"/>
  <c r="D21" i="37"/>
  <c r="D21" i="2"/>
  <c r="C13" i="2"/>
  <c r="C13" i="3"/>
  <c r="C13" i="4"/>
  <c r="C13" i="5"/>
  <c r="C13" i="6"/>
  <c r="C13" i="7"/>
  <c r="C13" i="8"/>
  <c r="C13" i="9"/>
  <c r="C13" i="10"/>
  <c r="C13" i="11"/>
  <c r="C13" i="12"/>
  <c r="C13" i="13"/>
  <c r="C13" i="14"/>
  <c r="C13" i="15"/>
  <c r="C13" i="16"/>
  <c r="C13" i="17"/>
  <c r="C13" i="18"/>
  <c r="C13" i="19"/>
  <c r="C13" i="20"/>
  <c r="C13" i="21"/>
  <c r="C13" i="22"/>
  <c r="C13" i="23"/>
  <c r="C13" i="24"/>
  <c r="C13" i="25"/>
  <c r="C13" i="26"/>
  <c r="C13" i="27"/>
  <c r="C13" i="28"/>
  <c r="C13" i="29"/>
  <c r="C13" i="30"/>
  <c r="C13" i="31"/>
  <c r="C13" i="32"/>
  <c r="C13" i="33"/>
  <c r="C13" i="34"/>
  <c r="C13" i="35"/>
  <c r="C13" i="36"/>
  <c r="C13" i="37"/>
  <c r="C13" i="1"/>
  <c r="D13" i="2"/>
  <c r="D13" i="3"/>
  <c r="D13" i="4"/>
  <c r="D13" i="5"/>
  <c r="D13" i="6"/>
  <c r="D13" i="7"/>
  <c r="D13" i="8"/>
  <c r="D13" i="9"/>
  <c r="D13" i="10"/>
  <c r="D13" i="11"/>
  <c r="D13" i="12"/>
  <c r="D13" i="13"/>
  <c r="D13" i="14"/>
  <c r="D13" i="15"/>
  <c r="D13" i="16"/>
  <c r="D13" i="17"/>
  <c r="D13" i="18"/>
  <c r="D13" i="19"/>
  <c r="D13" i="20"/>
  <c r="D13" i="21"/>
  <c r="D13" i="22"/>
  <c r="D13" i="23"/>
  <c r="D13" i="24"/>
  <c r="D13" i="25"/>
  <c r="D13" i="26"/>
  <c r="D13" i="27"/>
  <c r="D13" i="28"/>
  <c r="D13" i="29"/>
  <c r="D13" i="30"/>
  <c r="D13" i="31"/>
  <c r="D13" i="32"/>
  <c r="D13" i="33"/>
  <c r="D13" i="34"/>
  <c r="D13" i="35"/>
  <c r="D13" i="36"/>
  <c r="D13" i="37"/>
  <c r="D13" i="1"/>
  <c r="D8" i="2"/>
  <c r="D8" i="3"/>
  <c r="D8" i="4"/>
  <c r="D8" i="5"/>
  <c r="D8" i="6"/>
  <c r="D8" i="7"/>
  <c r="D8" i="8"/>
  <c r="D8" i="9"/>
  <c r="D8" i="10"/>
  <c r="D8" i="11"/>
  <c r="D8" i="12"/>
  <c r="D8" i="13"/>
  <c r="D8" i="14"/>
  <c r="D8" i="15"/>
  <c r="D8" i="16"/>
  <c r="D8" i="17"/>
  <c r="D8" i="18"/>
  <c r="D8" i="19"/>
  <c r="D8" i="20"/>
  <c r="D8" i="21"/>
  <c r="D8" i="22"/>
  <c r="D8" i="23"/>
  <c r="D8" i="24"/>
  <c r="D8" i="25"/>
  <c r="D8" i="26"/>
  <c r="D8" i="27"/>
  <c r="D8" i="28"/>
  <c r="D8" i="29"/>
  <c r="D8" i="30"/>
  <c r="D8" i="31"/>
  <c r="D8" i="32"/>
  <c r="D8" i="33"/>
  <c r="D8" i="34"/>
  <c r="D8" i="35"/>
  <c r="D8" i="36"/>
  <c r="D8" i="37"/>
  <c r="D8" i="1"/>
  <c r="L19" i="14"/>
  <c r="L19" i="25"/>
  <c r="K19" i="4"/>
  <c r="K23" i="4" s="1"/>
  <c r="K19" i="5"/>
  <c r="L19" i="5" s="1"/>
  <c r="K19" i="6"/>
  <c r="L19" i="6" s="1"/>
  <c r="K19" i="7"/>
  <c r="K23" i="7" s="1"/>
  <c r="K19" i="13"/>
  <c r="K23" i="13" s="1"/>
  <c r="K19" i="14"/>
  <c r="K19" i="15"/>
  <c r="L19" i="15" s="1"/>
  <c r="K19" i="20"/>
  <c r="K23" i="20" s="1"/>
  <c r="K19" i="22"/>
  <c r="L19" i="22" s="1"/>
  <c r="K19" i="23"/>
  <c r="K23" i="23" s="1"/>
  <c r="K19" i="25"/>
  <c r="K23" i="25" s="1"/>
  <c r="K19" i="28"/>
  <c r="L19" i="28" s="1"/>
  <c r="K19" i="30"/>
  <c r="L19" i="30" s="1"/>
  <c r="K19" i="37"/>
  <c r="K23" i="37" s="1"/>
  <c r="L23" i="37" s="1"/>
  <c r="I19" i="2"/>
  <c r="I23" i="2" s="1"/>
  <c r="I19" i="3"/>
  <c r="K19" i="3" s="1"/>
  <c r="I19" i="4"/>
  <c r="I23" i="4" s="1"/>
  <c r="I19" i="5"/>
  <c r="I19" i="6"/>
  <c r="I23" i="6" s="1"/>
  <c r="I19" i="7"/>
  <c r="I19" i="8"/>
  <c r="I23" i="8" s="1"/>
  <c r="I19" i="9"/>
  <c r="K19" i="9" s="1"/>
  <c r="I19" i="10"/>
  <c r="I23" i="10" s="1"/>
  <c r="I19" i="11"/>
  <c r="K19" i="11" s="1"/>
  <c r="I19" i="12"/>
  <c r="I23" i="12" s="1"/>
  <c r="I19" i="13"/>
  <c r="I19" i="14"/>
  <c r="I19" i="15"/>
  <c r="I19" i="16"/>
  <c r="K19" i="16" s="1"/>
  <c r="I19" i="17"/>
  <c r="I23" i="17" s="1"/>
  <c r="I19" i="18"/>
  <c r="K19" i="18" s="1"/>
  <c r="I19" i="19"/>
  <c r="K19" i="19" s="1"/>
  <c r="I19" i="20"/>
  <c r="I19" i="21"/>
  <c r="K19" i="21" s="1"/>
  <c r="I19" i="22"/>
  <c r="I19" i="23"/>
  <c r="I19" i="24"/>
  <c r="I23" i="24" s="1"/>
  <c r="I19" i="25"/>
  <c r="I19" i="26"/>
  <c r="K19" i="26" s="1"/>
  <c r="I19" i="27"/>
  <c r="K19" i="27" s="1"/>
  <c r="I19" i="28"/>
  <c r="I23" i="28" s="1"/>
  <c r="I19" i="29"/>
  <c r="I23" i="29" s="1"/>
  <c r="I19" i="30"/>
  <c r="I23" i="30" s="1"/>
  <c r="I19" i="31"/>
  <c r="K19" i="31" s="1"/>
  <c r="I19" i="32"/>
  <c r="K19" i="32" s="1"/>
  <c r="I19" i="33"/>
  <c r="I23" i="33" s="1"/>
  <c r="I19" i="34"/>
  <c r="K19" i="34" s="1"/>
  <c r="I19" i="35"/>
  <c r="K19" i="35" s="1"/>
  <c r="I19" i="36"/>
  <c r="K19" i="36" s="1"/>
  <c r="I19" i="37"/>
  <c r="I19" i="1"/>
  <c r="K19" i="1" s="1"/>
  <c r="F19" i="3"/>
  <c r="F19" i="7"/>
  <c r="F19" i="8"/>
  <c r="F19" i="10"/>
  <c r="F19" i="18"/>
  <c r="F19" i="26"/>
  <c r="F19" i="34"/>
  <c r="F19" i="36"/>
  <c r="F19" i="2"/>
  <c r="F19" i="13"/>
  <c r="F19" i="14"/>
  <c r="F19" i="22"/>
  <c r="F19" i="32"/>
  <c r="F19" i="37"/>
  <c r="H64" i="14"/>
  <c r="B64" i="10"/>
  <c r="B64" i="34"/>
  <c r="C68" i="2"/>
  <c r="C68" i="3"/>
  <c r="C68" i="4"/>
  <c r="C68" i="5"/>
  <c r="C68" i="6"/>
  <c r="C68" i="7"/>
  <c r="C68" i="8"/>
  <c r="C68" i="9"/>
  <c r="C68" i="10"/>
  <c r="C68" i="11"/>
  <c r="C68" i="12"/>
  <c r="C68" i="13"/>
  <c r="C68" i="14"/>
  <c r="C68" i="15"/>
  <c r="C68" i="16"/>
  <c r="C68" i="17"/>
  <c r="C68" i="18"/>
  <c r="C68" i="19"/>
  <c r="C68" i="20"/>
  <c r="C68" i="21"/>
  <c r="C68" i="22"/>
  <c r="C68" i="23"/>
  <c r="C68" i="24"/>
  <c r="C68" i="25"/>
  <c r="C68" i="26"/>
  <c r="C68" i="27"/>
  <c r="C68" i="28"/>
  <c r="C68" i="29"/>
  <c r="C68" i="30"/>
  <c r="C68" i="31"/>
  <c r="C68" i="32"/>
  <c r="C68" i="33"/>
  <c r="C68" i="34"/>
  <c r="C68" i="35"/>
  <c r="C68" i="36"/>
  <c r="C68" i="37"/>
  <c r="C68" i="1"/>
  <c r="B68" i="2"/>
  <c r="B68" i="3"/>
  <c r="B68" i="4"/>
  <c r="B68" i="5"/>
  <c r="B68" i="6"/>
  <c r="B68" i="7"/>
  <c r="B68" i="8"/>
  <c r="B68" i="9"/>
  <c r="B68" i="10"/>
  <c r="B68" i="11"/>
  <c r="B68" i="12"/>
  <c r="B68" i="13"/>
  <c r="B68" i="14"/>
  <c r="B68" i="15"/>
  <c r="B68" i="16"/>
  <c r="B68" i="17"/>
  <c r="B68" i="18"/>
  <c r="B68" i="19"/>
  <c r="B68" i="20"/>
  <c r="B68" i="21"/>
  <c r="B68" i="22"/>
  <c r="B68" i="23"/>
  <c r="B68" i="24"/>
  <c r="B68" i="25"/>
  <c r="B68" i="26"/>
  <c r="B68" i="27"/>
  <c r="B68" i="28"/>
  <c r="B68" i="29"/>
  <c r="B68" i="30"/>
  <c r="B68" i="31"/>
  <c r="B68" i="32"/>
  <c r="B68" i="33"/>
  <c r="B68" i="34"/>
  <c r="B68" i="35"/>
  <c r="B68" i="36"/>
  <c r="B68" i="37"/>
  <c r="B68" i="1"/>
  <c r="E80" i="2"/>
  <c r="F80" i="2" s="1"/>
  <c r="E80" i="3"/>
  <c r="F80" i="3" s="1"/>
  <c r="E80" i="4"/>
  <c r="F80" i="4" s="1"/>
  <c r="E80" i="5"/>
  <c r="F80" i="5" s="1"/>
  <c r="E80" i="6"/>
  <c r="F80" i="6" s="1"/>
  <c r="E80" i="7"/>
  <c r="F80" i="7" s="1"/>
  <c r="E80" i="8"/>
  <c r="F80" i="8" s="1"/>
  <c r="E80" i="9"/>
  <c r="F80" i="9" s="1"/>
  <c r="E80" i="10"/>
  <c r="F80" i="10" s="1"/>
  <c r="E80" i="11"/>
  <c r="F80" i="11" s="1"/>
  <c r="E80" i="12"/>
  <c r="F80" i="12" s="1"/>
  <c r="E80" i="13"/>
  <c r="F80" i="13" s="1"/>
  <c r="E80" i="14"/>
  <c r="F80" i="14" s="1"/>
  <c r="E80" i="15"/>
  <c r="F80" i="15" s="1"/>
  <c r="E80" i="16"/>
  <c r="F80" i="16" s="1"/>
  <c r="E80" i="17"/>
  <c r="F80" i="17" s="1"/>
  <c r="E80" i="18"/>
  <c r="F80" i="18" s="1"/>
  <c r="E80" i="19"/>
  <c r="F80" i="19" s="1"/>
  <c r="E80" i="20"/>
  <c r="F80" i="20" s="1"/>
  <c r="E80" i="21"/>
  <c r="F80" i="21" s="1"/>
  <c r="E80" i="22"/>
  <c r="F80" i="22" s="1"/>
  <c r="E80" i="23"/>
  <c r="F80" i="23" s="1"/>
  <c r="E80" i="24"/>
  <c r="F80" i="24" s="1"/>
  <c r="E80" i="25"/>
  <c r="F80" i="25" s="1"/>
  <c r="E80" i="26"/>
  <c r="F80" i="26" s="1"/>
  <c r="E80" i="27"/>
  <c r="F80" i="27" s="1"/>
  <c r="E80" i="28"/>
  <c r="F80" i="28" s="1"/>
  <c r="E80" i="29"/>
  <c r="F80" i="29" s="1"/>
  <c r="E80" i="30"/>
  <c r="F80" i="30" s="1"/>
  <c r="E80" i="31"/>
  <c r="F80" i="31" s="1"/>
  <c r="E80" i="32"/>
  <c r="F80" i="32" s="1"/>
  <c r="E80" i="33"/>
  <c r="F80" i="33" s="1"/>
  <c r="E80" i="34"/>
  <c r="F80" i="34" s="1"/>
  <c r="E80" i="35"/>
  <c r="F80" i="35" s="1"/>
  <c r="E80" i="36"/>
  <c r="F80" i="36" s="1"/>
  <c r="E80" i="37"/>
  <c r="F80" i="37" s="1"/>
  <c r="E80" i="1"/>
  <c r="F80" i="1" s="1"/>
  <c r="E75" i="2"/>
  <c r="F75" i="2" s="1"/>
  <c r="E76" i="2"/>
  <c r="F76" i="2" s="1"/>
  <c r="E77" i="2"/>
  <c r="F77" i="2" s="1"/>
  <c r="E75" i="3"/>
  <c r="F75" i="3" s="1"/>
  <c r="E76" i="3"/>
  <c r="F76" i="3" s="1"/>
  <c r="E77" i="3"/>
  <c r="F77" i="3" s="1"/>
  <c r="E75" i="4"/>
  <c r="F75" i="4" s="1"/>
  <c r="E76" i="4"/>
  <c r="F76" i="4" s="1"/>
  <c r="E77" i="4"/>
  <c r="F77" i="4" s="1"/>
  <c r="E75" i="5"/>
  <c r="F75" i="5" s="1"/>
  <c r="E76" i="5"/>
  <c r="F76" i="5" s="1"/>
  <c r="E77" i="5"/>
  <c r="F77" i="5" s="1"/>
  <c r="E75" i="6"/>
  <c r="F75" i="6" s="1"/>
  <c r="E76" i="6"/>
  <c r="F76" i="6" s="1"/>
  <c r="E77" i="6"/>
  <c r="F77" i="6" s="1"/>
  <c r="E75" i="7"/>
  <c r="F75" i="7" s="1"/>
  <c r="E76" i="7"/>
  <c r="F76" i="7" s="1"/>
  <c r="E77" i="7"/>
  <c r="F77" i="7" s="1"/>
  <c r="E75" i="8"/>
  <c r="F75" i="8" s="1"/>
  <c r="E76" i="8"/>
  <c r="F76" i="8" s="1"/>
  <c r="E77" i="8"/>
  <c r="F77" i="8" s="1"/>
  <c r="E75" i="9"/>
  <c r="F75" i="9" s="1"/>
  <c r="E76" i="9"/>
  <c r="F76" i="9" s="1"/>
  <c r="E77" i="9"/>
  <c r="F77" i="9" s="1"/>
  <c r="E75" i="10"/>
  <c r="F75" i="10" s="1"/>
  <c r="E76" i="10"/>
  <c r="F76" i="10" s="1"/>
  <c r="E77" i="10"/>
  <c r="F77" i="10" s="1"/>
  <c r="E75" i="11"/>
  <c r="F75" i="11" s="1"/>
  <c r="E76" i="11"/>
  <c r="F76" i="11" s="1"/>
  <c r="E77" i="11"/>
  <c r="F77" i="11" s="1"/>
  <c r="E75" i="12"/>
  <c r="F75" i="12" s="1"/>
  <c r="E76" i="12"/>
  <c r="F76" i="12" s="1"/>
  <c r="E77" i="12"/>
  <c r="F77" i="12" s="1"/>
  <c r="E75" i="13"/>
  <c r="F75" i="13" s="1"/>
  <c r="E76" i="13"/>
  <c r="F76" i="13" s="1"/>
  <c r="E77" i="13"/>
  <c r="F77" i="13" s="1"/>
  <c r="E75" i="14"/>
  <c r="F75" i="14" s="1"/>
  <c r="E76" i="14"/>
  <c r="F76" i="14" s="1"/>
  <c r="E77" i="14"/>
  <c r="F77" i="14" s="1"/>
  <c r="E75" i="15"/>
  <c r="F75" i="15" s="1"/>
  <c r="E76" i="15"/>
  <c r="F76" i="15" s="1"/>
  <c r="E77" i="15"/>
  <c r="F77" i="15" s="1"/>
  <c r="E75" i="16"/>
  <c r="F75" i="16" s="1"/>
  <c r="E76" i="16"/>
  <c r="F76" i="16" s="1"/>
  <c r="E77" i="16"/>
  <c r="F77" i="16" s="1"/>
  <c r="E75" i="17"/>
  <c r="F75" i="17" s="1"/>
  <c r="E76" i="17"/>
  <c r="F76" i="17" s="1"/>
  <c r="E77" i="17"/>
  <c r="F77" i="17" s="1"/>
  <c r="E75" i="18"/>
  <c r="F75" i="18" s="1"/>
  <c r="E76" i="18"/>
  <c r="F76" i="18" s="1"/>
  <c r="E77" i="18"/>
  <c r="F77" i="18" s="1"/>
  <c r="E75" i="19"/>
  <c r="F75" i="19" s="1"/>
  <c r="E76" i="19"/>
  <c r="F76" i="19" s="1"/>
  <c r="E77" i="19"/>
  <c r="F77" i="19" s="1"/>
  <c r="E75" i="20"/>
  <c r="F75" i="20" s="1"/>
  <c r="E76" i="20"/>
  <c r="F76" i="20" s="1"/>
  <c r="E77" i="20"/>
  <c r="F77" i="20" s="1"/>
  <c r="E75" i="21"/>
  <c r="F75" i="21" s="1"/>
  <c r="E76" i="21"/>
  <c r="F76" i="21" s="1"/>
  <c r="E77" i="21"/>
  <c r="F77" i="21" s="1"/>
  <c r="E75" i="22"/>
  <c r="F75" i="22" s="1"/>
  <c r="E76" i="22"/>
  <c r="F76" i="22" s="1"/>
  <c r="E77" i="22"/>
  <c r="F77" i="22" s="1"/>
  <c r="E75" i="23"/>
  <c r="F75" i="23" s="1"/>
  <c r="E76" i="23"/>
  <c r="F76" i="23" s="1"/>
  <c r="E77" i="23"/>
  <c r="F77" i="23" s="1"/>
  <c r="E75" i="24"/>
  <c r="F75" i="24" s="1"/>
  <c r="E76" i="24"/>
  <c r="F76" i="24" s="1"/>
  <c r="E77" i="24"/>
  <c r="F77" i="24" s="1"/>
  <c r="E75" i="25"/>
  <c r="F75" i="25" s="1"/>
  <c r="E76" i="25"/>
  <c r="F76" i="25" s="1"/>
  <c r="E77" i="25"/>
  <c r="F77" i="25" s="1"/>
  <c r="E75" i="26"/>
  <c r="F75" i="26" s="1"/>
  <c r="E76" i="26"/>
  <c r="F76" i="26" s="1"/>
  <c r="E77" i="26"/>
  <c r="F77" i="26" s="1"/>
  <c r="E75" i="27"/>
  <c r="F75" i="27" s="1"/>
  <c r="E76" i="27"/>
  <c r="F76" i="27" s="1"/>
  <c r="E77" i="27"/>
  <c r="F77" i="27" s="1"/>
  <c r="E75" i="28"/>
  <c r="F75" i="28" s="1"/>
  <c r="E76" i="28"/>
  <c r="F76" i="28" s="1"/>
  <c r="E77" i="28"/>
  <c r="F77" i="28" s="1"/>
  <c r="E75" i="29"/>
  <c r="F75" i="29" s="1"/>
  <c r="E76" i="29"/>
  <c r="F76" i="29" s="1"/>
  <c r="E77" i="29"/>
  <c r="F77" i="29" s="1"/>
  <c r="E75" i="30"/>
  <c r="F75" i="30" s="1"/>
  <c r="E76" i="30"/>
  <c r="F76" i="30" s="1"/>
  <c r="E77" i="30"/>
  <c r="F77" i="30" s="1"/>
  <c r="E75" i="31"/>
  <c r="F75" i="31" s="1"/>
  <c r="E76" i="31"/>
  <c r="F76" i="31" s="1"/>
  <c r="E77" i="31"/>
  <c r="F77" i="31" s="1"/>
  <c r="E75" i="32"/>
  <c r="F75" i="32" s="1"/>
  <c r="E76" i="32"/>
  <c r="F76" i="32" s="1"/>
  <c r="E77" i="32"/>
  <c r="F77" i="32" s="1"/>
  <c r="E75" i="33"/>
  <c r="F75" i="33" s="1"/>
  <c r="E76" i="33"/>
  <c r="F76" i="33" s="1"/>
  <c r="E77" i="33"/>
  <c r="F77" i="33" s="1"/>
  <c r="E75" i="34"/>
  <c r="F75" i="34" s="1"/>
  <c r="E76" i="34"/>
  <c r="F76" i="34" s="1"/>
  <c r="E77" i="34"/>
  <c r="F77" i="34" s="1"/>
  <c r="E75" i="35"/>
  <c r="F75" i="35" s="1"/>
  <c r="E76" i="35"/>
  <c r="F76" i="35" s="1"/>
  <c r="E77" i="35"/>
  <c r="F77" i="35" s="1"/>
  <c r="E75" i="36"/>
  <c r="F75" i="36" s="1"/>
  <c r="E76" i="36"/>
  <c r="F76" i="36" s="1"/>
  <c r="E77" i="36"/>
  <c r="F77" i="36" s="1"/>
  <c r="E75" i="37"/>
  <c r="F75" i="37" s="1"/>
  <c r="E76" i="37"/>
  <c r="F76" i="37" s="1"/>
  <c r="E77" i="37"/>
  <c r="F77" i="37" s="1"/>
  <c r="E75" i="1"/>
  <c r="F75" i="1" s="1"/>
  <c r="E76" i="1"/>
  <c r="F76" i="1" s="1"/>
  <c r="E77" i="1"/>
  <c r="F77" i="1" s="1"/>
  <c r="E74" i="2"/>
  <c r="F74" i="2" s="1"/>
  <c r="E74" i="3"/>
  <c r="F74" i="3" s="1"/>
  <c r="E74" i="4"/>
  <c r="F74" i="4" s="1"/>
  <c r="E74" i="5"/>
  <c r="F74" i="5" s="1"/>
  <c r="E74" i="6"/>
  <c r="F74" i="6" s="1"/>
  <c r="E74" i="7"/>
  <c r="F74" i="7" s="1"/>
  <c r="E74" i="8"/>
  <c r="F74" i="8" s="1"/>
  <c r="E74" i="9"/>
  <c r="F74" i="9" s="1"/>
  <c r="E74" i="10"/>
  <c r="F74" i="10" s="1"/>
  <c r="E74" i="11"/>
  <c r="F74" i="11" s="1"/>
  <c r="E74" i="12"/>
  <c r="F74" i="12" s="1"/>
  <c r="E74" i="13"/>
  <c r="F74" i="13" s="1"/>
  <c r="E74" i="14"/>
  <c r="F74" i="14" s="1"/>
  <c r="E74" i="15"/>
  <c r="F74" i="15" s="1"/>
  <c r="E74" i="16"/>
  <c r="F74" i="16" s="1"/>
  <c r="E74" i="17"/>
  <c r="F74" i="17" s="1"/>
  <c r="E74" i="18"/>
  <c r="F74" i="18" s="1"/>
  <c r="E74" i="19"/>
  <c r="F74" i="19" s="1"/>
  <c r="E74" i="20"/>
  <c r="F74" i="20" s="1"/>
  <c r="E74" i="21"/>
  <c r="F74" i="21" s="1"/>
  <c r="E74" i="22"/>
  <c r="F74" i="22" s="1"/>
  <c r="E74" i="23"/>
  <c r="F74" i="23" s="1"/>
  <c r="E74" i="24"/>
  <c r="F74" i="24" s="1"/>
  <c r="E74" i="25"/>
  <c r="F74" i="25" s="1"/>
  <c r="E74" i="26"/>
  <c r="F74" i="26" s="1"/>
  <c r="E74" i="27"/>
  <c r="F74" i="27" s="1"/>
  <c r="E74" i="28"/>
  <c r="F74" i="28" s="1"/>
  <c r="E74" i="29"/>
  <c r="F74" i="29" s="1"/>
  <c r="E74" i="30"/>
  <c r="F74" i="30" s="1"/>
  <c r="E74" i="31"/>
  <c r="F74" i="31" s="1"/>
  <c r="E74" i="32"/>
  <c r="F74" i="32" s="1"/>
  <c r="E74" i="33"/>
  <c r="F74" i="33" s="1"/>
  <c r="E74" i="34"/>
  <c r="F74" i="34" s="1"/>
  <c r="E74" i="35"/>
  <c r="F74" i="35" s="1"/>
  <c r="E74" i="36"/>
  <c r="F74" i="36" s="1"/>
  <c r="E74" i="37"/>
  <c r="F74" i="37" s="1"/>
  <c r="E74" i="1"/>
  <c r="F74" i="1" s="1"/>
  <c r="D78" i="2"/>
  <c r="E78" i="2" s="1"/>
  <c r="F78" i="2" s="1"/>
  <c r="D78" i="3"/>
  <c r="E78" i="3" s="1"/>
  <c r="F78" i="3" s="1"/>
  <c r="D78" i="4"/>
  <c r="E78" i="4" s="1"/>
  <c r="F78" i="4" s="1"/>
  <c r="D78" i="5"/>
  <c r="E78" i="5" s="1"/>
  <c r="F78" i="5" s="1"/>
  <c r="D78" i="6"/>
  <c r="E78" i="6" s="1"/>
  <c r="F78" i="6" s="1"/>
  <c r="D78" i="7"/>
  <c r="E78" i="7" s="1"/>
  <c r="F78" i="7" s="1"/>
  <c r="D78" i="8"/>
  <c r="E78" i="8" s="1"/>
  <c r="F78" i="8" s="1"/>
  <c r="D78" i="9"/>
  <c r="E78" i="9" s="1"/>
  <c r="F78" i="9" s="1"/>
  <c r="D78" i="10"/>
  <c r="E78" i="10" s="1"/>
  <c r="F78" i="10" s="1"/>
  <c r="D78" i="11"/>
  <c r="E78" i="11" s="1"/>
  <c r="F78" i="11" s="1"/>
  <c r="D78" i="12"/>
  <c r="E78" i="12" s="1"/>
  <c r="F78" i="12" s="1"/>
  <c r="D78" i="13"/>
  <c r="E78" i="13" s="1"/>
  <c r="F78" i="13" s="1"/>
  <c r="D78" i="14"/>
  <c r="E78" i="14" s="1"/>
  <c r="F78" i="14" s="1"/>
  <c r="D78" i="15"/>
  <c r="E78" i="15" s="1"/>
  <c r="F78" i="15" s="1"/>
  <c r="D78" i="16"/>
  <c r="E78" i="16" s="1"/>
  <c r="F78" i="16" s="1"/>
  <c r="D78" i="17"/>
  <c r="E78" i="17" s="1"/>
  <c r="F78" i="17" s="1"/>
  <c r="D78" i="18"/>
  <c r="E78" i="18" s="1"/>
  <c r="F78" i="18" s="1"/>
  <c r="D78" i="19"/>
  <c r="E78" i="19" s="1"/>
  <c r="F78" i="19" s="1"/>
  <c r="D78" i="20"/>
  <c r="E78" i="20" s="1"/>
  <c r="F78" i="20" s="1"/>
  <c r="D78" i="21"/>
  <c r="E78" i="21" s="1"/>
  <c r="F78" i="21" s="1"/>
  <c r="D78" i="22"/>
  <c r="E78" i="22" s="1"/>
  <c r="F78" i="22" s="1"/>
  <c r="D78" i="23"/>
  <c r="E78" i="23" s="1"/>
  <c r="F78" i="23" s="1"/>
  <c r="D78" i="24"/>
  <c r="E78" i="24" s="1"/>
  <c r="F78" i="24" s="1"/>
  <c r="D78" i="25"/>
  <c r="E78" i="25" s="1"/>
  <c r="F78" i="25" s="1"/>
  <c r="D78" i="26"/>
  <c r="E78" i="26" s="1"/>
  <c r="F78" i="26" s="1"/>
  <c r="D78" i="27"/>
  <c r="E78" i="27" s="1"/>
  <c r="F78" i="27" s="1"/>
  <c r="D78" i="28"/>
  <c r="E78" i="28" s="1"/>
  <c r="F78" i="28" s="1"/>
  <c r="D78" i="29"/>
  <c r="E78" i="29" s="1"/>
  <c r="F78" i="29" s="1"/>
  <c r="D78" i="30"/>
  <c r="E78" i="30" s="1"/>
  <c r="F78" i="30" s="1"/>
  <c r="D78" i="31"/>
  <c r="E78" i="31" s="1"/>
  <c r="F78" i="31" s="1"/>
  <c r="D78" i="32"/>
  <c r="E78" i="32" s="1"/>
  <c r="F78" i="32" s="1"/>
  <c r="D78" i="33"/>
  <c r="E78" i="33" s="1"/>
  <c r="F78" i="33" s="1"/>
  <c r="D78" i="34"/>
  <c r="E78" i="34" s="1"/>
  <c r="F78" i="34" s="1"/>
  <c r="D78" i="35"/>
  <c r="E78" i="35" s="1"/>
  <c r="F78" i="35" s="1"/>
  <c r="D78" i="36"/>
  <c r="E78" i="36" s="1"/>
  <c r="F78" i="36" s="1"/>
  <c r="D78" i="37"/>
  <c r="E78" i="37" s="1"/>
  <c r="F78" i="37" s="1"/>
  <c r="D78" i="1"/>
  <c r="E78" i="1" s="1"/>
  <c r="F78" i="1" s="1"/>
  <c r="C106" i="2"/>
  <c r="C106" i="3"/>
  <c r="C106" i="4"/>
  <c r="C106" i="5"/>
  <c r="C106" i="6"/>
  <c r="C106" i="7"/>
  <c r="C106" i="8"/>
  <c r="C106" i="9"/>
  <c r="C106" i="10"/>
  <c r="C106" i="11"/>
  <c r="C106" i="12"/>
  <c r="C106" i="13"/>
  <c r="C106" i="14"/>
  <c r="C106" i="15"/>
  <c r="C106" i="16"/>
  <c r="C106" i="17"/>
  <c r="C106" i="18"/>
  <c r="C106" i="19"/>
  <c r="C106" i="20"/>
  <c r="C106" i="21"/>
  <c r="C106" i="22"/>
  <c r="C106" i="23"/>
  <c r="C106" i="24"/>
  <c r="C106" i="25"/>
  <c r="C106" i="26"/>
  <c r="C106" i="27"/>
  <c r="C106" i="28"/>
  <c r="C106" i="29"/>
  <c r="C106" i="30"/>
  <c r="C106" i="31"/>
  <c r="C106" i="32"/>
  <c r="C106" i="33"/>
  <c r="C106" i="34"/>
  <c r="C106" i="35"/>
  <c r="C106" i="36"/>
  <c r="C106" i="37"/>
  <c r="C106" i="1"/>
  <c r="C105" i="2"/>
  <c r="C105" i="3"/>
  <c r="C105" i="4"/>
  <c r="C105" i="5"/>
  <c r="C105" i="6"/>
  <c r="C105" i="7"/>
  <c r="C105" i="8"/>
  <c r="C105" i="9"/>
  <c r="C105" i="10"/>
  <c r="C105" i="11"/>
  <c r="C105" i="12"/>
  <c r="C105" i="13"/>
  <c r="C105" i="14"/>
  <c r="C105" i="15"/>
  <c r="C105" i="16"/>
  <c r="C105" i="17"/>
  <c r="C105" i="18"/>
  <c r="C105" i="19"/>
  <c r="C105" i="20"/>
  <c r="C105" i="21"/>
  <c r="C105" i="22"/>
  <c r="C105" i="23"/>
  <c r="C105" i="24"/>
  <c r="C105" i="25"/>
  <c r="C105" i="26"/>
  <c r="C105" i="27"/>
  <c r="C105" i="28"/>
  <c r="C105" i="29"/>
  <c r="C105" i="30"/>
  <c r="C105" i="31"/>
  <c r="C105" i="32"/>
  <c r="C105" i="33"/>
  <c r="C105" i="34"/>
  <c r="C105" i="35"/>
  <c r="C105" i="36"/>
  <c r="C105" i="37"/>
  <c r="C105" i="1"/>
  <c r="J58" i="2"/>
  <c r="J58" i="3"/>
  <c r="J58" i="4"/>
  <c r="J58" i="5"/>
  <c r="J58" i="6"/>
  <c r="J58" i="7"/>
  <c r="J58" i="8"/>
  <c r="J58" i="9"/>
  <c r="J58" i="10"/>
  <c r="J58" i="11"/>
  <c r="J58" i="12"/>
  <c r="J58" i="13"/>
  <c r="J58" i="14"/>
  <c r="J58" i="15"/>
  <c r="J58" i="16"/>
  <c r="J58" i="17"/>
  <c r="J58" i="18"/>
  <c r="J58" i="19"/>
  <c r="J58" i="20"/>
  <c r="J58" i="21"/>
  <c r="J58" i="22"/>
  <c r="J58" i="23"/>
  <c r="J58" i="24"/>
  <c r="J58" i="25"/>
  <c r="J58" i="26"/>
  <c r="J58" i="27"/>
  <c r="J58" i="28"/>
  <c r="J58" i="29"/>
  <c r="J58" i="30"/>
  <c r="J58" i="31"/>
  <c r="J58" i="32"/>
  <c r="J58" i="33"/>
  <c r="J58" i="34"/>
  <c r="J58" i="35"/>
  <c r="J58" i="36"/>
  <c r="J58" i="37"/>
  <c r="J58" i="1"/>
  <c r="J57" i="2"/>
  <c r="J57" i="3"/>
  <c r="J57" i="4"/>
  <c r="J57" i="5"/>
  <c r="J57" i="6"/>
  <c r="J57" i="7"/>
  <c r="J57" i="8"/>
  <c r="J57" i="9"/>
  <c r="J57" i="10"/>
  <c r="J57" i="11"/>
  <c r="J57" i="12"/>
  <c r="J57" i="13"/>
  <c r="J57" i="14"/>
  <c r="J57" i="15"/>
  <c r="J57" i="16"/>
  <c r="J57" i="17"/>
  <c r="J57" i="18"/>
  <c r="J57" i="19"/>
  <c r="J57" i="20"/>
  <c r="J57" i="21"/>
  <c r="J57" i="22"/>
  <c r="J57" i="23"/>
  <c r="J57" i="24"/>
  <c r="J57" i="25"/>
  <c r="J57" i="26"/>
  <c r="J57" i="27"/>
  <c r="J57" i="28"/>
  <c r="J57" i="29"/>
  <c r="J57" i="30"/>
  <c r="J57" i="31"/>
  <c r="J57" i="32"/>
  <c r="J57" i="33"/>
  <c r="J57" i="34"/>
  <c r="J57" i="35"/>
  <c r="J57" i="36"/>
  <c r="J57" i="37"/>
  <c r="J57" i="1"/>
  <c r="J52" i="2"/>
  <c r="J52" i="3"/>
  <c r="J52" i="4"/>
  <c r="J52" i="5"/>
  <c r="J52" i="6"/>
  <c r="J52" i="7"/>
  <c r="J52" i="8"/>
  <c r="J52" i="9"/>
  <c r="J52" i="10"/>
  <c r="J52" i="11"/>
  <c r="J52" i="12"/>
  <c r="J52" i="13"/>
  <c r="J52" i="14"/>
  <c r="J52" i="15"/>
  <c r="J52" i="16"/>
  <c r="J52" i="17"/>
  <c r="J52" i="18"/>
  <c r="J52" i="19"/>
  <c r="J52" i="20"/>
  <c r="J52" i="21"/>
  <c r="J52" i="22"/>
  <c r="J52" i="23"/>
  <c r="J52" i="24"/>
  <c r="J52" i="25"/>
  <c r="J52" i="26"/>
  <c r="J52" i="27"/>
  <c r="J52" i="28"/>
  <c r="J52" i="29"/>
  <c r="J52" i="30"/>
  <c r="J52" i="31"/>
  <c r="J52" i="32"/>
  <c r="J52" i="33"/>
  <c r="J52" i="34"/>
  <c r="J52" i="35"/>
  <c r="J52" i="36"/>
  <c r="J52" i="37"/>
  <c r="J52" i="1"/>
  <c r="J53" i="2"/>
  <c r="J53" i="3"/>
  <c r="J53" i="4"/>
  <c r="J53" i="5"/>
  <c r="J53" i="6"/>
  <c r="J53" i="7"/>
  <c r="J53" i="8"/>
  <c r="J53" i="9"/>
  <c r="J53" i="10"/>
  <c r="J53" i="11"/>
  <c r="J53" i="12"/>
  <c r="J53" i="13"/>
  <c r="J53" i="14"/>
  <c r="J53" i="15"/>
  <c r="J53" i="16"/>
  <c r="J53" i="17"/>
  <c r="J53" i="18"/>
  <c r="J53" i="19"/>
  <c r="J53" i="20"/>
  <c r="J53" i="21"/>
  <c r="J53" i="22"/>
  <c r="J53" i="23"/>
  <c r="J53" i="24"/>
  <c r="J53" i="25"/>
  <c r="J53" i="26"/>
  <c r="J53" i="27"/>
  <c r="J53" i="28"/>
  <c r="J53" i="29"/>
  <c r="J53" i="30"/>
  <c r="J53" i="31"/>
  <c r="J53" i="32"/>
  <c r="J53" i="33"/>
  <c r="J53" i="34"/>
  <c r="J53" i="35"/>
  <c r="J53" i="36"/>
  <c r="J53" i="37"/>
  <c r="J53" i="1"/>
  <c r="D58" i="2"/>
  <c r="D58" i="3"/>
  <c r="D58" i="4"/>
  <c r="D58" i="5"/>
  <c r="D58" i="6"/>
  <c r="D58" i="7"/>
  <c r="D58" i="8"/>
  <c r="D58" i="9"/>
  <c r="D58" i="10"/>
  <c r="D58" i="11"/>
  <c r="D58" i="12"/>
  <c r="D58" i="13"/>
  <c r="D58" i="14"/>
  <c r="D58" i="15"/>
  <c r="D58" i="16"/>
  <c r="D58" i="17"/>
  <c r="D58" i="18"/>
  <c r="D58" i="19"/>
  <c r="D58" i="20"/>
  <c r="D58" i="21"/>
  <c r="D58" i="22"/>
  <c r="D58" i="23"/>
  <c r="D58" i="24"/>
  <c r="D58" i="25"/>
  <c r="D58" i="26"/>
  <c r="D58" i="27"/>
  <c r="D58" i="28"/>
  <c r="D58" i="29"/>
  <c r="D58" i="30"/>
  <c r="D58" i="31"/>
  <c r="D58" i="32"/>
  <c r="D58" i="33"/>
  <c r="D58" i="34"/>
  <c r="D58" i="35"/>
  <c r="D58" i="36"/>
  <c r="D58" i="37"/>
  <c r="D58" i="1"/>
  <c r="D57" i="2"/>
  <c r="D57" i="3"/>
  <c r="D57" i="4"/>
  <c r="D57" i="5"/>
  <c r="D57" i="6"/>
  <c r="D57" i="7"/>
  <c r="D57" i="8"/>
  <c r="D57" i="9"/>
  <c r="D57" i="10"/>
  <c r="D57" i="11"/>
  <c r="D57" i="12"/>
  <c r="D57" i="13"/>
  <c r="D57" i="14"/>
  <c r="D57" i="15"/>
  <c r="D57" i="16"/>
  <c r="D57" i="17"/>
  <c r="D57" i="18"/>
  <c r="D57" i="19"/>
  <c r="D57" i="20"/>
  <c r="D57" i="21"/>
  <c r="D57" i="22"/>
  <c r="D57" i="23"/>
  <c r="D57" i="24"/>
  <c r="D57" i="25"/>
  <c r="D57" i="26"/>
  <c r="D57" i="27"/>
  <c r="D57" i="28"/>
  <c r="D57" i="29"/>
  <c r="D57" i="30"/>
  <c r="D57" i="31"/>
  <c r="D57" i="32"/>
  <c r="D57" i="33"/>
  <c r="D57" i="34"/>
  <c r="D57" i="35"/>
  <c r="D57" i="36"/>
  <c r="D57" i="37"/>
  <c r="D57" i="1"/>
  <c r="D53" i="2"/>
  <c r="D53" i="3"/>
  <c r="D53" i="4"/>
  <c r="D53" i="5"/>
  <c r="D53" i="6"/>
  <c r="D53" i="7"/>
  <c r="D53" i="8"/>
  <c r="D53" i="9"/>
  <c r="D53" i="10"/>
  <c r="D53" i="11"/>
  <c r="D53" i="12"/>
  <c r="D53" i="13"/>
  <c r="D53" i="14"/>
  <c r="D53" i="15"/>
  <c r="D53" i="16"/>
  <c r="D53" i="17"/>
  <c r="D53" i="18"/>
  <c r="D53" i="19"/>
  <c r="D53" i="20"/>
  <c r="D53" i="21"/>
  <c r="D53" i="22"/>
  <c r="D53" i="23"/>
  <c r="D53" i="24"/>
  <c r="D53" i="25"/>
  <c r="D53" i="26"/>
  <c r="D53" i="27"/>
  <c r="D53" i="28"/>
  <c r="D53" i="29"/>
  <c r="D53" i="30"/>
  <c r="D53" i="31"/>
  <c r="D53" i="32"/>
  <c r="D53" i="33"/>
  <c r="D53" i="34"/>
  <c r="D53" i="35"/>
  <c r="D53" i="36"/>
  <c r="D53" i="37"/>
  <c r="D53" i="1"/>
  <c r="D52" i="2"/>
  <c r="D52" i="3"/>
  <c r="D52" i="4"/>
  <c r="D52" i="5"/>
  <c r="D52" i="6"/>
  <c r="D52" i="7"/>
  <c r="D52" i="8"/>
  <c r="D52" i="9"/>
  <c r="D52" i="10"/>
  <c r="D52" i="11"/>
  <c r="D52" i="12"/>
  <c r="D52" i="13"/>
  <c r="D52" i="14"/>
  <c r="D52" i="15"/>
  <c r="D52" i="16"/>
  <c r="D52" i="17"/>
  <c r="D52" i="18"/>
  <c r="D52" i="19"/>
  <c r="D52" i="20"/>
  <c r="D52" i="21"/>
  <c r="D52" i="22"/>
  <c r="D52" i="23"/>
  <c r="D52" i="24"/>
  <c r="D52" i="25"/>
  <c r="D52" i="26"/>
  <c r="D52" i="27"/>
  <c r="D52" i="28"/>
  <c r="D52" i="29"/>
  <c r="D52" i="30"/>
  <c r="D52" i="31"/>
  <c r="D52" i="32"/>
  <c r="D52" i="33"/>
  <c r="D52" i="34"/>
  <c r="D52" i="35"/>
  <c r="D52" i="36"/>
  <c r="D52" i="37"/>
  <c r="D52" i="1"/>
  <c r="J15" i="2"/>
  <c r="J15" i="3"/>
  <c r="J15" i="4"/>
  <c r="J15" i="5"/>
  <c r="J15" i="6"/>
  <c r="J15" i="7"/>
  <c r="J15" i="8"/>
  <c r="J15" i="9"/>
  <c r="J15" i="10"/>
  <c r="J15" i="11"/>
  <c r="J15" i="12"/>
  <c r="J15" i="13"/>
  <c r="J15" i="14"/>
  <c r="J15" i="15"/>
  <c r="J15" i="16"/>
  <c r="J15" i="17"/>
  <c r="J15" i="18"/>
  <c r="J15" i="19"/>
  <c r="J15" i="20"/>
  <c r="J15" i="21"/>
  <c r="J15" i="22"/>
  <c r="J15" i="23"/>
  <c r="J15" i="24"/>
  <c r="J15" i="25"/>
  <c r="J15" i="26"/>
  <c r="J15" i="27"/>
  <c r="J15" i="28"/>
  <c r="J15" i="29"/>
  <c r="J15" i="30"/>
  <c r="J15" i="31"/>
  <c r="J15" i="32"/>
  <c r="J15" i="33"/>
  <c r="J15" i="34"/>
  <c r="J15" i="35"/>
  <c r="J15" i="36"/>
  <c r="J15" i="37"/>
  <c r="J15" i="1"/>
  <c r="J14" i="2"/>
  <c r="J14" i="3"/>
  <c r="J14" i="4"/>
  <c r="J14" i="5"/>
  <c r="J14" i="6"/>
  <c r="J14" i="7"/>
  <c r="J14" i="8"/>
  <c r="J14" i="9"/>
  <c r="J14" i="10"/>
  <c r="J14" i="11"/>
  <c r="J14" i="12"/>
  <c r="J14" i="13"/>
  <c r="J14" i="14"/>
  <c r="J14" i="15"/>
  <c r="J14" i="16"/>
  <c r="J14" i="17"/>
  <c r="J14" i="18"/>
  <c r="J14" i="19"/>
  <c r="J14" i="20"/>
  <c r="J14" i="21"/>
  <c r="J14" i="22"/>
  <c r="J14" i="23"/>
  <c r="J14" i="24"/>
  <c r="J14" i="25"/>
  <c r="J14" i="26"/>
  <c r="J14" i="27"/>
  <c r="J14" i="28"/>
  <c r="J14" i="29"/>
  <c r="J14" i="30"/>
  <c r="J14" i="31"/>
  <c r="J14" i="32"/>
  <c r="J14" i="33"/>
  <c r="J14" i="34"/>
  <c r="J14" i="35"/>
  <c r="J14" i="36"/>
  <c r="J14" i="37"/>
  <c r="J14" i="1"/>
  <c r="J13" i="2"/>
  <c r="J13" i="3"/>
  <c r="J13" i="4"/>
  <c r="J13" i="5"/>
  <c r="J13" i="6"/>
  <c r="J13" i="7"/>
  <c r="J13" i="8"/>
  <c r="J13" i="9"/>
  <c r="J13" i="10"/>
  <c r="J13" i="11"/>
  <c r="J13" i="12"/>
  <c r="J13" i="13"/>
  <c r="J13" i="14"/>
  <c r="J13" i="15"/>
  <c r="J13" i="16"/>
  <c r="J13" i="17"/>
  <c r="J13" i="18"/>
  <c r="J13" i="19"/>
  <c r="J13" i="20"/>
  <c r="J13" i="21"/>
  <c r="J13" i="22"/>
  <c r="J13" i="23"/>
  <c r="J13" i="24"/>
  <c r="J13" i="25"/>
  <c r="J13" i="26"/>
  <c r="J13" i="27"/>
  <c r="J13" i="28"/>
  <c r="J13" i="29"/>
  <c r="J13" i="30"/>
  <c r="J13" i="31"/>
  <c r="J13" i="32"/>
  <c r="J13" i="33"/>
  <c r="J13" i="34"/>
  <c r="J13" i="35"/>
  <c r="J13" i="36"/>
  <c r="J13" i="37"/>
  <c r="J13" i="1"/>
  <c r="I15" i="2"/>
  <c r="I15" i="3"/>
  <c r="I15" i="4"/>
  <c r="I15" i="5"/>
  <c r="I15" i="6"/>
  <c r="I15" i="7"/>
  <c r="I15" i="8"/>
  <c r="I15" i="9"/>
  <c r="I15" i="10"/>
  <c r="I15" i="11"/>
  <c r="I15" i="12"/>
  <c r="I15" i="13"/>
  <c r="I15" i="14"/>
  <c r="I15" i="15"/>
  <c r="I15" i="16"/>
  <c r="I15" i="17"/>
  <c r="I15" i="18"/>
  <c r="I15" i="19"/>
  <c r="I15" i="20"/>
  <c r="I15" i="21"/>
  <c r="I15" i="22"/>
  <c r="I15" i="23"/>
  <c r="I15" i="24"/>
  <c r="I15" i="25"/>
  <c r="I15" i="26"/>
  <c r="I15" i="27"/>
  <c r="I15" i="28"/>
  <c r="I15" i="29"/>
  <c r="I15" i="30"/>
  <c r="I15" i="31"/>
  <c r="I15" i="32"/>
  <c r="I15" i="33"/>
  <c r="I15" i="34"/>
  <c r="I15" i="35"/>
  <c r="I15" i="36"/>
  <c r="I15" i="37"/>
  <c r="I15" i="1"/>
  <c r="I14" i="2"/>
  <c r="I14" i="3"/>
  <c r="I14" i="4"/>
  <c r="I14" i="5"/>
  <c r="I14" i="6"/>
  <c r="I14" i="7"/>
  <c r="I14" i="8"/>
  <c r="I14" i="9"/>
  <c r="I14" i="10"/>
  <c r="I14" i="11"/>
  <c r="I14" i="12"/>
  <c r="I14" i="13"/>
  <c r="I14" i="14"/>
  <c r="I14" i="15"/>
  <c r="I14" i="16"/>
  <c r="I14" i="17"/>
  <c r="I14" i="18"/>
  <c r="I14" i="19"/>
  <c r="I14" i="20"/>
  <c r="I14" i="21"/>
  <c r="I14" i="22"/>
  <c r="I14" i="23"/>
  <c r="I14" i="24"/>
  <c r="I14" i="25"/>
  <c r="I14" i="26"/>
  <c r="I14" i="27"/>
  <c r="I14" i="28"/>
  <c r="I14" i="29"/>
  <c r="I14" i="30"/>
  <c r="I14" i="31"/>
  <c r="I14" i="32"/>
  <c r="I14" i="33"/>
  <c r="I14" i="34"/>
  <c r="I14" i="35"/>
  <c r="I14" i="36"/>
  <c r="I14" i="37"/>
  <c r="I14" i="1"/>
  <c r="C14" i="2"/>
  <c r="C14" i="3"/>
  <c r="C14" i="4"/>
  <c r="C14" i="5"/>
  <c r="C14" i="6"/>
  <c r="C14" i="7"/>
  <c r="C14" i="8"/>
  <c r="C14" i="9"/>
  <c r="C14" i="10"/>
  <c r="C14" i="11"/>
  <c r="C14" i="12"/>
  <c r="C14" i="13"/>
  <c r="C14" i="14"/>
  <c r="C14" i="15"/>
  <c r="C14" i="16"/>
  <c r="C14" i="17"/>
  <c r="C14" i="18"/>
  <c r="C14" i="19"/>
  <c r="C14" i="20"/>
  <c r="C14" i="21"/>
  <c r="C14" i="22"/>
  <c r="C14" i="23"/>
  <c r="C14" i="24"/>
  <c r="C14" i="25"/>
  <c r="C14" i="26"/>
  <c r="C14" i="27"/>
  <c r="C14" i="28"/>
  <c r="C14" i="29"/>
  <c r="C14" i="30"/>
  <c r="C14" i="31"/>
  <c r="C14" i="32"/>
  <c r="C14" i="33"/>
  <c r="C14" i="34"/>
  <c r="C14" i="35"/>
  <c r="C14" i="36"/>
  <c r="C14" i="37"/>
  <c r="C14" i="1"/>
  <c r="I13" i="2"/>
  <c r="K13" i="2" s="1"/>
  <c r="L13" i="2" s="1"/>
  <c r="I13" i="3"/>
  <c r="I13" i="4"/>
  <c r="I13" i="5"/>
  <c r="I13" i="6"/>
  <c r="I13" i="7"/>
  <c r="I13" i="8"/>
  <c r="I13" i="9"/>
  <c r="I13" i="10"/>
  <c r="I13" i="11"/>
  <c r="I13" i="12"/>
  <c r="I13" i="13"/>
  <c r="I13" i="14"/>
  <c r="I13" i="15"/>
  <c r="I13" i="16"/>
  <c r="I13" i="17"/>
  <c r="I13" i="18"/>
  <c r="K13" i="18" s="1"/>
  <c r="L13" i="18" s="1"/>
  <c r="I13" i="19"/>
  <c r="I13" i="20"/>
  <c r="I13" i="21"/>
  <c r="I13" i="22"/>
  <c r="I13" i="23"/>
  <c r="I13" i="24"/>
  <c r="I13" i="25"/>
  <c r="I13" i="26"/>
  <c r="I13" i="27"/>
  <c r="I13" i="28"/>
  <c r="I13" i="29"/>
  <c r="I13" i="30"/>
  <c r="I13" i="31"/>
  <c r="I13" i="32"/>
  <c r="I13" i="33"/>
  <c r="I13" i="34"/>
  <c r="K13" i="34" s="1"/>
  <c r="L13" i="34" s="1"/>
  <c r="I13" i="35"/>
  <c r="I13" i="36"/>
  <c r="I13" i="37"/>
  <c r="I13" i="1"/>
  <c r="D15" i="2"/>
  <c r="D15" i="3"/>
  <c r="D15" i="4"/>
  <c r="D15" i="5"/>
  <c r="D15" i="6"/>
  <c r="D15" i="7"/>
  <c r="D15" i="8"/>
  <c r="D15" i="9"/>
  <c r="D15" i="10"/>
  <c r="D15" i="11"/>
  <c r="D15" i="12"/>
  <c r="D15" i="13"/>
  <c r="D15" i="14"/>
  <c r="D15" i="15"/>
  <c r="D15" i="16"/>
  <c r="D15" i="17"/>
  <c r="D15" i="18"/>
  <c r="D15" i="19"/>
  <c r="D15" i="20"/>
  <c r="D15" i="21"/>
  <c r="D15" i="22"/>
  <c r="D15" i="23"/>
  <c r="D15" i="24"/>
  <c r="D15" i="25"/>
  <c r="D15" i="26"/>
  <c r="D15" i="27"/>
  <c r="D15" i="28"/>
  <c r="D15" i="29"/>
  <c r="D15" i="30"/>
  <c r="D15" i="31"/>
  <c r="D15" i="32"/>
  <c r="D15" i="33"/>
  <c r="D15" i="34"/>
  <c r="D15" i="35"/>
  <c r="D15" i="36"/>
  <c r="D15" i="37"/>
  <c r="D15" i="1"/>
  <c r="D14" i="2"/>
  <c r="D14" i="3"/>
  <c r="E14" i="3" s="1"/>
  <c r="F14" i="3" s="1"/>
  <c r="D14" i="4"/>
  <c r="D14" i="5"/>
  <c r="D14" i="6"/>
  <c r="D14" i="7"/>
  <c r="D14" i="8"/>
  <c r="D14" i="9"/>
  <c r="D14" i="10"/>
  <c r="D14" i="11"/>
  <c r="D14" i="12"/>
  <c r="D14" i="13"/>
  <c r="D14" i="14"/>
  <c r="D14" i="15"/>
  <c r="D14" i="16"/>
  <c r="D14" i="17"/>
  <c r="D14" i="18"/>
  <c r="D14" i="19"/>
  <c r="D14" i="20"/>
  <c r="D14" i="21"/>
  <c r="D14" i="22"/>
  <c r="D14" i="23"/>
  <c r="D14" i="24"/>
  <c r="D14" i="25"/>
  <c r="D14" i="26"/>
  <c r="D14" i="27"/>
  <c r="D14" i="28"/>
  <c r="D14" i="29"/>
  <c r="D14" i="30"/>
  <c r="D14" i="31"/>
  <c r="D14" i="32"/>
  <c r="D14" i="33"/>
  <c r="D14" i="34"/>
  <c r="D14" i="35"/>
  <c r="E14" i="35" s="1"/>
  <c r="F14" i="35" s="1"/>
  <c r="D14" i="36"/>
  <c r="D14" i="37"/>
  <c r="D14" i="1"/>
  <c r="C15" i="2"/>
  <c r="C15" i="3"/>
  <c r="C15" i="4"/>
  <c r="C15" i="5"/>
  <c r="C15" i="6"/>
  <c r="C15" i="7"/>
  <c r="C15" i="8"/>
  <c r="C15" i="9"/>
  <c r="C15" i="10"/>
  <c r="C15" i="11"/>
  <c r="C15" i="12"/>
  <c r="C15" i="13"/>
  <c r="C15" i="14"/>
  <c r="C15" i="15"/>
  <c r="C15" i="16"/>
  <c r="C15" i="17"/>
  <c r="C15" i="18"/>
  <c r="C15" i="19"/>
  <c r="C15" i="20"/>
  <c r="C15" i="21"/>
  <c r="C15" i="22"/>
  <c r="C15" i="23"/>
  <c r="C15" i="24"/>
  <c r="C15" i="25"/>
  <c r="C15" i="26"/>
  <c r="C15" i="27"/>
  <c r="C15" i="28"/>
  <c r="C15" i="29"/>
  <c r="C15" i="30"/>
  <c r="C15" i="31"/>
  <c r="C15" i="32"/>
  <c r="C15" i="33"/>
  <c r="C15" i="34"/>
  <c r="C15" i="35"/>
  <c r="C15" i="36"/>
  <c r="C15" i="37"/>
  <c r="C15" i="1"/>
  <c r="K10" i="24"/>
  <c r="L10" i="24" s="1"/>
  <c r="J11" i="2"/>
  <c r="J11" i="3"/>
  <c r="J11" i="4"/>
  <c r="J11" i="5"/>
  <c r="J11" i="6"/>
  <c r="J11" i="7"/>
  <c r="J11" i="8"/>
  <c r="J11" i="9"/>
  <c r="J11" i="10"/>
  <c r="J11" i="11"/>
  <c r="J11" i="12"/>
  <c r="J11" i="13"/>
  <c r="J11" i="14"/>
  <c r="J11" i="15"/>
  <c r="J11" i="16"/>
  <c r="J11" i="17"/>
  <c r="J11" i="18"/>
  <c r="J11" i="19"/>
  <c r="J11" i="20"/>
  <c r="J11" i="21"/>
  <c r="J11" i="22"/>
  <c r="J11" i="23"/>
  <c r="J11" i="24"/>
  <c r="J11" i="25"/>
  <c r="J11" i="26"/>
  <c r="J11" i="27"/>
  <c r="J11" i="28"/>
  <c r="J11" i="29"/>
  <c r="J11" i="30"/>
  <c r="J11" i="31"/>
  <c r="J11" i="32"/>
  <c r="J11" i="33"/>
  <c r="J11" i="34"/>
  <c r="J11" i="35"/>
  <c r="J11" i="36"/>
  <c r="J11" i="37"/>
  <c r="J11" i="1"/>
  <c r="J10" i="2"/>
  <c r="J10" i="3"/>
  <c r="J10" i="4"/>
  <c r="J10" i="5"/>
  <c r="J10" i="6"/>
  <c r="J10" i="7"/>
  <c r="J10" i="8"/>
  <c r="J10" i="9"/>
  <c r="J10" i="10"/>
  <c r="J10" i="11"/>
  <c r="J10" i="12"/>
  <c r="J10" i="13"/>
  <c r="J10" i="14"/>
  <c r="J10" i="15"/>
  <c r="J10" i="16"/>
  <c r="J10" i="17"/>
  <c r="J10" i="18"/>
  <c r="J10" i="19"/>
  <c r="J10" i="20"/>
  <c r="J10" i="21"/>
  <c r="J10" i="22"/>
  <c r="J10" i="23"/>
  <c r="J10" i="24"/>
  <c r="J10" i="25"/>
  <c r="J10" i="26"/>
  <c r="J10" i="27"/>
  <c r="J10" i="28"/>
  <c r="J10" i="29"/>
  <c r="J10" i="30"/>
  <c r="J10" i="31"/>
  <c r="J10" i="32"/>
  <c r="J10" i="33"/>
  <c r="J10" i="34"/>
  <c r="J10" i="35"/>
  <c r="J10" i="36"/>
  <c r="J10" i="37"/>
  <c r="J10" i="1"/>
  <c r="J9" i="2"/>
  <c r="J9" i="3"/>
  <c r="J9" i="4"/>
  <c r="J9" i="5"/>
  <c r="J9" i="6"/>
  <c r="J9" i="7"/>
  <c r="J9" i="8"/>
  <c r="J9" i="9"/>
  <c r="J9" i="10"/>
  <c r="J9" i="11"/>
  <c r="J9" i="12"/>
  <c r="J9" i="13"/>
  <c r="J9" i="14"/>
  <c r="J9" i="15"/>
  <c r="J9" i="16"/>
  <c r="J9" i="17"/>
  <c r="J9" i="18"/>
  <c r="J9" i="19"/>
  <c r="J9" i="20"/>
  <c r="J9" i="21"/>
  <c r="J9" i="22"/>
  <c r="J9" i="23"/>
  <c r="J9" i="24"/>
  <c r="J9" i="25"/>
  <c r="J9" i="26"/>
  <c r="J9" i="27"/>
  <c r="J9" i="28"/>
  <c r="J9" i="29"/>
  <c r="J9" i="30"/>
  <c r="J9" i="31"/>
  <c r="J9" i="32"/>
  <c r="J9" i="33"/>
  <c r="J9" i="34"/>
  <c r="J9" i="35"/>
  <c r="J9" i="36"/>
  <c r="J9" i="37"/>
  <c r="J9" i="1"/>
  <c r="J8" i="2"/>
  <c r="J8" i="3"/>
  <c r="J8" i="4"/>
  <c r="J8" i="5"/>
  <c r="J8" i="6"/>
  <c r="J8" i="7"/>
  <c r="J8" i="8"/>
  <c r="J8" i="9"/>
  <c r="J8" i="10"/>
  <c r="J8" i="11"/>
  <c r="J8" i="12"/>
  <c r="J8" i="13"/>
  <c r="J8" i="14"/>
  <c r="J8" i="15"/>
  <c r="J8" i="16"/>
  <c r="J8" i="17"/>
  <c r="J8" i="18"/>
  <c r="J8" i="19"/>
  <c r="J8" i="20"/>
  <c r="J8" i="21"/>
  <c r="J8" i="22"/>
  <c r="J8" i="23"/>
  <c r="J8" i="24"/>
  <c r="J8" i="25"/>
  <c r="J8" i="26"/>
  <c r="J8" i="27"/>
  <c r="J8" i="28"/>
  <c r="J8" i="29"/>
  <c r="J8" i="30"/>
  <c r="J8" i="31"/>
  <c r="J8" i="32"/>
  <c r="J8" i="33"/>
  <c r="J8" i="34"/>
  <c r="J8" i="35"/>
  <c r="J8" i="36"/>
  <c r="J8" i="37"/>
  <c r="J8" i="1"/>
  <c r="D11" i="2"/>
  <c r="D11" i="3"/>
  <c r="D11" i="4"/>
  <c r="D11" i="5"/>
  <c r="D11" i="6"/>
  <c r="D11" i="7"/>
  <c r="D11" i="8"/>
  <c r="D11" i="9"/>
  <c r="D11" i="10"/>
  <c r="D11" i="11"/>
  <c r="D11" i="12"/>
  <c r="D11" i="13"/>
  <c r="D11" i="14"/>
  <c r="D11" i="15"/>
  <c r="D11" i="16"/>
  <c r="D11" i="17"/>
  <c r="D11" i="18"/>
  <c r="D11" i="19"/>
  <c r="D11" i="20"/>
  <c r="D11" i="21"/>
  <c r="D11" i="22"/>
  <c r="D11" i="23"/>
  <c r="D11" i="24"/>
  <c r="D11" i="25"/>
  <c r="D11" i="26"/>
  <c r="D11" i="27"/>
  <c r="D11" i="28"/>
  <c r="D11" i="29"/>
  <c r="D11" i="30"/>
  <c r="D11" i="31"/>
  <c r="D11" i="32"/>
  <c r="D11" i="33"/>
  <c r="D11" i="34"/>
  <c r="D11" i="35"/>
  <c r="D11" i="36"/>
  <c r="D11" i="37"/>
  <c r="D11" i="1"/>
  <c r="D10" i="2"/>
  <c r="D10" i="3"/>
  <c r="D10" i="4"/>
  <c r="D10" i="5"/>
  <c r="D10" i="6"/>
  <c r="D10" i="7"/>
  <c r="D10" i="8"/>
  <c r="D10" i="9"/>
  <c r="D10" i="10"/>
  <c r="D10" i="11"/>
  <c r="D10" i="12"/>
  <c r="D10" i="13"/>
  <c r="D10" i="14"/>
  <c r="D10" i="15"/>
  <c r="D10" i="16"/>
  <c r="D10" i="17"/>
  <c r="D10" i="18"/>
  <c r="D10" i="19"/>
  <c r="D10" i="20"/>
  <c r="D10" i="21"/>
  <c r="D10" i="22"/>
  <c r="D10" i="23"/>
  <c r="D10" i="24"/>
  <c r="D10" i="25"/>
  <c r="D10" i="26"/>
  <c r="D10" i="27"/>
  <c r="D10" i="28"/>
  <c r="D10" i="29"/>
  <c r="D10" i="30"/>
  <c r="D10" i="31"/>
  <c r="D10" i="32"/>
  <c r="D10" i="33"/>
  <c r="D10" i="34"/>
  <c r="D10" i="35"/>
  <c r="D10" i="36"/>
  <c r="D10" i="37"/>
  <c r="D10" i="1"/>
  <c r="D9" i="2"/>
  <c r="D9" i="3"/>
  <c r="D9" i="4"/>
  <c r="D9" i="5"/>
  <c r="D9" i="6"/>
  <c r="D9" i="7"/>
  <c r="D9" i="8"/>
  <c r="D9" i="9"/>
  <c r="D9" i="10"/>
  <c r="D9" i="11"/>
  <c r="D9" i="12"/>
  <c r="D9" i="13"/>
  <c r="D9" i="14"/>
  <c r="D9" i="15"/>
  <c r="D9" i="16"/>
  <c r="D9" i="17"/>
  <c r="D9" i="18"/>
  <c r="D9" i="19"/>
  <c r="D9" i="20"/>
  <c r="D9" i="21"/>
  <c r="D9" i="22"/>
  <c r="D9" i="23"/>
  <c r="D9" i="24"/>
  <c r="D9" i="25"/>
  <c r="D9" i="26"/>
  <c r="D9" i="27"/>
  <c r="D9" i="28"/>
  <c r="D9" i="29"/>
  <c r="D9" i="30"/>
  <c r="D9" i="31"/>
  <c r="D9" i="32"/>
  <c r="D9" i="33"/>
  <c r="D9" i="34"/>
  <c r="D9" i="35"/>
  <c r="D9" i="36"/>
  <c r="D9" i="37"/>
  <c r="D9" i="1"/>
  <c r="K23" i="11" l="1"/>
  <c r="L19" i="11"/>
  <c r="F19" i="11"/>
  <c r="K23" i="28"/>
  <c r="F19" i="28"/>
  <c r="K23" i="16"/>
  <c r="L19" i="16"/>
  <c r="I23" i="16"/>
  <c r="B64" i="16"/>
  <c r="F19" i="16"/>
  <c r="K19" i="10"/>
  <c r="K19" i="24"/>
  <c r="F19" i="24"/>
  <c r="H64" i="30"/>
  <c r="F19" i="30"/>
  <c r="K19" i="8"/>
  <c r="B64" i="8"/>
  <c r="H64" i="20"/>
  <c r="L23" i="20"/>
  <c r="L19" i="20"/>
  <c r="K19" i="12"/>
  <c r="F19" i="12"/>
  <c r="L19" i="19"/>
  <c r="K23" i="19"/>
  <c r="L23" i="19" s="1"/>
  <c r="I23" i="19"/>
  <c r="F19" i="19"/>
  <c r="K23" i="35"/>
  <c r="L23" i="35" s="1"/>
  <c r="L19" i="35"/>
  <c r="I23" i="35"/>
  <c r="F19" i="35"/>
  <c r="K23" i="1"/>
  <c r="L19" i="1"/>
  <c r="I23" i="1"/>
  <c r="B64" i="1"/>
  <c r="F19" i="1"/>
  <c r="L19" i="34"/>
  <c r="K23" i="34"/>
  <c r="L23" i="13"/>
  <c r="H64" i="13"/>
  <c r="L19" i="13"/>
  <c r="H64" i="7"/>
  <c r="L23" i="7"/>
  <c r="L19" i="7"/>
  <c r="B64" i="7"/>
  <c r="L23" i="25"/>
  <c r="H64" i="25"/>
  <c r="K23" i="22"/>
  <c r="L23" i="15"/>
  <c r="F19" i="15"/>
  <c r="H64" i="6"/>
  <c r="F19" i="6"/>
  <c r="L23" i="4"/>
  <c r="H64" i="4"/>
  <c r="L19" i="4"/>
  <c r="F19" i="4"/>
  <c r="L19" i="36"/>
  <c r="K23" i="36"/>
  <c r="I23" i="36"/>
  <c r="B64" i="36"/>
  <c r="L19" i="27"/>
  <c r="K23" i="27"/>
  <c r="I23" i="27"/>
  <c r="K19" i="33"/>
  <c r="L19" i="26"/>
  <c r="K23" i="26"/>
  <c r="B64" i="26"/>
  <c r="K23" i="18"/>
  <c r="L19" i="18"/>
  <c r="I23" i="18"/>
  <c r="K19" i="17"/>
  <c r="L19" i="31"/>
  <c r="K23" i="31"/>
  <c r="H64" i="23"/>
  <c r="L23" i="23"/>
  <c r="L19" i="23"/>
  <c r="F19" i="23"/>
  <c r="K23" i="21"/>
  <c r="L23" i="21" s="1"/>
  <c r="L19" i="21"/>
  <c r="I23" i="21"/>
  <c r="B64" i="21"/>
  <c r="F19" i="21"/>
  <c r="K19" i="2"/>
  <c r="K19" i="29"/>
  <c r="K23" i="32"/>
  <c r="L19" i="32"/>
  <c r="I23" i="32"/>
  <c r="L19" i="37"/>
  <c r="L19" i="3"/>
  <c r="K23" i="3"/>
  <c r="L23" i="3" s="1"/>
  <c r="B64" i="3"/>
  <c r="K23" i="9"/>
  <c r="L23" i="9" s="1"/>
  <c r="L19" i="9"/>
  <c r="I23" i="9"/>
  <c r="H64" i="37"/>
  <c r="H64" i="21"/>
  <c r="H64" i="5"/>
  <c r="H64" i="35"/>
  <c r="H64" i="19"/>
  <c r="H64" i="3"/>
  <c r="H64" i="9"/>
  <c r="E10" i="36"/>
  <c r="F10" i="36" s="1"/>
  <c r="K21" i="33"/>
  <c r="L21" i="33" s="1"/>
  <c r="K21" i="17"/>
  <c r="L21" i="17" s="1"/>
  <c r="K21" i="32"/>
  <c r="L21" i="32" s="1"/>
  <c r="K21" i="31"/>
  <c r="L21" i="31" s="1"/>
  <c r="K21" i="15"/>
  <c r="L21" i="15" s="1"/>
  <c r="K21" i="16"/>
  <c r="L21" i="16" s="1"/>
  <c r="K21" i="30"/>
  <c r="L21" i="30" s="1"/>
  <c r="K21" i="14"/>
  <c r="L21" i="14" s="1"/>
  <c r="K21" i="29"/>
  <c r="L21" i="29" s="1"/>
  <c r="K21" i="13"/>
  <c r="L21" i="13" s="1"/>
  <c r="F8" i="10"/>
  <c r="F8" i="9"/>
  <c r="E15" i="28"/>
  <c r="F15" i="28" s="1"/>
  <c r="K13" i="24"/>
  <c r="L13" i="24" s="1"/>
  <c r="K13" i="8"/>
  <c r="L13" i="8" s="1"/>
  <c r="E10" i="2"/>
  <c r="F10" i="2" s="1"/>
  <c r="E14" i="4"/>
  <c r="F14" i="4" s="1"/>
  <c r="K14" i="24"/>
  <c r="L14" i="24" s="1"/>
  <c r="F9" i="11"/>
  <c r="E11" i="37"/>
  <c r="F11" i="37" s="1"/>
  <c r="F9" i="27"/>
  <c r="E10" i="16"/>
  <c r="F10" i="16" s="1"/>
  <c r="F13" i="26"/>
  <c r="E14" i="29"/>
  <c r="F14" i="29" s="1"/>
  <c r="E11" i="1"/>
  <c r="F11" i="1" s="1"/>
  <c r="E15" i="29"/>
  <c r="F15" i="29" s="1"/>
  <c r="E15" i="13"/>
  <c r="F15" i="13" s="1"/>
  <c r="K13" i="23"/>
  <c r="L13" i="23" s="1"/>
  <c r="K13" i="7"/>
  <c r="L13" i="7" s="1"/>
  <c r="E14" i="28"/>
  <c r="F14" i="28" s="1"/>
  <c r="E14" i="12"/>
  <c r="F14" i="12" s="1"/>
  <c r="K14" i="32"/>
  <c r="L14" i="32" s="1"/>
  <c r="K14" i="16"/>
  <c r="L14" i="16" s="1"/>
  <c r="K15" i="37"/>
  <c r="L15" i="37" s="1"/>
  <c r="K15" i="21"/>
  <c r="L15" i="21" s="1"/>
  <c r="K15" i="5"/>
  <c r="L15" i="5" s="1"/>
  <c r="E14" i="13"/>
  <c r="F14" i="13" s="1"/>
  <c r="E14" i="23"/>
  <c r="F14" i="23" s="1"/>
  <c r="E14" i="7"/>
  <c r="F14" i="7" s="1"/>
  <c r="K13" i="1"/>
  <c r="L13" i="1" s="1"/>
  <c r="K13" i="22"/>
  <c r="L13" i="22" s="1"/>
  <c r="K13" i="6"/>
  <c r="L13" i="6" s="1"/>
  <c r="F9" i="26"/>
  <c r="F9" i="10"/>
  <c r="E11" i="36"/>
  <c r="F11" i="36" s="1"/>
  <c r="E15" i="27"/>
  <c r="F15" i="27" s="1"/>
  <c r="K13" i="37"/>
  <c r="L13" i="37" s="1"/>
  <c r="K13" i="21"/>
  <c r="L13" i="21" s="1"/>
  <c r="K13" i="5"/>
  <c r="L13" i="5" s="1"/>
  <c r="K13" i="36"/>
  <c r="L13" i="36" s="1"/>
  <c r="K13" i="20"/>
  <c r="L13" i="20" s="1"/>
  <c r="K13" i="4"/>
  <c r="L13" i="4" s="1"/>
  <c r="K14" i="29"/>
  <c r="L14" i="29" s="1"/>
  <c r="K14" i="13"/>
  <c r="L14" i="13" s="1"/>
  <c r="K15" i="18"/>
  <c r="L15" i="18" s="1"/>
  <c r="K15" i="2"/>
  <c r="L15" i="2" s="1"/>
  <c r="E14" i="36"/>
  <c r="F14" i="36" s="1"/>
  <c r="K13" i="35"/>
  <c r="L13" i="35" s="1"/>
  <c r="K13" i="19"/>
  <c r="L13" i="19" s="1"/>
  <c r="K10" i="34"/>
  <c r="L10" i="34" s="1"/>
  <c r="K11" i="23"/>
  <c r="L11" i="23" s="1"/>
  <c r="K9" i="28"/>
  <c r="L9" i="28" s="1"/>
  <c r="L8" i="1"/>
  <c r="L8" i="6"/>
  <c r="L8" i="5"/>
  <c r="K10" i="15"/>
  <c r="L10" i="15" s="1"/>
  <c r="L8" i="20"/>
  <c r="K10" i="14"/>
  <c r="L10" i="14" s="1"/>
  <c r="K11" i="19"/>
  <c r="L11" i="19" s="1"/>
  <c r="L8" i="35"/>
  <c r="L8" i="19"/>
  <c r="L8" i="3"/>
  <c r="K9" i="24"/>
  <c r="L9" i="24" s="1"/>
  <c r="K9" i="8"/>
  <c r="L9" i="8" s="1"/>
  <c r="K10" i="29"/>
  <c r="L10" i="29" s="1"/>
  <c r="K10" i="13"/>
  <c r="L10" i="13" s="1"/>
  <c r="K11" i="34"/>
  <c r="L11" i="34" s="1"/>
  <c r="K11" i="18"/>
  <c r="L11" i="18" s="1"/>
  <c r="K11" i="2"/>
  <c r="L11" i="2" s="1"/>
  <c r="L8" i="18"/>
  <c r="K9" i="23"/>
  <c r="L9" i="23" s="1"/>
  <c r="K10" i="28"/>
  <c r="L10" i="28" s="1"/>
  <c r="K10" i="12"/>
  <c r="L10" i="12" s="1"/>
  <c r="K11" i="33"/>
  <c r="L11" i="33" s="1"/>
  <c r="K11" i="17"/>
  <c r="L11" i="17" s="1"/>
  <c r="E10" i="37"/>
  <c r="F10" i="37" s="1"/>
  <c r="K9" i="31"/>
  <c r="L9" i="31" s="1"/>
  <c r="K10" i="36"/>
  <c r="L10" i="36" s="1"/>
  <c r="K11" i="1"/>
  <c r="L11" i="1" s="1"/>
  <c r="K9" i="11"/>
  <c r="L9" i="11" s="1"/>
  <c r="K10" i="16"/>
  <c r="L10" i="16" s="1"/>
  <c r="K11" i="5"/>
  <c r="L11" i="5" s="1"/>
  <c r="K9" i="26"/>
  <c r="L9" i="26" s="1"/>
  <c r="L8" i="36"/>
  <c r="L8" i="4"/>
  <c r="K11" i="3"/>
  <c r="L11" i="3" s="1"/>
  <c r="E10" i="34"/>
  <c r="F10" i="34" s="1"/>
  <c r="E11" i="7"/>
  <c r="F11" i="7" s="1"/>
  <c r="K14" i="8"/>
  <c r="L14" i="8" s="1"/>
  <c r="K15" i="29"/>
  <c r="L15" i="29" s="1"/>
  <c r="K15" i="13"/>
  <c r="L15" i="13" s="1"/>
  <c r="L8" i="26"/>
  <c r="K9" i="15"/>
  <c r="L9" i="15" s="1"/>
  <c r="K10" i="2"/>
  <c r="L10" i="2" s="1"/>
  <c r="K11" i="22"/>
  <c r="L11" i="22" s="1"/>
  <c r="K10" i="32"/>
  <c r="L10" i="32" s="1"/>
  <c r="K11" i="21"/>
  <c r="L11" i="21" s="1"/>
  <c r="L8" i="37"/>
  <c r="K9" i="10"/>
  <c r="L9" i="10" s="1"/>
  <c r="K11" i="36"/>
  <c r="L11" i="36" s="1"/>
  <c r="K10" i="30"/>
  <c r="L10" i="30" s="1"/>
  <c r="K11" i="35"/>
  <c r="L11" i="35" s="1"/>
  <c r="E15" i="34"/>
  <c r="F15" i="34" s="1"/>
  <c r="K14" i="23"/>
  <c r="L14" i="23" s="1"/>
  <c r="K15" i="28"/>
  <c r="L15" i="28" s="1"/>
  <c r="K15" i="12"/>
  <c r="L15" i="12" s="1"/>
  <c r="K10" i="18"/>
  <c r="L10" i="18" s="1"/>
  <c r="K11" i="7"/>
  <c r="L11" i="7" s="1"/>
  <c r="K10" i="33"/>
  <c r="L10" i="33" s="1"/>
  <c r="K11" i="6"/>
  <c r="L11" i="6" s="1"/>
  <c r="L8" i="21"/>
  <c r="K10" i="31"/>
  <c r="L10" i="31" s="1"/>
  <c r="K11" i="4"/>
  <c r="L11" i="4" s="1"/>
  <c r="K9" i="9"/>
  <c r="L9" i="9" s="1"/>
  <c r="E15" i="33"/>
  <c r="F15" i="33" s="1"/>
  <c r="K10" i="17"/>
  <c r="L10" i="17" s="1"/>
  <c r="L8" i="22"/>
  <c r="K9" i="27"/>
  <c r="L9" i="27" s="1"/>
  <c r="K11" i="37"/>
  <c r="L11" i="37" s="1"/>
  <c r="K11" i="20"/>
  <c r="L11" i="20" s="1"/>
  <c r="K9" i="25"/>
  <c r="L9" i="25" s="1"/>
  <c r="K13" i="15"/>
  <c r="L13" i="15" s="1"/>
  <c r="K14" i="37"/>
  <c r="L14" i="37" s="1"/>
  <c r="K14" i="5"/>
  <c r="L14" i="5" s="1"/>
  <c r="F9" i="8"/>
  <c r="E10" i="29"/>
  <c r="F10" i="29" s="1"/>
  <c r="E10" i="13"/>
  <c r="F10" i="13" s="1"/>
  <c r="E11" i="34"/>
  <c r="F11" i="34" s="1"/>
  <c r="E11" i="2"/>
  <c r="F11" i="2" s="1"/>
  <c r="F9" i="1"/>
  <c r="F9" i="6"/>
  <c r="E10" i="27"/>
  <c r="F10" i="27" s="1"/>
  <c r="E10" i="11"/>
  <c r="F10" i="11" s="1"/>
  <c r="E11" i="16"/>
  <c r="F11" i="16" s="1"/>
  <c r="F13" i="19"/>
  <c r="F13" i="18"/>
  <c r="E15" i="10"/>
  <c r="F15" i="10" s="1"/>
  <c r="F13" i="32"/>
  <c r="F13" i="31"/>
  <c r="E14" i="25"/>
  <c r="F14" i="25" s="1"/>
  <c r="E15" i="23"/>
  <c r="F15" i="23" s="1"/>
  <c r="K14" i="12"/>
  <c r="L14" i="12" s="1"/>
  <c r="K15" i="17"/>
  <c r="L15" i="17" s="1"/>
  <c r="F13" i="12"/>
  <c r="K13" i="17"/>
  <c r="L13" i="17" s="1"/>
  <c r="K14" i="27"/>
  <c r="L14" i="27" s="1"/>
  <c r="K15" i="16"/>
  <c r="L15" i="16" s="1"/>
  <c r="F9" i="29"/>
  <c r="F13" i="24"/>
  <c r="F13" i="8"/>
  <c r="K15" i="26"/>
  <c r="L15" i="26" s="1"/>
  <c r="K15" i="10"/>
  <c r="L15" i="10" s="1"/>
  <c r="F9" i="24"/>
  <c r="E11" i="18"/>
  <c r="F11" i="18" s="1"/>
  <c r="F9" i="22"/>
  <c r="E11" i="32"/>
  <c r="F11" i="32" s="1"/>
  <c r="F13" i="35"/>
  <c r="F13" i="3"/>
  <c r="F13" i="34"/>
  <c r="F13" i="2"/>
  <c r="E15" i="26"/>
  <c r="F15" i="26" s="1"/>
  <c r="E15" i="25"/>
  <c r="F15" i="25" s="1"/>
  <c r="E15" i="9"/>
  <c r="F15" i="9" s="1"/>
  <c r="F13" i="16"/>
  <c r="K14" i="31"/>
  <c r="L14" i="31" s="1"/>
  <c r="F13" i="15"/>
  <c r="E14" i="9"/>
  <c r="F14" i="9" s="1"/>
  <c r="E15" i="7"/>
  <c r="F15" i="7" s="1"/>
  <c r="K14" i="28"/>
  <c r="L14" i="28" s="1"/>
  <c r="K15" i="33"/>
  <c r="L15" i="33" s="1"/>
  <c r="K14" i="11"/>
  <c r="L14" i="11" s="1"/>
  <c r="K15" i="32"/>
  <c r="L15" i="32" s="1"/>
  <c r="F9" i="28"/>
  <c r="E10" i="17"/>
  <c r="F10" i="17" s="1"/>
  <c r="F13" i="7"/>
  <c r="F9" i="37"/>
  <c r="E10" i="8"/>
  <c r="F10" i="8" s="1"/>
  <c r="E14" i="24"/>
  <c r="F14" i="24" s="1"/>
  <c r="E14" i="8"/>
  <c r="F14" i="8" s="1"/>
  <c r="K15" i="34"/>
  <c r="L15" i="34" s="1"/>
  <c r="E11" i="15"/>
  <c r="F11" i="15" s="1"/>
  <c r="K10" i="11"/>
  <c r="L10" i="11" s="1"/>
  <c r="E15" i="2"/>
  <c r="F15" i="2" s="1"/>
  <c r="F9" i="5"/>
  <c r="E10" i="10"/>
  <c r="F10" i="10" s="1"/>
  <c r="F9" i="3"/>
  <c r="L8" i="17"/>
  <c r="K9" i="6"/>
  <c r="K11" i="32"/>
  <c r="L11" i="32" s="1"/>
  <c r="F9" i="33"/>
  <c r="L8" i="16"/>
  <c r="K9" i="21"/>
  <c r="L9" i="21" s="1"/>
  <c r="K10" i="26"/>
  <c r="L10" i="26" s="1"/>
  <c r="F9" i="21"/>
  <c r="E10" i="24"/>
  <c r="F10" i="24" s="1"/>
  <c r="E11" i="11"/>
  <c r="F11" i="11" s="1"/>
  <c r="K11" i="15"/>
  <c r="L11" i="15" s="1"/>
  <c r="E11" i="10"/>
  <c r="F11" i="10" s="1"/>
  <c r="L8" i="31"/>
  <c r="K9" i="36"/>
  <c r="K9" i="4"/>
  <c r="K10" i="9"/>
  <c r="L10" i="9" s="1"/>
  <c r="E15" i="18"/>
  <c r="F15" i="18" s="1"/>
  <c r="E10" i="26"/>
  <c r="F10" i="26" s="1"/>
  <c r="K15" i="36"/>
  <c r="L15" i="36" s="1"/>
  <c r="E11" i="13"/>
  <c r="F11" i="13" s="1"/>
  <c r="E10" i="23"/>
  <c r="F10" i="23" s="1"/>
  <c r="L8" i="32"/>
  <c r="K10" i="25"/>
  <c r="L10" i="25" s="1"/>
  <c r="K11" i="14"/>
  <c r="L11" i="14" s="1"/>
  <c r="F9" i="31"/>
  <c r="E10" i="20"/>
  <c r="F10" i="20" s="1"/>
  <c r="E10" i="4"/>
  <c r="F10" i="4" s="1"/>
  <c r="E11" i="9"/>
  <c r="F11" i="9" s="1"/>
  <c r="L8" i="30"/>
  <c r="L8" i="14"/>
  <c r="K9" i="35"/>
  <c r="K9" i="19"/>
  <c r="L9" i="19" s="1"/>
  <c r="K9" i="3"/>
  <c r="L9" i="3" s="1"/>
  <c r="K10" i="8"/>
  <c r="L10" i="8" s="1"/>
  <c r="K11" i="29"/>
  <c r="L11" i="29" s="1"/>
  <c r="K11" i="13"/>
  <c r="L11" i="13" s="1"/>
  <c r="E10" i="33"/>
  <c r="F10" i="33" s="1"/>
  <c r="E11" i="6"/>
  <c r="F11" i="6" s="1"/>
  <c r="K13" i="31"/>
  <c r="L13" i="31" s="1"/>
  <c r="F9" i="30"/>
  <c r="E10" i="19"/>
  <c r="F10" i="19" s="1"/>
  <c r="E10" i="3"/>
  <c r="F10" i="3" s="1"/>
  <c r="L8" i="29"/>
  <c r="L8" i="13"/>
  <c r="K9" i="34"/>
  <c r="K9" i="18"/>
  <c r="L9" i="18" s="1"/>
  <c r="K9" i="2"/>
  <c r="K10" i="23"/>
  <c r="L10" i="23" s="1"/>
  <c r="K10" i="7"/>
  <c r="L10" i="7" s="1"/>
  <c r="K11" i="28"/>
  <c r="L11" i="28" s="1"/>
  <c r="K11" i="12"/>
  <c r="L11" i="12" s="1"/>
  <c r="E10" i="32"/>
  <c r="F10" i="32" s="1"/>
  <c r="E11" i="21"/>
  <c r="F11" i="21" s="1"/>
  <c r="E11" i="5"/>
  <c r="F11" i="5" s="1"/>
  <c r="F13" i="25"/>
  <c r="L8" i="12"/>
  <c r="K10" i="1"/>
  <c r="L10" i="1" s="1"/>
  <c r="K10" i="6"/>
  <c r="L10" i="6" s="1"/>
  <c r="E11" i="20"/>
  <c r="F11" i="20" s="1"/>
  <c r="F13" i="30"/>
  <c r="F13" i="14"/>
  <c r="F9" i="19"/>
  <c r="K9" i="22"/>
  <c r="L9" i="22" s="1"/>
  <c r="K11" i="16"/>
  <c r="L11" i="16" s="1"/>
  <c r="E10" i="22"/>
  <c r="F10" i="22" s="1"/>
  <c r="E10" i="6"/>
  <c r="F10" i="6" s="1"/>
  <c r="K9" i="37"/>
  <c r="K10" i="10"/>
  <c r="L10" i="10" s="1"/>
  <c r="K11" i="31"/>
  <c r="L11" i="31" s="1"/>
  <c r="E10" i="21"/>
  <c r="F10" i="21" s="1"/>
  <c r="L8" i="15"/>
  <c r="K9" i="20"/>
  <c r="L9" i="20" s="1"/>
  <c r="K11" i="30"/>
  <c r="L11" i="30" s="1"/>
  <c r="E15" i="12"/>
  <c r="F15" i="12" s="1"/>
  <c r="E10" i="18"/>
  <c r="F10" i="18" s="1"/>
  <c r="L8" i="28"/>
  <c r="K9" i="33"/>
  <c r="L9" i="33" s="1"/>
  <c r="K9" i="17"/>
  <c r="L9" i="17" s="1"/>
  <c r="K10" i="22"/>
  <c r="L10" i="22" s="1"/>
  <c r="K11" i="27"/>
  <c r="L11" i="27" s="1"/>
  <c r="L8" i="27"/>
  <c r="L8" i="11"/>
  <c r="K9" i="32"/>
  <c r="L9" i="32" s="1"/>
  <c r="K9" i="16"/>
  <c r="L9" i="16" s="1"/>
  <c r="K10" i="37"/>
  <c r="L10" i="37" s="1"/>
  <c r="K10" i="21"/>
  <c r="L10" i="21" s="1"/>
  <c r="K10" i="5"/>
  <c r="L10" i="5" s="1"/>
  <c r="K11" i="26"/>
  <c r="L11" i="26" s="1"/>
  <c r="K11" i="10"/>
  <c r="L11" i="10" s="1"/>
  <c r="E15" i="24"/>
  <c r="F15" i="24" s="1"/>
  <c r="E15" i="8"/>
  <c r="F15" i="8" s="1"/>
  <c r="F13" i="29"/>
  <c r="F13" i="13"/>
  <c r="E14" i="34"/>
  <c r="F14" i="34" s="1"/>
  <c r="E14" i="2"/>
  <c r="F14" i="2" s="1"/>
  <c r="F13" i="23"/>
  <c r="E14" i="33"/>
  <c r="F14" i="33" s="1"/>
  <c r="E14" i="17"/>
  <c r="F14" i="17" s="1"/>
  <c r="K14" i="1"/>
  <c r="L14" i="1" s="1"/>
  <c r="K14" i="6"/>
  <c r="L14" i="6" s="1"/>
  <c r="K15" i="27"/>
  <c r="L15" i="27" s="1"/>
  <c r="K15" i="11"/>
  <c r="L15" i="11" s="1"/>
  <c r="K13" i="32"/>
  <c r="L13" i="32" s="1"/>
  <c r="K13" i="16"/>
  <c r="L13" i="16" s="1"/>
  <c r="K14" i="21"/>
  <c r="L14" i="21" s="1"/>
  <c r="K10" i="20"/>
  <c r="L10" i="20" s="1"/>
  <c r="K10" i="4"/>
  <c r="L10" i="4" s="1"/>
  <c r="K11" i="25"/>
  <c r="L11" i="25" s="1"/>
  <c r="K11" i="9"/>
  <c r="L11" i="9" s="1"/>
  <c r="F13" i="28"/>
  <c r="L8" i="25"/>
  <c r="L8" i="9"/>
  <c r="K9" i="14"/>
  <c r="L9" i="14" s="1"/>
  <c r="K10" i="19"/>
  <c r="L10" i="19" s="1"/>
  <c r="K10" i="3"/>
  <c r="L10" i="3" s="1"/>
  <c r="K11" i="24"/>
  <c r="L11" i="24" s="1"/>
  <c r="K11" i="8"/>
  <c r="L11" i="8" s="1"/>
  <c r="E15" i="6"/>
  <c r="F15" i="6" s="1"/>
  <c r="F13" i="27"/>
  <c r="F13" i="37"/>
  <c r="F13" i="21"/>
  <c r="F13" i="5"/>
  <c r="K13" i="26"/>
  <c r="L13" i="26" s="1"/>
  <c r="K13" i="10"/>
  <c r="L13" i="10" s="1"/>
  <c r="K13" i="14"/>
  <c r="L13" i="14" s="1"/>
  <c r="E11" i="31"/>
  <c r="F11" i="31" s="1"/>
  <c r="E15" i="36"/>
  <c r="F15" i="36" s="1"/>
  <c r="E15" i="20"/>
  <c r="F15" i="20" s="1"/>
  <c r="E15" i="4"/>
  <c r="F15" i="4" s="1"/>
  <c r="F13" i="36"/>
  <c r="F13" i="20"/>
  <c r="F13" i="4"/>
  <c r="K13" i="25"/>
  <c r="L13" i="25" s="1"/>
  <c r="K13" i="9"/>
  <c r="L13" i="9" s="1"/>
  <c r="E14" i="30"/>
  <c r="F14" i="30" s="1"/>
  <c r="E14" i="14"/>
  <c r="F14" i="14" s="1"/>
  <c r="K9" i="5"/>
  <c r="L9" i="5" s="1"/>
  <c r="K14" i="20"/>
  <c r="L14" i="20" s="1"/>
  <c r="E15" i="35"/>
  <c r="F15" i="35" s="1"/>
  <c r="F13" i="6"/>
  <c r="E10" i="15"/>
  <c r="F10" i="15" s="1"/>
  <c r="E11" i="4"/>
  <c r="F11" i="4" s="1"/>
  <c r="E10" i="30"/>
  <c r="F10" i="30" s="1"/>
  <c r="E11" i="35"/>
  <c r="F11" i="35" s="1"/>
  <c r="E11" i="19"/>
  <c r="F11" i="19" s="1"/>
  <c r="E11" i="3"/>
  <c r="F11" i="3" s="1"/>
  <c r="K10" i="27"/>
  <c r="L10" i="27" s="1"/>
  <c r="K14" i="4"/>
  <c r="L14" i="4" s="1"/>
  <c r="K15" i="9"/>
  <c r="L15" i="9" s="1"/>
  <c r="E15" i="22"/>
  <c r="F15" i="22" s="1"/>
  <c r="F9" i="15"/>
  <c r="E10" i="35"/>
  <c r="F10" i="35" s="1"/>
  <c r="E11" i="8"/>
  <c r="F11" i="8" s="1"/>
  <c r="E15" i="17"/>
  <c r="F15" i="17" s="1"/>
  <c r="F9" i="25"/>
  <c r="L8" i="23"/>
  <c r="L8" i="7"/>
  <c r="K9" i="12"/>
  <c r="L9" i="12" s="1"/>
  <c r="L8" i="33"/>
  <c r="F9" i="16"/>
  <c r="E15" i="1"/>
  <c r="F15" i="1" s="1"/>
  <c r="K15" i="8"/>
  <c r="L15" i="8" s="1"/>
  <c r="K13" i="12"/>
  <c r="L13" i="12" s="1"/>
  <c r="E15" i="3"/>
  <c r="F15" i="3" s="1"/>
  <c r="F9" i="9"/>
  <c r="F9" i="23"/>
  <c r="F9" i="7"/>
  <c r="E10" i="28"/>
  <c r="F10" i="28" s="1"/>
  <c r="E10" i="12"/>
  <c r="F10" i="12" s="1"/>
  <c r="E11" i="33"/>
  <c r="F11" i="33" s="1"/>
  <c r="E11" i="17"/>
  <c r="F11" i="17" s="1"/>
  <c r="E14" i="21"/>
  <c r="F14" i="21" s="1"/>
  <c r="K14" i="26"/>
  <c r="L14" i="26" s="1"/>
  <c r="K14" i="10"/>
  <c r="L14" i="10" s="1"/>
  <c r="K15" i="31"/>
  <c r="L15" i="31" s="1"/>
  <c r="K15" i="15"/>
  <c r="L15" i="15" s="1"/>
  <c r="F9" i="32"/>
  <c r="E11" i="26"/>
  <c r="F11" i="26" s="1"/>
  <c r="K14" i="35"/>
  <c r="L14" i="35" s="1"/>
  <c r="K14" i="3"/>
  <c r="L14" i="3" s="1"/>
  <c r="E15" i="5"/>
  <c r="F15" i="5" s="1"/>
  <c r="K15" i="7"/>
  <c r="L15" i="7" s="1"/>
  <c r="E11" i="24"/>
  <c r="F11" i="24" s="1"/>
  <c r="K13" i="11"/>
  <c r="L13" i="11" s="1"/>
  <c r="L8" i="10"/>
  <c r="F13" i="22"/>
  <c r="K9" i="30"/>
  <c r="L9" i="30" s="1"/>
  <c r="K10" i="35"/>
  <c r="L10" i="35" s="1"/>
  <c r="E10" i="14"/>
  <c r="F10" i="14" s="1"/>
  <c r="E14" i="1"/>
  <c r="F14" i="1" s="1"/>
  <c r="E14" i="22"/>
  <c r="F14" i="22" s="1"/>
  <c r="E14" i="6"/>
  <c r="F14" i="6" s="1"/>
  <c r="K13" i="3"/>
  <c r="L13" i="3" s="1"/>
  <c r="L8" i="34"/>
  <c r="L8" i="2"/>
  <c r="K9" i="7"/>
  <c r="L9" i="7" s="1"/>
  <c r="E10" i="5"/>
  <c r="F10" i="5" s="1"/>
  <c r="E15" i="21"/>
  <c r="F15" i="21" s="1"/>
  <c r="F9" i="14"/>
  <c r="F9" i="13"/>
  <c r="K11" i="11"/>
  <c r="L11" i="11" s="1"/>
  <c r="E11" i="22"/>
  <c r="F11" i="22" s="1"/>
  <c r="K15" i="20"/>
  <c r="L15" i="20" s="1"/>
  <c r="F13" i="1"/>
  <c r="E10" i="31"/>
  <c r="F10" i="31" s="1"/>
  <c r="F9" i="34"/>
  <c r="F9" i="18"/>
  <c r="F9" i="2"/>
  <c r="E10" i="7"/>
  <c r="F10" i="7" s="1"/>
  <c r="E11" i="28"/>
  <c r="F11" i="28" s="1"/>
  <c r="E11" i="12"/>
  <c r="F11" i="12" s="1"/>
  <c r="E15" i="11"/>
  <c r="F15" i="11" s="1"/>
  <c r="F13" i="9"/>
  <c r="K13" i="30"/>
  <c r="L13" i="30" s="1"/>
  <c r="K14" i="7"/>
  <c r="L14" i="7" s="1"/>
  <c r="K9" i="1"/>
  <c r="L9" i="1" s="1"/>
  <c r="K14" i="36"/>
  <c r="L14" i="36" s="1"/>
  <c r="K15" i="25"/>
  <c r="L15" i="25" s="1"/>
  <c r="K14" i="19"/>
  <c r="L14" i="19" s="1"/>
  <c r="K15" i="24"/>
  <c r="L15" i="24" s="1"/>
  <c r="E11" i="25"/>
  <c r="F11" i="25" s="1"/>
  <c r="E15" i="37"/>
  <c r="F15" i="37" s="1"/>
  <c r="E11" i="23"/>
  <c r="F11" i="23" s="1"/>
  <c r="E15" i="19"/>
  <c r="F15" i="19" s="1"/>
  <c r="F9" i="12"/>
  <c r="K14" i="15"/>
  <c r="L14" i="15" s="1"/>
  <c r="K15" i="4"/>
  <c r="L15" i="4" s="1"/>
  <c r="F9" i="17"/>
  <c r="E10" i="1"/>
  <c r="F10" i="1" s="1"/>
  <c r="E11" i="27"/>
  <c r="F11" i="27" s="1"/>
  <c r="K13" i="33"/>
  <c r="L13" i="33" s="1"/>
  <c r="K14" i="22"/>
  <c r="L14" i="22" s="1"/>
  <c r="K14" i="18"/>
  <c r="L14" i="18" s="1"/>
  <c r="K14" i="33"/>
  <c r="L14" i="33" s="1"/>
  <c r="K14" i="17"/>
  <c r="L14" i="17" s="1"/>
  <c r="K15" i="22"/>
  <c r="L15" i="22" s="1"/>
  <c r="K15" i="6"/>
  <c r="L15" i="6" s="1"/>
  <c r="K15" i="23"/>
  <c r="L15" i="23" s="1"/>
  <c r="K14" i="2"/>
  <c r="L14" i="2" s="1"/>
  <c r="K14" i="34"/>
  <c r="L14" i="34" s="1"/>
  <c r="L8" i="24"/>
  <c r="L8" i="8"/>
  <c r="K9" i="29"/>
  <c r="L9" i="29" s="1"/>
  <c r="K9" i="13"/>
  <c r="L9" i="13" s="1"/>
  <c r="K15" i="1"/>
  <c r="L15" i="1" s="1"/>
  <c r="K13" i="27"/>
  <c r="L13" i="27" s="1"/>
  <c r="E14" i="31"/>
  <c r="F14" i="31" s="1"/>
  <c r="E14" i="15"/>
  <c r="F14" i="15" s="1"/>
  <c r="F9" i="4"/>
  <c r="E10" i="25"/>
  <c r="F10" i="25" s="1"/>
  <c r="E11" i="30"/>
  <c r="F11" i="30" s="1"/>
  <c r="E15" i="16"/>
  <c r="F15" i="16" s="1"/>
  <c r="E14" i="26"/>
  <c r="F14" i="26" s="1"/>
  <c r="K15" i="35"/>
  <c r="L15" i="35" s="1"/>
  <c r="F9" i="36"/>
  <c r="F9" i="20"/>
  <c r="E15" i="32"/>
  <c r="F15" i="32" s="1"/>
  <c r="F9" i="35"/>
  <c r="K15" i="3"/>
  <c r="L15" i="3" s="1"/>
  <c r="F13" i="11"/>
  <c r="E14" i="37"/>
  <c r="F14" i="37" s="1"/>
  <c r="E14" i="5"/>
  <c r="F14" i="5" s="1"/>
  <c r="K15" i="19"/>
  <c r="L15" i="19" s="1"/>
  <c r="F13" i="10"/>
  <c r="E14" i="20"/>
  <c r="F14" i="20" s="1"/>
  <c r="K14" i="25"/>
  <c r="L14" i="25" s="1"/>
  <c r="K14" i="9"/>
  <c r="L14" i="9" s="1"/>
  <c r="K15" i="30"/>
  <c r="L15" i="30" s="1"/>
  <c r="K15" i="14"/>
  <c r="L15" i="14" s="1"/>
  <c r="E10" i="9"/>
  <c r="F10" i="9" s="1"/>
  <c r="E11" i="14"/>
  <c r="F11" i="14" s="1"/>
  <c r="E14" i="10"/>
  <c r="F14" i="10" s="1"/>
  <c r="E11" i="29"/>
  <c r="F11" i="29" s="1"/>
  <c r="K14" i="14"/>
  <c r="L14" i="14" s="1"/>
  <c r="E14" i="19"/>
  <c r="F14" i="19" s="1"/>
  <c r="K13" i="29"/>
  <c r="L13" i="29" s="1"/>
  <c r="K13" i="13"/>
  <c r="L13" i="13" s="1"/>
  <c r="K14" i="30"/>
  <c r="L14" i="30" s="1"/>
  <c r="K13" i="28"/>
  <c r="L13" i="28" s="1"/>
  <c r="E15" i="31"/>
  <c r="F15" i="31" s="1"/>
  <c r="E14" i="18"/>
  <c r="F14" i="18" s="1"/>
  <c r="E15" i="30"/>
  <c r="F15" i="30" s="1"/>
  <c r="E15" i="14"/>
  <c r="F15" i="14" s="1"/>
  <c r="E15" i="15"/>
  <c r="F15" i="15" s="1"/>
  <c r="E14" i="32"/>
  <c r="F14" i="32" s="1"/>
  <c r="E14" i="16"/>
  <c r="F14" i="16" s="1"/>
  <c r="F13" i="33"/>
  <c r="F13" i="17"/>
  <c r="E14" i="27"/>
  <c r="F14" i="27" s="1"/>
  <c r="E14" i="11"/>
  <c r="F14" i="11" s="1"/>
  <c r="L23" i="11" l="1"/>
  <c r="H64" i="11"/>
  <c r="B64" i="11"/>
  <c r="L23" i="28"/>
  <c r="H64" i="28"/>
  <c r="B64" i="28"/>
  <c r="L23" i="16"/>
  <c r="H64" i="16"/>
  <c r="L19" i="10"/>
  <c r="K23" i="10"/>
  <c r="L19" i="24"/>
  <c r="K23" i="24"/>
  <c r="B64" i="24"/>
  <c r="B64" i="30"/>
  <c r="K23" i="8"/>
  <c r="L19" i="8"/>
  <c r="F19" i="20"/>
  <c r="L19" i="12"/>
  <c r="K23" i="12"/>
  <c r="B64" i="12"/>
  <c r="B64" i="19"/>
  <c r="B64" i="35"/>
  <c r="L23" i="1"/>
  <c r="H64" i="1"/>
  <c r="F19" i="5"/>
  <c r="L23" i="34"/>
  <c r="H64" i="34"/>
  <c r="B64" i="13"/>
  <c r="F19" i="25"/>
  <c r="L23" i="22"/>
  <c r="H64" i="22"/>
  <c r="B64" i="22"/>
  <c r="B64" i="15"/>
  <c r="B64" i="6"/>
  <c r="B64" i="4"/>
  <c r="H64" i="36"/>
  <c r="L23" i="36"/>
  <c r="L23" i="27"/>
  <c r="H64" i="27"/>
  <c r="F19" i="27"/>
  <c r="K23" i="33"/>
  <c r="L19" i="33"/>
  <c r="F19" i="33"/>
  <c r="L23" i="26"/>
  <c r="H64" i="26"/>
  <c r="H64" i="18"/>
  <c r="L23" i="18"/>
  <c r="L19" i="17"/>
  <c r="K23" i="17"/>
  <c r="F19" i="17"/>
  <c r="H64" i="31"/>
  <c r="L23" i="31"/>
  <c r="F19" i="31"/>
  <c r="B64" i="23"/>
  <c r="K23" i="2"/>
  <c r="L19" i="2"/>
  <c r="L19" i="29"/>
  <c r="K23" i="29"/>
  <c r="F19" i="29"/>
  <c r="L23" i="32"/>
  <c r="H64" i="32"/>
  <c r="B64" i="32"/>
  <c r="B64" i="37"/>
  <c r="F19" i="9"/>
  <c r="L9" i="2"/>
  <c r="L9" i="6"/>
  <c r="L9" i="36"/>
  <c r="L9" i="35"/>
  <c r="L9" i="37"/>
  <c r="L9" i="34"/>
  <c r="L9" i="4"/>
  <c r="F8" i="1"/>
  <c r="F8" i="27"/>
  <c r="F8" i="11"/>
  <c r="F8" i="34"/>
  <c r="F8" i="21"/>
  <c r="F8" i="6"/>
  <c r="F8" i="26"/>
  <c r="F8" i="25"/>
  <c r="F8" i="22"/>
  <c r="F8" i="8"/>
  <c r="F8" i="7"/>
  <c r="F8" i="33"/>
  <c r="F8" i="24"/>
  <c r="F8" i="15"/>
  <c r="F8" i="5"/>
  <c r="F8" i="36"/>
  <c r="F8" i="23"/>
  <c r="F8" i="16"/>
  <c r="F8" i="17"/>
  <c r="F8" i="18"/>
  <c r="F8" i="12"/>
  <c r="F8" i="2"/>
  <c r="F8" i="29"/>
  <c r="F8" i="14"/>
  <c r="F8" i="20"/>
  <c r="F8" i="13"/>
  <c r="F8" i="32"/>
  <c r="F8" i="30"/>
  <c r="F8" i="3"/>
  <c r="F8" i="28"/>
  <c r="F8" i="19"/>
  <c r="F8" i="35"/>
  <c r="F8" i="37"/>
  <c r="F8" i="4"/>
  <c r="F8" i="31"/>
  <c r="K17" i="2"/>
  <c r="L17" i="2" s="1"/>
  <c r="K17" i="3"/>
  <c r="L17" i="3" s="1"/>
  <c r="K17" i="4"/>
  <c r="L17" i="4" s="1"/>
  <c r="K17" i="5"/>
  <c r="L17" i="5" s="1"/>
  <c r="K17" i="6"/>
  <c r="L17" i="6" s="1"/>
  <c r="K17" i="7"/>
  <c r="L17" i="7" s="1"/>
  <c r="K17" i="8"/>
  <c r="L17" i="8" s="1"/>
  <c r="K17" i="9"/>
  <c r="L17" i="9" s="1"/>
  <c r="K17" i="10"/>
  <c r="L17" i="10" s="1"/>
  <c r="K17" i="11"/>
  <c r="L17" i="11" s="1"/>
  <c r="K17" i="12"/>
  <c r="L17" i="12" s="1"/>
  <c r="K17" i="13"/>
  <c r="L17" i="13" s="1"/>
  <c r="K17" i="14"/>
  <c r="L17" i="14" s="1"/>
  <c r="K17" i="15"/>
  <c r="L17" i="15" s="1"/>
  <c r="K17" i="16"/>
  <c r="L17" i="16" s="1"/>
  <c r="K17" i="17"/>
  <c r="L17" i="17" s="1"/>
  <c r="K17" i="18"/>
  <c r="L17" i="18" s="1"/>
  <c r="K17" i="19"/>
  <c r="L17" i="19" s="1"/>
  <c r="K17" i="20"/>
  <c r="L17" i="20" s="1"/>
  <c r="K17" i="21"/>
  <c r="L17" i="21" s="1"/>
  <c r="K17" i="22"/>
  <c r="L17" i="22" s="1"/>
  <c r="K17" i="23"/>
  <c r="L17" i="23" s="1"/>
  <c r="K17" i="24"/>
  <c r="L17" i="24" s="1"/>
  <c r="K17" i="25"/>
  <c r="L17" i="25" s="1"/>
  <c r="K17" i="26"/>
  <c r="L17" i="26" s="1"/>
  <c r="K17" i="27"/>
  <c r="L17" i="27" s="1"/>
  <c r="K17" i="28"/>
  <c r="L17" i="28" s="1"/>
  <c r="K17" i="29"/>
  <c r="L17" i="29" s="1"/>
  <c r="K17" i="30"/>
  <c r="L17" i="30" s="1"/>
  <c r="K17" i="31"/>
  <c r="L17" i="31" s="1"/>
  <c r="K17" i="32"/>
  <c r="L17" i="32" s="1"/>
  <c r="K17" i="33"/>
  <c r="L17" i="33" s="1"/>
  <c r="K17" i="34"/>
  <c r="L17" i="34" s="1"/>
  <c r="K17" i="35"/>
  <c r="L17" i="35" s="1"/>
  <c r="K17" i="36"/>
  <c r="L17" i="36" s="1"/>
  <c r="K17" i="37"/>
  <c r="L17" i="37" s="1"/>
  <c r="K17" i="1"/>
  <c r="L17" i="1" s="1"/>
  <c r="F21" i="2"/>
  <c r="F21" i="3"/>
  <c r="F21" i="4"/>
  <c r="F21" i="5"/>
  <c r="F21" i="6"/>
  <c r="F21" i="7"/>
  <c r="F21" i="8"/>
  <c r="F21" i="9"/>
  <c r="F21" i="10"/>
  <c r="F21" i="11"/>
  <c r="F21" i="12"/>
  <c r="F21" i="14"/>
  <c r="F21" i="15"/>
  <c r="F21" i="16"/>
  <c r="F21" i="17"/>
  <c r="F21" i="18"/>
  <c r="F21" i="19"/>
  <c r="F21" i="20"/>
  <c r="F21" i="21"/>
  <c r="F21" i="22"/>
  <c r="F21" i="23"/>
  <c r="F21" i="24"/>
  <c r="F21" i="25"/>
  <c r="F21" i="26"/>
  <c r="F21" i="27"/>
  <c r="F21" i="28"/>
  <c r="F21" i="29"/>
  <c r="F21" i="30"/>
  <c r="F21" i="31"/>
  <c r="F21" i="32"/>
  <c r="F21" i="33"/>
  <c r="F21" i="34"/>
  <c r="F21" i="35"/>
  <c r="F21" i="36"/>
  <c r="F21" i="37"/>
  <c r="F21" i="1"/>
  <c r="F17" i="2"/>
  <c r="F17" i="3"/>
  <c r="F17" i="4"/>
  <c r="F17" i="5"/>
  <c r="F17" i="6"/>
  <c r="F17" i="7"/>
  <c r="F17" i="8"/>
  <c r="F17" i="9"/>
  <c r="F17" i="10"/>
  <c r="F17" i="11"/>
  <c r="F17" i="12"/>
  <c r="F17" i="13"/>
  <c r="F17" i="14"/>
  <c r="F17" i="15"/>
  <c r="F17" i="16"/>
  <c r="F17" i="17"/>
  <c r="F17" i="18"/>
  <c r="F17" i="19"/>
  <c r="F17" i="20"/>
  <c r="F17" i="21"/>
  <c r="F17" i="22"/>
  <c r="F17" i="23"/>
  <c r="F17" i="24"/>
  <c r="F17" i="25"/>
  <c r="F17" i="26"/>
  <c r="F17" i="27"/>
  <c r="F17" i="28"/>
  <c r="F17" i="29"/>
  <c r="F17" i="30"/>
  <c r="F17" i="31"/>
  <c r="F17" i="32"/>
  <c r="F17" i="33"/>
  <c r="F17" i="34"/>
  <c r="F17" i="35"/>
  <c r="F17" i="36"/>
  <c r="F17" i="37"/>
  <c r="F17" i="1"/>
  <c r="F83" i="2"/>
  <c r="F83" i="3"/>
  <c r="F83" i="4"/>
  <c r="F83" i="5"/>
  <c r="F83" i="6"/>
  <c r="F83" i="7"/>
  <c r="F83" i="8"/>
  <c r="F83" i="9"/>
  <c r="F83" i="10"/>
  <c r="F83" i="11"/>
  <c r="F83" i="12"/>
  <c r="F83" i="13"/>
  <c r="F83" i="14"/>
  <c r="F83" i="15"/>
  <c r="F83" i="16"/>
  <c r="F83" i="17"/>
  <c r="F83" i="18"/>
  <c r="F83" i="19"/>
  <c r="F83" i="20"/>
  <c r="F83" i="21"/>
  <c r="F83" i="22"/>
  <c r="F83" i="23"/>
  <c r="F83" i="24"/>
  <c r="F83" i="25"/>
  <c r="F83" i="26"/>
  <c r="F83" i="27"/>
  <c r="F83" i="28"/>
  <c r="F83" i="29"/>
  <c r="F83" i="30"/>
  <c r="F83" i="31"/>
  <c r="F83" i="32"/>
  <c r="F83" i="33"/>
  <c r="F83" i="34"/>
  <c r="F83" i="35"/>
  <c r="F83" i="36"/>
  <c r="F83" i="37"/>
  <c r="F83" i="1"/>
  <c r="C101" i="2"/>
  <c r="C107" i="2" s="1"/>
  <c r="C101" i="3"/>
  <c r="C107" i="3" s="1"/>
  <c r="C101" i="4"/>
  <c r="C107" i="4" s="1"/>
  <c r="C101" i="5"/>
  <c r="C107" i="5" s="1"/>
  <c r="C101" i="6"/>
  <c r="C107" i="6" s="1"/>
  <c r="C101" i="7"/>
  <c r="C107" i="7" s="1"/>
  <c r="C101" i="8"/>
  <c r="C107" i="8" s="1"/>
  <c r="C101" i="9"/>
  <c r="C107" i="9" s="1"/>
  <c r="C101" i="10"/>
  <c r="C107" i="10" s="1"/>
  <c r="C101" i="11"/>
  <c r="C107" i="11" s="1"/>
  <c r="C101" i="12"/>
  <c r="C107" i="12" s="1"/>
  <c r="C101" i="13"/>
  <c r="C107" i="13" s="1"/>
  <c r="C101" i="14"/>
  <c r="C107" i="14" s="1"/>
  <c r="C101" i="15"/>
  <c r="C107" i="15" s="1"/>
  <c r="C101" i="16"/>
  <c r="C107" i="16" s="1"/>
  <c r="C101" i="17"/>
  <c r="C107" i="17" s="1"/>
  <c r="C101" i="18"/>
  <c r="C107" i="18" s="1"/>
  <c r="C101" i="19"/>
  <c r="C107" i="19" s="1"/>
  <c r="C101" i="20"/>
  <c r="C107" i="20" s="1"/>
  <c r="C101" i="21"/>
  <c r="C107" i="21" s="1"/>
  <c r="C101" i="22"/>
  <c r="C107" i="22" s="1"/>
  <c r="C101" i="23"/>
  <c r="C107" i="23" s="1"/>
  <c r="C101" i="24"/>
  <c r="C107" i="24" s="1"/>
  <c r="C101" i="25"/>
  <c r="C107" i="25" s="1"/>
  <c r="C101" i="26"/>
  <c r="C107" i="26" s="1"/>
  <c r="C101" i="27"/>
  <c r="C107" i="27" s="1"/>
  <c r="C101" i="28"/>
  <c r="C107" i="28" s="1"/>
  <c r="C101" i="29"/>
  <c r="C107" i="29" s="1"/>
  <c r="C101" i="30"/>
  <c r="C107" i="30" s="1"/>
  <c r="C101" i="31"/>
  <c r="C107" i="31" s="1"/>
  <c r="C101" i="32"/>
  <c r="C107" i="32" s="1"/>
  <c r="C101" i="33"/>
  <c r="C107" i="33" s="1"/>
  <c r="C101" i="34"/>
  <c r="C107" i="34" s="1"/>
  <c r="C101" i="35"/>
  <c r="C107" i="35" s="1"/>
  <c r="C101" i="36"/>
  <c r="C107" i="36" s="1"/>
  <c r="C101" i="37"/>
  <c r="C107" i="37" s="1"/>
  <c r="C101" i="1"/>
  <c r="C107" i="1" s="1"/>
  <c r="D100" i="2"/>
  <c r="D100" i="3"/>
  <c r="D100" i="4"/>
  <c r="D100" i="5"/>
  <c r="D100" i="6"/>
  <c r="D100" i="7"/>
  <c r="D100" i="8"/>
  <c r="D100" i="9"/>
  <c r="D100" i="10"/>
  <c r="D100" i="11"/>
  <c r="D100" i="12"/>
  <c r="D100" i="13"/>
  <c r="D100" i="14"/>
  <c r="D100" i="15"/>
  <c r="D100" i="16"/>
  <c r="D100" i="17"/>
  <c r="D100" i="18"/>
  <c r="D100" i="19"/>
  <c r="D100" i="20"/>
  <c r="D100" i="21"/>
  <c r="D100" i="22"/>
  <c r="D100" i="23"/>
  <c r="D100" i="24"/>
  <c r="D100" i="25"/>
  <c r="D100" i="26"/>
  <c r="D100" i="27"/>
  <c r="D100" i="28"/>
  <c r="D100" i="29"/>
  <c r="D100" i="30"/>
  <c r="D100" i="31"/>
  <c r="D100" i="32"/>
  <c r="D100" i="33"/>
  <c r="D100" i="34"/>
  <c r="D100" i="35"/>
  <c r="D100" i="36"/>
  <c r="D100" i="37"/>
  <c r="D100" i="1"/>
  <c r="D99" i="2"/>
  <c r="D105" i="2" s="1"/>
  <c r="D99" i="3"/>
  <c r="D105" i="3" s="1"/>
  <c r="D99" i="4"/>
  <c r="D105" i="4" s="1"/>
  <c r="D99" i="5"/>
  <c r="D105" i="5" s="1"/>
  <c r="D99" i="6"/>
  <c r="D105" i="6" s="1"/>
  <c r="D99" i="7"/>
  <c r="D105" i="7" s="1"/>
  <c r="D99" i="8"/>
  <c r="D105" i="8" s="1"/>
  <c r="D99" i="9"/>
  <c r="D105" i="9" s="1"/>
  <c r="D99" i="10"/>
  <c r="D105" i="10" s="1"/>
  <c r="D99" i="11"/>
  <c r="D105" i="11" s="1"/>
  <c r="D99" i="12"/>
  <c r="D105" i="12" s="1"/>
  <c r="D99" i="13"/>
  <c r="D105" i="13" s="1"/>
  <c r="D99" i="14"/>
  <c r="D105" i="14" s="1"/>
  <c r="D99" i="15"/>
  <c r="D105" i="15" s="1"/>
  <c r="D99" i="16"/>
  <c r="D105" i="16" s="1"/>
  <c r="D99" i="17"/>
  <c r="D105" i="17" s="1"/>
  <c r="D99" i="18"/>
  <c r="D105" i="18" s="1"/>
  <c r="D99" i="19"/>
  <c r="D105" i="19" s="1"/>
  <c r="D99" i="20"/>
  <c r="D105" i="20" s="1"/>
  <c r="D99" i="21"/>
  <c r="D105" i="21" s="1"/>
  <c r="D99" i="22"/>
  <c r="D105" i="22" s="1"/>
  <c r="D99" i="23"/>
  <c r="D105" i="23" s="1"/>
  <c r="D99" i="24"/>
  <c r="D105" i="24" s="1"/>
  <c r="D99" i="25"/>
  <c r="D105" i="25" s="1"/>
  <c r="D99" i="26"/>
  <c r="D105" i="26" s="1"/>
  <c r="D99" i="27"/>
  <c r="D105" i="27" s="1"/>
  <c r="D99" i="28"/>
  <c r="D105" i="28" s="1"/>
  <c r="D99" i="29"/>
  <c r="D105" i="29" s="1"/>
  <c r="D99" i="30"/>
  <c r="D105" i="30" s="1"/>
  <c r="D99" i="31"/>
  <c r="D105" i="31" s="1"/>
  <c r="D99" i="32"/>
  <c r="D105" i="32" s="1"/>
  <c r="D99" i="33"/>
  <c r="D105" i="33" s="1"/>
  <c r="D99" i="34"/>
  <c r="D105" i="34" s="1"/>
  <c r="D99" i="35"/>
  <c r="D105" i="35" s="1"/>
  <c r="D99" i="36"/>
  <c r="D105" i="36" s="1"/>
  <c r="D99" i="37"/>
  <c r="D105" i="37" s="1"/>
  <c r="D99" i="1"/>
  <c r="D105" i="1" s="1"/>
  <c r="L23" i="10" l="1"/>
  <c r="H64" i="10"/>
  <c r="L23" i="24"/>
  <c r="H64" i="24"/>
  <c r="L23" i="8"/>
  <c r="H64" i="8"/>
  <c r="B64" i="20"/>
  <c r="L23" i="12"/>
  <c r="H64" i="12"/>
  <c r="B64" i="5"/>
  <c r="B64" i="25"/>
  <c r="B64" i="27"/>
  <c r="L23" i="33"/>
  <c r="H64" i="33"/>
  <c r="B64" i="33"/>
  <c r="L23" i="17"/>
  <c r="H64" i="17"/>
  <c r="B64" i="17"/>
  <c r="B64" i="31"/>
  <c r="L23" i="2"/>
  <c r="H64" i="2"/>
  <c r="H64" i="29"/>
  <c r="L23" i="29"/>
  <c r="B64" i="29"/>
  <c r="B64" i="9"/>
  <c r="F21" i="13"/>
  <c r="D101" i="32"/>
  <c r="D107" i="32" s="1"/>
  <c r="D101" i="31"/>
  <c r="D107" i="31" s="1"/>
  <c r="D101" i="16"/>
  <c r="D107" i="16" s="1"/>
  <c r="D101" i="30"/>
  <c r="D107" i="30" s="1"/>
  <c r="D101" i="11"/>
  <c r="D107" i="11" s="1"/>
  <c r="D101" i="10"/>
  <c r="D107" i="10" s="1"/>
  <c r="D101" i="12"/>
  <c r="D107" i="12" s="1"/>
  <c r="D101" i="29"/>
  <c r="D107" i="29" s="1"/>
  <c r="D101" i="15"/>
  <c r="D107" i="15" s="1"/>
  <c r="D101" i="26"/>
  <c r="D107" i="26" s="1"/>
  <c r="D101" i="14"/>
  <c r="D107" i="14" s="1"/>
  <c r="D101" i="27"/>
  <c r="D107" i="27" s="1"/>
  <c r="D101" i="25"/>
  <c r="D107" i="25" s="1"/>
  <c r="D101" i="9"/>
  <c r="D107" i="9" s="1"/>
  <c r="D101" i="13"/>
  <c r="D107" i="13" s="1"/>
  <c r="D101" i="28"/>
  <c r="D107" i="28" s="1"/>
  <c r="D106" i="22"/>
  <c r="D81" i="22"/>
  <c r="E81" i="22" s="1"/>
  <c r="F81" i="22" s="1"/>
  <c r="D106" i="21"/>
  <c r="D81" i="21"/>
  <c r="E81" i="21" s="1"/>
  <c r="F81" i="21" s="1"/>
  <c r="D81" i="36"/>
  <c r="E81" i="36" s="1"/>
  <c r="F81" i="36" s="1"/>
  <c r="D106" i="36"/>
  <c r="D106" i="20"/>
  <c r="D81" i="20"/>
  <c r="E81" i="20" s="1"/>
  <c r="F81" i="20" s="1"/>
  <c r="D81" i="4"/>
  <c r="E81" i="4" s="1"/>
  <c r="F81" i="4" s="1"/>
  <c r="D106" i="4"/>
  <c r="D106" i="19"/>
  <c r="D81" i="19"/>
  <c r="E81" i="19" s="1"/>
  <c r="F81" i="19" s="1"/>
  <c r="D81" i="34"/>
  <c r="E81" i="34" s="1"/>
  <c r="F81" i="34" s="1"/>
  <c r="D106" i="34"/>
  <c r="D81" i="2"/>
  <c r="E81" i="2" s="1"/>
  <c r="F81" i="2" s="1"/>
  <c r="D106" i="2"/>
  <c r="D81" i="33"/>
  <c r="E81" i="33" s="1"/>
  <c r="F81" i="33" s="1"/>
  <c r="D106" i="33"/>
  <c r="D81" i="17"/>
  <c r="E81" i="17" s="1"/>
  <c r="F81" i="17" s="1"/>
  <c r="D106" i="17"/>
  <c r="D106" i="31"/>
  <c r="D81" i="31"/>
  <c r="E81" i="31" s="1"/>
  <c r="F81" i="31" s="1"/>
  <c r="D106" i="30"/>
  <c r="D81" i="30"/>
  <c r="E81" i="30" s="1"/>
  <c r="F81" i="30" s="1"/>
  <c r="D106" i="14"/>
  <c r="D81" i="14"/>
  <c r="E81" i="14" s="1"/>
  <c r="F81" i="14" s="1"/>
  <c r="D101" i="24"/>
  <c r="D107" i="24" s="1"/>
  <c r="D101" i="8"/>
  <c r="D107" i="8" s="1"/>
  <c r="D81" i="1"/>
  <c r="E81" i="1" s="1"/>
  <c r="F81" i="1" s="1"/>
  <c r="D106" i="1"/>
  <c r="D81" i="37"/>
  <c r="E81" i="37" s="1"/>
  <c r="F81" i="37" s="1"/>
  <c r="D106" i="37"/>
  <c r="D81" i="5"/>
  <c r="E81" i="5" s="1"/>
  <c r="F81" i="5" s="1"/>
  <c r="D106" i="5"/>
  <c r="D81" i="18"/>
  <c r="E81" i="18" s="1"/>
  <c r="F81" i="18" s="1"/>
  <c r="D106" i="18"/>
  <c r="D106" i="32"/>
  <c r="D81" i="32"/>
  <c r="E81" i="32" s="1"/>
  <c r="F81" i="32" s="1"/>
  <c r="D106" i="16"/>
  <c r="D81" i="16"/>
  <c r="E81" i="16" s="1"/>
  <c r="F81" i="16" s="1"/>
  <c r="D106" i="15"/>
  <c r="D81" i="15"/>
  <c r="E81" i="15" s="1"/>
  <c r="F81" i="15" s="1"/>
  <c r="D106" i="29"/>
  <c r="D81" i="29"/>
  <c r="E81" i="29" s="1"/>
  <c r="F81" i="29" s="1"/>
  <c r="D106" i="13"/>
  <c r="D81" i="13"/>
  <c r="E81" i="13" s="1"/>
  <c r="F81" i="13" s="1"/>
  <c r="D101" i="23"/>
  <c r="D107" i="23" s="1"/>
  <c r="D101" i="7"/>
  <c r="D107" i="7" s="1"/>
  <c r="D81" i="6"/>
  <c r="E81" i="6" s="1"/>
  <c r="F81" i="6" s="1"/>
  <c r="D106" i="6"/>
  <c r="D106" i="35"/>
  <c r="D81" i="35"/>
  <c r="E81" i="35" s="1"/>
  <c r="F81" i="35" s="1"/>
  <c r="D106" i="3"/>
  <c r="D81" i="3"/>
  <c r="E81" i="3" s="1"/>
  <c r="F81" i="3" s="1"/>
  <c r="D81" i="28"/>
  <c r="E81" i="28" s="1"/>
  <c r="F81" i="28" s="1"/>
  <c r="D106" i="28"/>
  <c r="D101" i="22"/>
  <c r="D107" i="22" s="1"/>
  <c r="D101" i="6"/>
  <c r="D107" i="6" s="1"/>
  <c r="D81" i="27"/>
  <c r="E81" i="27" s="1"/>
  <c r="F81" i="27" s="1"/>
  <c r="D106" i="27"/>
  <c r="D101" i="37"/>
  <c r="D107" i="37" s="1"/>
  <c r="D81" i="10"/>
  <c r="E81" i="10" s="1"/>
  <c r="F81" i="10" s="1"/>
  <c r="D106" i="10"/>
  <c r="D101" i="36"/>
  <c r="D107" i="36" s="1"/>
  <c r="D101" i="4"/>
  <c r="D107" i="4" s="1"/>
  <c r="D106" i="9"/>
  <c r="D81" i="9"/>
  <c r="E81" i="9" s="1"/>
  <c r="F81" i="9" s="1"/>
  <c r="D101" i="19"/>
  <c r="D107" i="19" s="1"/>
  <c r="D106" i="8"/>
  <c r="D81" i="8"/>
  <c r="E81" i="8" s="1"/>
  <c r="F81" i="8" s="1"/>
  <c r="D101" i="34"/>
  <c r="D107" i="34" s="1"/>
  <c r="D101" i="2"/>
  <c r="D107" i="2" s="1"/>
  <c r="D81" i="12"/>
  <c r="E81" i="12" s="1"/>
  <c r="F81" i="12" s="1"/>
  <c r="D106" i="12"/>
  <c r="D101" i="1"/>
  <c r="D107" i="1" s="1"/>
  <c r="D81" i="11"/>
  <c r="E81" i="11" s="1"/>
  <c r="F81" i="11" s="1"/>
  <c r="D106" i="11"/>
  <c r="D101" i="21"/>
  <c r="D107" i="21" s="1"/>
  <c r="D101" i="5"/>
  <c r="D107" i="5" s="1"/>
  <c r="D81" i="26"/>
  <c r="E81" i="26" s="1"/>
  <c r="F81" i="26" s="1"/>
  <c r="D106" i="26"/>
  <c r="D101" i="20"/>
  <c r="D107" i="20" s="1"/>
  <c r="D81" i="25"/>
  <c r="E81" i="25" s="1"/>
  <c r="F81" i="25" s="1"/>
  <c r="D106" i="25"/>
  <c r="D101" i="35"/>
  <c r="D107" i="35" s="1"/>
  <c r="D101" i="3"/>
  <c r="D107" i="3" s="1"/>
  <c r="D81" i="24"/>
  <c r="E81" i="24" s="1"/>
  <c r="F81" i="24" s="1"/>
  <c r="D106" i="24"/>
  <c r="D101" i="18"/>
  <c r="D107" i="18" s="1"/>
  <c r="D81" i="23"/>
  <c r="E81" i="23" s="1"/>
  <c r="F81" i="23" s="1"/>
  <c r="D106" i="23"/>
  <c r="D81" i="7"/>
  <c r="E81" i="7" s="1"/>
  <c r="F81" i="7" s="1"/>
  <c r="D106" i="7"/>
  <c r="D101" i="33"/>
  <c r="D107" i="33" s="1"/>
  <c r="D101" i="17"/>
  <c r="D107" i="17" s="1"/>
</calcChain>
</file>

<file path=xl/sharedStrings.xml><?xml version="1.0" encoding="utf-8"?>
<sst xmlns="http://schemas.openxmlformats.org/spreadsheetml/2006/main" count="7918" uniqueCount="60">
  <si>
    <t>RFC Microgrid</t>
  </si>
  <si>
    <t>Worst case costs (USD)</t>
  </si>
  <si>
    <t>Best case costs (USD)</t>
  </si>
  <si>
    <t>Turbine</t>
  </si>
  <si>
    <t>CAPEX</t>
  </si>
  <si>
    <t>OPEX</t>
  </si>
  <si>
    <t>Annual costs</t>
  </si>
  <si>
    <t>25 year costs</t>
  </si>
  <si>
    <t xml:space="preserve">100 kW </t>
  </si>
  <si>
    <t>100 kW</t>
  </si>
  <si>
    <t>500 kW</t>
  </si>
  <si>
    <t>800 kW</t>
  </si>
  <si>
    <t>1500 kW</t>
  </si>
  <si>
    <t>RFC</t>
  </si>
  <si>
    <t>1000 kW</t>
  </si>
  <si>
    <t>20000 kW</t>
  </si>
  <si>
    <t>100000 kW</t>
  </si>
  <si>
    <t xml:space="preserve">H2 furnace </t>
  </si>
  <si>
    <t>17.58 kW</t>
  </si>
  <si>
    <t>H2 Storage</t>
  </si>
  <si>
    <t>H2 storage</t>
  </si>
  <si>
    <t>PV Solar</t>
  </si>
  <si>
    <t xml:space="preserve">Total </t>
  </si>
  <si>
    <t>Size</t>
  </si>
  <si>
    <t>Built</t>
  </si>
  <si>
    <t>Capacity (kW)</t>
  </si>
  <si>
    <t>Total</t>
  </si>
  <si>
    <t>H2 furnace</t>
  </si>
  <si>
    <t>H2 tank</t>
  </si>
  <si>
    <t>Size (kg)</t>
  </si>
  <si>
    <t>Worst case water usage (L)</t>
  </si>
  <si>
    <t>Scenario</t>
  </si>
  <si>
    <t>Yearly water usage</t>
  </si>
  <si>
    <t>25 year water usage</t>
  </si>
  <si>
    <t>Best case water usage (L)</t>
  </si>
  <si>
    <t>Without capturing</t>
  </si>
  <si>
    <t>With capturing</t>
  </si>
  <si>
    <t>Water tank for capturing scenario</t>
  </si>
  <si>
    <t>Size (L)</t>
  </si>
  <si>
    <t>25 years</t>
  </si>
  <si>
    <t>Diesel Microgrid</t>
  </si>
  <si>
    <t>Costs (USD)</t>
  </si>
  <si>
    <t>Diesel genset</t>
  </si>
  <si>
    <t>2000 kW</t>
  </si>
  <si>
    <t>Genset fuel</t>
  </si>
  <si>
    <t xml:space="preserve">Diesel furnace </t>
  </si>
  <si>
    <t>Furnace fuel</t>
  </si>
  <si>
    <t>Diesel furnace</t>
  </si>
  <si>
    <t>Fuel usage (L)</t>
  </si>
  <si>
    <t>Technology</t>
  </si>
  <si>
    <t>Yearly fuel useage</t>
  </si>
  <si>
    <t>25 year fuel useage</t>
  </si>
  <si>
    <t>Genset</t>
  </si>
  <si>
    <t>Furnace</t>
  </si>
  <si>
    <t>Emissions (kg)</t>
  </si>
  <si>
    <t>Yearly CO2 emissions</t>
  </si>
  <si>
    <t>25 year CO2 emissions</t>
  </si>
  <si>
    <t>Cost of CO2 Avoidance (USD/kg CO2)</t>
  </si>
  <si>
    <t>CO2 avoided (kg CO2)</t>
  </si>
  <si>
    <t>yearly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</si>
</sst>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2">
    <xf numFmtId="0" fontId="0" fillId="0" borderId="0" xfId="0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4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16" xfId="0" applyBorder="1"/>
    <xf numFmtId="0" fontId="0" fillId="0" borderId="20" xfId="0" applyBorder="1"/>
    <xf numFmtId="0" fontId="0" fillId="0" borderId="12" xfId="0" applyBorder="1"/>
    <xf numFmtId="0" fontId="0" fillId="0" borderId="27" xfId="0" applyBorder="1"/>
    <xf numFmtId="0" fontId="0" fillId="0" borderId="10" xfId="0" applyBorder="1"/>
    <xf numFmtId="0" fontId="0" fillId="0" borderId="11" xfId="0" applyBorder="1"/>
    <xf numFmtId="0" fontId="0" fillId="0" borderId="1" xfId="0" applyBorder="1"/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0" fillId="0" borderId="28" xfId="0" applyBorder="1"/>
    <xf numFmtId="0" fontId="0" fillId="0" borderId="29" xfId="0" applyBorder="1"/>
    <xf numFmtId="43" fontId="0" fillId="0" borderId="0" xfId="1" applyFont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4:N107"/>
  <sheetViews>
    <sheetView zoomScale="70" workbookViewId="0">
      <selection activeCell="F12" sqref="F12"/>
    </sheetView>
  </sheetViews>
  <sheetFormatPr defaultRowHeight="14.35" x14ac:dyDescent="0.5"/>
  <cols>
    <col min="1" max="1" width="8.9375" customWidth="1"/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6220203.264543023</v>
      </c>
      <c r="D8" s="13">
        <f>29*D27</f>
        <v>185600</v>
      </c>
      <c r="E8" s="13">
        <f>C8+D8</f>
        <v>6405803.264543023</v>
      </c>
      <c r="F8" s="2">
        <f>E8*25</f>
        <v>160145081.61357558</v>
      </c>
      <c r="H8" s="7" t="s">
        <v>9</v>
      </c>
      <c r="I8" s="16">
        <f>1615 * J27*((0.05*((1.05)^25))/((1.05^25)-1))</f>
        <v>744823.42049866298</v>
      </c>
      <c r="J8" s="13">
        <f>29*J27</f>
        <v>188500</v>
      </c>
      <c r="K8" s="13">
        <f>I8+J8</f>
        <v>933323.42049866298</v>
      </c>
      <c r="L8" s="2">
        <f>K8*25</f>
        <v>23333085.512466576</v>
      </c>
      <c r="N8" s="31"/>
    </row>
    <row r="9" spans="2:14" x14ac:dyDescent="0.5">
      <c r="B9" s="7" t="s">
        <v>10</v>
      </c>
      <c r="C9" s="10">
        <f>13698 * D28*((0.05*((1.05)^25))/((1.05^25)-1))</f>
        <v>0</v>
      </c>
      <c r="D9" s="13">
        <f>29*D28</f>
        <v>0</v>
      </c>
      <c r="E9" s="13">
        <f>C9+D9</f>
        <v>0</v>
      </c>
      <c r="F9" s="2">
        <f>E9*25</f>
        <v>0</v>
      </c>
      <c r="H9" s="7" t="s">
        <v>10</v>
      </c>
      <c r="I9" s="16">
        <f t="shared" ref="I9:I11" si="0">1615 * J28*((0.05*((1.05)^25))/((1.05^25)-1))</f>
        <v>0</v>
      </c>
      <c r="J9" s="13">
        <f>29*J28</f>
        <v>0</v>
      </c>
      <c r="K9" s="13">
        <f>I9+J9</f>
        <v>0</v>
      </c>
      <c r="L9" s="2">
        <f>K9*25</f>
        <v>0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1934798.3499839231</v>
      </c>
      <c r="D13" s="13">
        <f>37.35*D38</f>
        <v>224100</v>
      </c>
      <c r="E13" s="13">
        <f>C13+D13</f>
        <v>2158898.3499839231</v>
      </c>
      <c r="F13" s="2">
        <f>E13*25</f>
        <v>53972458.749598078</v>
      </c>
      <c r="H13" s="7" t="s">
        <v>14</v>
      </c>
      <c r="I13" s="16">
        <f>2490 * J38*((0.05*((1.05)^10))/((1.05^10)-1))</f>
        <v>1934798.3499839231</v>
      </c>
      <c r="J13" s="13">
        <f>37.35*J38</f>
        <v>224100</v>
      </c>
      <c r="K13" s="13">
        <f>I13+J13</f>
        <v>2158898.3499839231</v>
      </c>
      <c r="L13" s="2">
        <f>K13*25</f>
        <v>53972458.749598078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90290.87999999999</v>
      </c>
      <c r="E17" s="14">
        <f>D17+C17</f>
        <v>119858.4117517469</v>
      </c>
      <c r="F17" s="4">
        <f>E17*25</f>
        <v>2996460.2937936727</v>
      </c>
      <c r="H17" s="8" t="s">
        <v>18</v>
      </c>
      <c r="I17" s="17">
        <v>72451.738109242433</v>
      </c>
      <c r="J17" s="14">
        <v>90290.87999999999</v>
      </c>
      <c r="K17" s="14">
        <f>J17+I17</f>
        <v>162742.61810924241</v>
      </c>
      <c r="L17" s="4">
        <f>K17*25</f>
        <v>4068565.4527310603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921505.87129789905</v>
      </c>
      <c r="D19" s="14">
        <v>0</v>
      </c>
      <c r="E19" s="14">
        <f>C19</f>
        <v>921505.87129789905</v>
      </c>
      <c r="F19" s="4">
        <f>E19*25</f>
        <v>23037646.782447476</v>
      </c>
      <c r="H19" s="8"/>
      <c r="I19" s="17">
        <f>I48*300*((0.05*((1.05)^20))/((1.05^20)-1))</f>
        <v>847602.44849527231</v>
      </c>
      <c r="J19" s="14">
        <v>0</v>
      </c>
      <c r="K19" s="14">
        <f>I19</f>
        <v>847602.44849527231</v>
      </c>
      <c r="L19" s="4">
        <f>K19*25</f>
        <v>21190061.212381806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271.70140022768078</v>
      </c>
      <c r="J21" s="14">
        <f>19*I34</f>
        <v>38</v>
      </c>
      <c r="K21" s="14">
        <f>J21+I21</f>
        <v>309.70140022768078</v>
      </c>
      <c r="L21" s="4">
        <f>K21*25</f>
        <v>7742.5350056920197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9106346.7189768199</v>
      </c>
      <c r="D23" s="14">
        <f>D8+D9+D10+D11+D13+D14+D15+D17+D19+D21</f>
        <v>500028.88</v>
      </c>
      <c r="E23" s="14">
        <f>E8+E9+E10+E11+E13+E14+E15+E17+E19+E21</f>
        <v>9606375.5989768207</v>
      </c>
      <c r="F23" s="4">
        <f>E23*25</f>
        <v>240159389.97442052</v>
      </c>
      <c r="H23" s="36"/>
      <c r="I23" s="11">
        <f>I8+I9+I11+I10+I13+I14+I15+I17+I19+I21</f>
        <v>3599947.6584873293</v>
      </c>
      <c r="J23" s="14">
        <f>J8+J9+J10+J11+J13+J14+J15+J17+J19+J21</f>
        <v>502928.88</v>
      </c>
      <c r="K23" s="14">
        <f>K8+K9+K10+K11+K13+K14+K15+K17+K19+K21</f>
        <v>4102876.5384873291</v>
      </c>
      <c r="L23" s="4">
        <f>K23*25</f>
        <v>102571913.46218322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64</v>
      </c>
      <c r="D27" s="2">
        <v>6400</v>
      </c>
      <c r="F27" s="2"/>
      <c r="H27" s="10" t="s">
        <v>9</v>
      </c>
      <c r="I27" s="13">
        <v>65</v>
      </c>
      <c r="J27" s="2">
        <v>6500</v>
      </c>
      <c r="L27" s="2"/>
    </row>
    <row r="28" spans="2:12" x14ac:dyDescent="0.5">
      <c r="B28" s="10" t="s">
        <v>10</v>
      </c>
      <c r="C28" s="13">
        <v>0</v>
      </c>
      <c r="D28" s="2">
        <v>0</v>
      </c>
      <c r="F28" s="2"/>
      <c r="H28" s="10" t="s">
        <v>10</v>
      </c>
      <c r="I28" s="13">
        <v>0</v>
      </c>
      <c r="J28" s="2">
        <v>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64</v>
      </c>
      <c r="D31" s="4">
        <v>6400</v>
      </c>
      <c r="F31" s="2"/>
      <c r="H31" s="11" t="s">
        <v>26</v>
      </c>
      <c r="I31" s="14">
        <v>65</v>
      </c>
      <c r="J31" s="4">
        <v>6500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6</v>
      </c>
      <c r="D38" s="2">
        <v>6000</v>
      </c>
      <c r="F38" s="2"/>
      <c r="H38" s="10" t="s">
        <v>14</v>
      </c>
      <c r="I38" s="13">
        <v>6</v>
      </c>
      <c r="J38" s="2">
        <v>6000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6</v>
      </c>
      <c r="D41" s="4">
        <v>6000</v>
      </c>
      <c r="F41" s="2"/>
      <c r="H41" s="11" t="s">
        <v>26</v>
      </c>
      <c r="I41" s="14">
        <v>6</v>
      </c>
      <c r="J41" s="4">
        <v>6000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321</v>
      </c>
      <c r="D45" s="4">
        <v>5643.1799999999994</v>
      </c>
      <c r="F45" s="2"/>
      <c r="H45" s="11" t="s">
        <v>18</v>
      </c>
      <c r="I45" s="14">
        <v>321</v>
      </c>
      <c r="J45" s="4">
        <v>5643.1799999999994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38280</v>
      </c>
      <c r="F48" s="2"/>
      <c r="H48" s="18" t="s">
        <v>29</v>
      </c>
      <c r="I48" s="4">
        <v>35210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7357404.3017577501</v>
      </c>
      <c r="D52" s="2">
        <f>C52*25</f>
        <v>183935107.54394376</v>
      </c>
      <c r="F52" s="2"/>
      <c r="H52" s="10" t="s">
        <v>35</v>
      </c>
      <c r="I52" s="13">
        <v>9093099.1799999997</v>
      </c>
      <c r="J52" s="2">
        <f>I52*25</f>
        <v>227327479.5</v>
      </c>
      <c r="L52" s="2"/>
    </row>
    <row r="53" spans="2:12" ht="17.45" customHeight="1" thickBot="1" x14ac:dyDescent="0.55000000000000004">
      <c r="B53" s="11" t="s">
        <v>36</v>
      </c>
      <c r="C53" s="17">
        <v>804287.72550707299</v>
      </c>
      <c r="D53" s="4">
        <f>C53*25</f>
        <v>20107193.137676824</v>
      </c>
      <c r="F53" s="2"/>
      <c r="H53" s="11" t="s">
        <v>36</v>
      </c>
      <c r="I53" s="14">
        <v>654454.84279999998</v>
      </c>
      <c r="J53" s="4">
        <f>I53*25</f>
        <v>16361371.07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1998307.34121815</v>
      </c>
      <c r="D57" s="2">
        <f>C57*25</f>
        <v>49957683.530453749</v>
      </c>
      <c r="F57" s="2"/>
      <c r="H57" s="10" t="s">
        <v>35</v>
      </c>
      <c r="I57" s="13">
        <v>2469730.642</v>
      </c>
      <c r="J57" s="2">
        <f>I57*25</f>
        <v>61743266.049999997</v>
      </c>
      <c r="L57" s="2"/>
    </row>
    <row r="58" spans="2:12" ht="21.35" customHeight="1" thickBot="1" x14ac:dyDescent="0.55000000000000004">
      <c r="B58" s="11" t="s">
        <v>36</v>
      </c>
      <c r="C58" s="17">
        <v>469359.76971030899</v>
      </c>
      <c r="D58" s="4">
        <f>C58*25</f>
        <v>11733994.242757725</v>
      </c>
      <c r="F58" s="2"/>
      <c r="H58" s="11" t="s">
        <v>36</v>
      </c>
      <c r="I58" s="14">
        <v>408574.27827999997</v>
      </c>
      <c r="J58" s="4">
        <f>I58*25</f>
        <v>10214356.956999999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344471.37941321201</v>
      </c>
      <c r="F61" s="2"/>
      <c r="H61" s="18" t="s">
        <v>38</v>
      </c>
      <c r="I61" s="4">
        <v>316890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1.1741716369897506</v>
      </c>
      <c r="C64" s="41"/>
      <c r="D64" s="3"/>
      <c r="E64" s="3"/>
      <c r="F64" s="4"/>
      <c r="H64" s="40">
        <f>K23/B68</f>
        <v>0.50148791413856653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8181406.6158205755</v>
      </c>
      <c r="C68" s="4">
        <f>D107</f>
        <v>204535165.3955144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38314.326941583982</v>
      </c>
      <c r="D74" s="13">
        <v>89400</v>
      </c>
      <c r="E74" s="13">
        <f>C74+D74</f>
        <v>127714.32694158397</v>
      </c>
      <c r="F74" s="2">
        <f>E74*25</f>
        <v>3192858.1735395994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1753758.157894732</v>
      </c>
      <c r="E78" s="13">
        <f>D78</f>
        <v>1753758.157894732</v>
      </c>
      <c r="F78" s="2">
        <f>E78*25</f>
        <v>43843953.947368301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72451.738109242433</v>
      </c>
      <c r="D80" s="13">
        <v>90290.87999999999</v>
      </c>
      <c r="E80" s="13">
        <f>C80+D80</f>
        <v>162742.61810924241</v>
      </c>
      <c r="F80" s="2">
        <f>E80*25</f>
        <v>4068565.4527310603</v>
      </c>
    </row>
    <row r="81" spans="2:6" ht="14.7" thickBot="1" x14ac:dyDescent="0.55000000000000004">
      <c r="B81" s="11" t="s">
        <v>46</v>
      </c>
      <c r="C81" s="14"/>
      <c r="D81" s="14">
        <f>D100*2.0865</f>
        <v>115366127.2306734</v>
      </c>
      <c r="E81" s="14">
        <f>D81</f>
        <v>115366127.2306734</v>
      </c>
      <c r="F81" s="4">
        <f>E81*25</f>
        <v>2884153180.7668352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110766.06505082639</v>
      </c>
      <c r="D83" s="14">
        <v>6548094.1271216664</v>
      </c>
      <c r="E83" s="14">
        <v>6658860.1921724929</v>
      </c>
      <c r="F83" s="4">
        <f>E83*25</f>
        <v>166471504.80431232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6</v>
      </c>
      <c r="D87" s="2">
        <v>600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6</v>
      </c>
      <c r="D91" s="4">
        <v>600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321</v>
      </c>
      <c r="D95" s="4">
        <v>5643.1799999999994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840526.31578947138</v>
      </c>
      <c r="D99" s="2">
        <f>C99*25</f>
        <v>21013157.894736785</v>
      </c>
      <c r="F99" s="2"/>
    </row>
    <row r="100" spans="2:6" x14ac:dyDescent="0.5">
      <c r="B100" s="10" t="s">
        <v>53</v>
      </c>
      <c r="C100" s="13">
        <v>2211667.9076093631</v>
      </c>
      <c r="D100" s="2">
        <f>C100*25</f>
        <v>55291697.69023408</v>
      </c>
      <c r="F100" s="2"/>
    </row>
    <row r="101" spans="2:6" ht="14.7" thickBot="1" x14ac:dyDescent="0.55000000000000004">
      <c r="B101" s="11" t="s">
        <v>26</v>
      </c>
      <c r="C101" s="14">
        <f>C99+C100</f>
        <v>3052194.2233988345</v>
      </c>
      <c r="D101" s="4">
        <f>D99+D100</f>
        <v>76304855.584970862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2253030.789473678</v>
      </c>
      <c r="D105" s="29">
        <f t="shared" si="4"/>
        <v>56325769.736841954</v>
      </c>
      <c r="F105" s="2"/>
    </row>
    <row r="106" spans="2:6" x14ac:dyDescent="0.5">
      <c r="B106" s="10" t="s">
        <v>53</v>
      </c>
      <c r="C106" s="13">
        <f t="shared" si="4"/>
        <v>5928375.8263468975</v>
      </c>
      <c r="D106" s="29">
        <f t="shared" si="4"/>
        <v>148209395.65867245</v>
      </c>
      <c r="F106" s="2"/>
    </row>
    <row r="107" spans="2:6" ht="14.7" thickBot="1" x14ac:dyDescent="0.55000000000000004">
      <c r="B107" s="11" t="s">
        <v>26</v>
      </c>
      <c r="C107" s="14">
        <f t="shared" si="4"/>
        <v>8181406.6158205755</v>
      </c>
      <c r="D107" s="30">
        <f t="shared" si="4"/>
        <v>204535165.3955144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291572.0280254542</v>
      </c>
      <c r="D8" s="13">
        <f>29*D27</f>
        <v>8700</v>
      </c>
      <c r="E8" s="13">
        <f>C8+D8</f>
        <v>300272.0280254542</v>
      </c>
      <c r="F8" s="2">
        <f>E8*25</f>
        <v>7506800.7006363552</v>
      </c>
      <c r="H8" s="7" t="s">
        <v>9</v>
      </c>
      <c r="I8" s="16">
        <f>1615 * J27*((0.05*((1.05)^25))/((1.05^25)-1))</f>
        <v>45835.287415302337</v>
      </c>
      <c r="J8" s="13">
        <f>29*J27</f>
        <v>11600</v>
      </c>
      <c r="K8" s="13">
        <f>I8+J8</f>
        <v>57435.287415302337</v>
      </c>
      <c r="L8" s="2">
        <f>K8*25</f>
        <v>1435882.1853825585</v>
      </c>
      <c r="N8" s="31"/>
    </row>
    <row r="9" spans="2:14" x14ac:dyDescent="0.5">
      <c r="B9" s="7" t="s">
        <v>10</v>
      </c>
      <c r="C9" s="10">
        <f>13698 * D28*((0.05*((1.05)^25))/((1.05^25)-1))</f>
        <v>1943813.5201696947</v>
      </c>
      <c r="D9" s="13">
        <f>29*D28</f>
        <v>58000</v>
      </c>
      <c r="E9" s="13">
        <f>C9+D9</f>
        <v>2001813.5201696947</v>
      </c>
      <c r="F9" s="2">
        <f>E9*25</f>
        <v>50045338.004242368</v>
      </c>
      <c r="H9" s="7" t="s">
        <v>10</v>
      </c>
      <c r="I9" s="16">
        <f t="shared" ref="I9:I11" si="0">1615 * J28*((0.05*((1.05)^25))/((1.05^25)-1))</f>
        <v>229176.43707651168</v>
      </c>
      <c r="J9" s="13">
        <f>29*J28</f>
        <v>58000</v>
      </c>
      <c r="K9" s="13">
        <f>I9+J9</f>
        <v>287176.43707651168</v>
      </c>
      <c r="L9" s="2">
        <f>K9*25</f>
        <v>7179410.926912792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644932.78332797438</v>
      </c>
      <c r="D13" s="13">
        <f>37.35*D38</f>
        <v>74700</v>
      </c>
      <c r="E13" s="13">
        <f>C13+D13</f>
        <v>719632.78332797438</v>
      </c>
      <c r="F13" s="2">
        <f>E13*25</f>
        <v>17990819.583199359</v>
      </c>
      <c r="H13" s="7" t="s">
        <v>14</v>
      </c>
      <c r="I13" s="16">
        <f>2490 * J38*((0.05*((1.05)^10))/((1.05^10)-1))</f>
        <v>644932.78332797438</v>
      </c>
      <c r="J13" s="13">
        <f>37.35*J38</f>
        <v>74700</v>
      </c>
      <c r="K13" s="13">
        <f>I13+J13</f>
        <v>719632.78332797438</v>
      </c>
      <c r="L13" s="2">
        <f>K13*25</f>
        <v>17990819.583199359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36847.679999999993</v>
      </c>
      <c r="E17" s="14">
        <f>D17+C17</f>
        <v>66415.211751746887</v>
      </c>
      <c r="F17" s="4">
        <f>E17*25</f>
        <v>1660380.2937936722</v>
      </c>
      <c r="H17" s="8" t="s">
        <v>18</v>
      </c>
      <c r="I17" s="17">
        <v>29567.531751746908</v>
      </c>
      <c r="J17" s="14">
        <v>36847.679999999993</v>
      </c>
      <c r="K17" s="14">
        <f>J17+I17</f>
        <v>66415.211751746901</v>
      </c>
      <c r="L17" s="4">
        <f>K17*25</f>
        <v>1660380.2937936725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204618.59733626284</v>
      </c>
      <c r="D19" s="14">
        <v>0</v>
      </c>
      <c r="E19" s="14">
        <f>C19</f>
        <v>204618.59733626284</v>
      </c>
      <c r="F19" s="4">
        <f>E19*25</f>
        <v>5115464.9334065709</v>
      </c>
      <c r="H19" s="8"/>
      <c r="I19" s="17">
        <f>I48*300*((0.05*((1.05)^20))/((1.05^20)-1))</f>
        <v>183434.55431792035</v>
      </c>
      <c r="J19" s="14">
        <v>0</v>
      </c>
      <c r="K19" s="14">
        <f>I19</f>
        <v>183434.55431792035</v>
      </c>
      <c r="L19" s="4">
        <f>K19*25</f>
        <v>4585863.8579480089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0</v>
      </c>
      <c r="J21" s="14">
        <f>19*I34</f>
        <v>0</v>
      </c>
      <c r="K21" s="14">
        <f>J21+I21</f>
        <v>0</v>
      </c>
      <c r="L21" s="4">
        <f>K21*25</f>
        <v>0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3114776.1620113607</v>
      </c>
      <c r="D23" s="14">
        <f>D8+D9+D10+D11+D13+D14+D15+D17+D19+D21</f>
        <v>178285.68</v>
      </c>
      <c r="E23" s="14">
        <f>E8+E9+E10+E11+E13+E14+E15+E17+E19+E21</f>
        <v>3293061.8420113609</v>
      </c>
      <c r="F23" s="4">
        <f>E23*25</f>
        <v>82326546.050284028</v>
      </c>
      <c r="H23" s="36"/>
      <c r="I23" s="11">
        <f>I8+I9+I11+I10+I13+I14+I15+I17+I19+I21</f>
        <v>1132946.5938894558</v>
      </c>
      <c r="J23" s="14">
        <f>J8+J9+J10+J11+J13+J14+J15+J17+J19+J21</f>
        <v>181147.68</v>
      </c>
      <c r="K23" s="14">
        <f>K8+K9+K10+K11+K13+K14+K15+K17+K19+K21</f>
        <v>1314094.2738894559</v>
      </c>
      <c r="L23" s="4">
        <f>K23*25</f>
        <v>32852356.847236399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3</v>
      </c>
      <c r="D27" s="2">
        <v>300</v>
      </c>
      <c r="F27" s="2"/>
      <c r="H27" s="10" t="s">
        <v>9</v>
      </c>
      <c r="I27" s="13">
        <v>4</v>
      </c>
      <c r="J27" s="2">
        <v>400</v>
      </c>
      <c r="L27" s="2"/>
    </row>
    <row r="28" spans="2:12" x14ac:dyDescent="0.5">
      <c r="B28" s="10" t="s">
        <v>10</v>
      </c>
      <c r="C28" s="13">
        <v>4</v>
      </c>
      <c r="D28" s="2">
        <v>2000</v>
      </c>
      <c r="F28" s="2"/>
      <c r="H28" s="10" t="s">
        <v>10</v>
      </c>
      <c r="I28" s="13">
        <v>4</v>
      </c>
      <c r="J28" s="2">
        <v>2000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7</v>
      </c>
      <c r="D31" s="4">
        <v>2300</v>
      </c>
      <c r="F31" s="2"/>
      <c r="H31" s="11" t="s">
        <v>26</v>
      </c>
      <c r="I31" s="14">
        <v>8</v>
      </c>
      <c r="J31" s="4">
        <v>2400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0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2</v>
      </c>
      <c r="D38" s="2">
        <v>2000</v>
      </c>
      <c r="F38" s="2"/>
      <c r="H38" s="10" t="s">
        <v>14</v>
      </c>
      <c r="I38" s="13">
        <v>2</v>
      </c>
      <c r="J38" s="2">
        <v>2000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2</v>
      </c>
      <c r="D41" s="4">
        <v>2000</v>
      </c>
      <c r="F41" s="2"/>
      <c r="H41" s="11" t="s">
        <v>26</v>
      </c>
      <c r="I41" s="14">
        <v>2</v>
      </c>
      <c r="J41" s="4">
        <v>2000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131</v>
      </c>
      <c r="D45" s="4">
        <v>2302.98</v>
      </c>
      <c r="F45" s="2"/>
      <c r="H45" s="11" t="s">
        <v>18</v>
      </c>
      <c r="I45" s="14">
        <v>131</v>
      </c>
      <c r="J45" s="4">
        <v>2302.98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8500</v>
      </c>
      <c r="F48" s="2"/>
      <c r="H48" s="18" t="s">
        <v>29</v>
      </c>
      <c r="I48" s="4">
        <v>7620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2186388.0100221499</v>
      </c>
      <c r="D52" s="2">
        <f>C52*25</f>
        <v>54659700.25055375</v>
      </c>
      <c r="F52" s="2"/>
      <c r="H52" s="10" t="s">
        <v>35</v>
      </c>
      <c r="I52" s="13">
        <v>2591846.7799999998</v>
      </c>
      <c r="J52" s="2">
        <f>I52*25</f>
        <v>64796169.499999993</v>
      </c>
      <c r="L52" s="2"/>
    </row>
    <row r="53" spans="2:12" ht="17.350000000000001" customHeight="1" thickBot="1" x14ac:dyDescent="0.55000000000000004">
      <c r="B53" s="11" t="s">
        <v>36</v>
      </c>
      <c r="C53" s="17">
        <v>113050.49036347569</v>
      </c>
      <c r="D53" s="4">
        <f>C53*25</f>
        <v>2826262.2590868925</v>
      </c>
      <c r="F53" s="2"/>
      <c r="H53" s="11" t="s">
        <v>36</v>
      </c>
      <c r="I53" s="14">
        <v>68579.999999999738</v>
      </c>
      <c r="J53" s="4">
        <f>I53*25</f>
        <v>1714499.9999999935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593833.78049984295</v>
      </c>
      <c r="D57" s="2">
        <f>C57*25</f>
        <v>14845844.512496073</v>
      </c>
      <c r="F57" s="2"/>
      <c r="H57" s="10" t="s">
        <v>35</v>
      </c>
      <c r="I57" s="13">
        <v>703958.3848</v>
      </c>
      <c r="J57" s="2">
        <f>I57*25</f>
        <v>17598959.620000001</v>
      </c>
      <c r="L57" s="2"/>
    </row>
    <row r="58" spans="2:12" ht="21.45" customHeight="1" thickBot="1" x14ac:dyDescent="0.55000000000000004">
      <c r="B58" s="11" t="s">
        <v>36</v>
      </c>
      <c r="C58" s="17">
        <v>86426.773093210024</v>
      </c>
      <c r="D58" s="4">
        <f>C58*25</f>
        <v>2160669.3273302508</v>
      </c>
      <c r="F58" s="2"/>
      <c r="H58" s="11" t="s">
        <v>36</v>
      </c>
      <c r="I58" s="14">
        <v>68579.999999999927</v>
      </c>
      <c r="J58" s="4">
        <f>I58*25</f>
        <v>1714499.9999999981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76499.285297517694</v>
      </c>
      <c r="F61" s="2"/>
      <c r="H61" s="18" t="s">
        <v>38</v>
      </c>
      <c r="I61" s="4">
        <v>68580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0.83207894197415944</v>
      </c>
      <c r="C64" s="41"/>
      <c r="D64" s="3"/>
      <c r="E64" s="3"/>
      <c r="F64" s="4"/>
      <c r="H64" s="40">
        <f>K23/B68</f>
        <v>0.33204058275576942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3957631.5129407858</v>
      </c>
      <c r="C68" s="4">
        <f>D107</f>
        <v>98940787.823519662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31928.605784653319</v>
      </c>
      <c r="D74" s="13">
        <v>74500</v>
      </c>
      <c r="E74" s="13">
        <f>C74+D74</f>
        <v>106428.60578465332</v>
      </c>
      <c r="F74" s="2">
        <f>E74*25</f>
        <v>2660715.1446163328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1434194.210526315</v>
      </c>
      <c r="E78" s="13">
        <f>D78</f>
        <v>1434194.210526315</v>
      </c>
      <c r="F78" s="2">
        <f>E78*25</f>
        <v>35854855.263157874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29567.531751746908</v>
      </c>
      <c r="D80" s="13">
        <v>36847.679999999993</v>
      </c>
      <c r="E80" s="13">
        <f>C80+D80</f>
        <v>66415.211751746901</v>
      </c>
      <c r="F80" s="2">
        <f>E80*25</f>
        <v>1660380.2937936725</v>
      </c>
    </row>
    <row r="81" spans="2:6" ht="14.7" thickBot="1" x14ac:dyDescent="0.55000000000000004">
      <c r="B81" s="11" t="s">
        <v>46</v>
      </c>
      <c r="C81" s="14"/>
      <c r="D81" s="14">
        <f>D100*2.0865</f>
        <v>41160609.685088247</v>
      </c>
      <c r="E81" s="14">
        <f>D81</f>
        <v>41160609.685088247</v>
      </c>
      <c r="F81" s="4">
        <f>E81*25</f>
        <v>1029015242.1272062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61496.137536400231</v>
      </c>
      <c r="D83" s="14">
        <v>3191966.2779298448</v>
      </c>
      <c r="E83" s="14">
        <v>3253462.4154662448</v>
      </c>
      <c r="F83" s="4">
        <f>E83*25</f>
        <v>81336560.38665612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5</v>
      </c>
      <c r="D87" s="2">
        <v>500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5</v>
      </c>
      <c r="D91" s="4">
        <v>500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131</v>
      </c>
      <c r="D95" s="4">
        <v>2302.98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687368.42105263122</v>
      </c>
      <c r="D99" s="2">
        <f>C99*25</f>
        <v>17184210.526315782</v>
      </c>
      <c r="F99" s="2"/>
    </row>
    <row r="100" spans="2:6" x14ac:dyDescent="0.5">
      <c r="B100" s="10" t="s">
        <v>53</v>
      </c>
      <c r="C100" s="13">
        <v>789084.2978210065</v>
      </c>
      <c r="D100" s="2">
        <f>C100*25</f>
        <v>19727107.445525162</v>
      </c>
      <c r="F100" s="2"/>
    </row>
    <row r="101" spans="2:6" ht="14.7" thickBot="1" x14ac:dyDescent="0.55000000000000004">
      <c r="B101" s="11" t="s">
        <v>26</v>
      </c>
      <c r="C101" s="14">
        <f>C99+C100</f>
        <v>1476452.7188736377</v>
      </c>
      <c r="D101" s="4">
        <f>D99+D100</f>
        <v>36911317.971840948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1842491.0526315779</v>
      </c>
      <c r="D105" s="29">
        <f t="shared" si="4"/>
        <v>46062276.315789454</v>
      </c>
      <c r="F105" s="2"/>
    </row>
    <row r="106" spans="2:6" x14ac:dyDescent="0.5">
      <c r="B106" s="10" t="s">
        <v>53</v>
      </c>
      <c r="C106" s="13">
        <f t="shared" si="4"/>
        <v>2115140.4603092079</v>
      </c>
      <c r="D106" s="29">
        <f t="shared" si="4"/>
        <v>52878511.507730193</v>
      </c>
      <c r="F106" s="2"/>
    </row>
    <row r="107" spans="2:6" ht="14.7" thickBot="1" x14ac:dyDescent="0.55000000000000004">
      <c r="B107" s="11" t="s">
        <v>26</v>
      </c>
      <c r="C107" s="14">
        <f t="shared" si="4"/>
        <v>3957631.5129407858</v>
      </c>
      <c r="D107" s="30">
        <f t="shared" si="4"/>
        <v>98940787.823519662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2138194.872186664</v>
      </c>
      <c r="D8" s="13">
        <f>29*D27</f>
        <v>63800</v>
      </c>
      <c r="E8" s="13">
        <f>C8+D8</f>
        <v>2201994.872186664</v>
      </c>
      <c r="F8" s="2">
        <f>E8*25</f>
        <v>55049871.804666601</v>
      </c>
      <c r="H8" s="7" t="s">
        <v>9</v>
      </c>
      <c r="I8" s="16">
        <f>1615 * J27*((0.05*((1.05)^25))/((1.05^25)-1))</f>
        <v>68752.931122953509</v>
      </c>
      <c r="J8" s="13">
        <f>29*J27</f>
        <v>17400</v>
      </c>
      <c r="K8" s="13">
        <f>I8+J8</f>
        <v>86152.931122953509</v>
      </c>
      <c r="L8" s="2">
        <f>K8*25</f>
        <v>2153823.2780738375</v>
      </c>
      <c r="N8" s="31"/>
    </row>
    <row r="9" spans="2:14" x14ac:dyDescent="0.5">
      <c r="B9" s="7" t="s">
        <v>10</v>
      </c>
      <c r="C9" s="10">
        <f>13698 * D28*((0.05*((1.05)^25))/((1.05^25)-1))</f>
        <v>0</v>
      </c>
      <c r="D9" s="13">
        <f>29*D28</f>
        <v>0</v>
      </c>
      <c r="E9" s="13">
        <f>C9+D9</f>
        <v>0</v>
      </c>
      <c r="F9" s="2">
        <f>E9*25</f>
        <v>0</v>
      </c>
      <c r="H9" s="7" t="s">
        <v>10</v>
      </c>
      <c r="I9" s="16">
        <f t="shared" ref="I9:I11" si="0">1615 * J28*((0.05*((1.05)^25))/((1.05^25)-1))</f>
        <v>286470.54634563962</v>
      </c>
      <c r="J9" s="13">
        <f>29*J28</f>
        <v>72500</v>
      </c>
      <c r="K9" s="13">
        <f>I9+J9</f>
        <v>358970.54634563962</v>
      </c>
      <c r="L9" s="2">
        <f>K9*25</f>
        <v>8974263.65864099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644932.78332797438</v>
      </c>
      <c r="D13" s="13">
        <f>37.35*D38</f>
        <v>74700</v>
      </c>
      <c r="E13" s="13">
        <f>C13+D13</f>
        <v>719632.78332797438</v>
      </c>
      <c r="F13" s="2">
        <f>E13*25</f>
        <v>17990819.583199359</v>
      </c>
      <c r="H13" s="7" t="s">
        <v>14</v>
      </c>
      <c r="I13" s="16">
        <f>2490 * J38*((0.05*((1.05)^10))/((1.05^10)-1))</f>
        <v>967399.17499196157</v>
      </c>
      <c r="J13" s="13">
        <f>37.35*J38</f>
        <v>112050</v>
      </c>
      <c r="K13" s="13">
        <f>I13+J13</f>
        <v>1079449.1749919616</v>
      </c>
      <c r="L13" s="2">
        <f>K13*25</f>
        <v>26986229.374799039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31784.639999999999</v>
      </c>
      <c r="E17" s="14">
        <f>D17+C17</f>
        <v>61352.171751746901</v>
      </c>
      <c r="F17" s="4">
        <f>E17*25</f>
        <v>1533804.2937936725</v>
      </c>
      <c r="H17" s="8" t="s">
        <v>18</v>
      </c>
      <c r="I17" s="17">
        <v>25504.817465247339</v>
      </c>
      <c r="J17" s="14">
        <v>31784.639999999999</v>
      </c>
      <c r="K17" s="14">
        <f>J17+I17</f>
        <v>57289.457465247338</v>
      </c>
      <c r="L17" s="4">
        <f>K17*25</f>
        <v>1432236.4366311834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1108551.3420394005</v>
      </c>
      <c r="D19" s="14">
        <v>0</v>
      </c>
      <c r="E19" s="14">
        <f>C19</f>
        <v>1108551.3420394005</v>
      </c>
      <c r="F19" s="4">
        <f>E19*25</f>
        <v>27713783.550985012</v>
      </c>
      <c r="H19" s="8"/>
      <c r="I19" s="17">
        <f>I48*300*((0.05*((1.05)^20))/((1.05^20)-1))</f>
        <v>406589.18929523288</v>
      </c>
      <c r="J19" s="14">
        <v>0</v>
      </c>
      <c r="K19" s="14">
        <f>I19</f>
        <v>406589.18929523288</v>
      </c>
      <c r="L19" s="4">
        <f>K19*25</f>
        <v>10164729.732380822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0</v>
      </c>
      <c r="J21" s="14">
        <f>19*I34</f>
        <v>0</v>
      </c>
      <c r="K21" s="14">
        <f>J21+I21</f>
        <v>0</v>
      </c>
      <c r="L21" s="4">
        <f>K21*25</f>
        <v>0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3921518.2307060137</v>
      </c>
      <c r="D23" s="14">
        <f>D8+D9+D10+D11+D13+D14+D15+D17+D19+D21</f>
        <v>170322.64</v>
      </c>
      <c r="E23" s="14">
        <f>E8+E9+E10+E11+E13+E14+E15+E17+E19+E21</f>
        <v>4091840.8707060134</v>
      </c>
      <c r="F23" s="4">
        <f>E23*25</f>
        <v>102296021.76765034</v>
      </c>
      <c r="H23" s="36"/>
      <c r="I23" s="11">
        <f>I8+I9+I11+I10+I13+I14+I15+I17+I19+I21</f>
        <v>1754716.659221035</v>
      </c>
      <c r="J23" s="14">
        <f>J8+J9+J10+J11+J13+J14+J15+J17+J19+J21</f>
        <v>233734.64</v>
      </c>
      <c r="K23" s="14">
        <f>K8+K9+K10+K11+K13+K14+K15+K17+K19+K21</f>
        <v>1988451.2992210346</v>
      </c>
      <c r="L23" s="4">
        <f>K23*25</f>
        <v>49711282.480525866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22</v>
      </c>
      <c r="D27" s="2">
        <v>2200</v>
      </c>
      <c r="F27" s="2"/>
      <c r="H27" s="10" t="s">
        <v>9</v>
      </c>
      <c r="I27" s="13">
        <v>6</v>
      </c>
      <c r="J27" s="2">
        <v>600</v>
      </c>
      <c r="L27" s="2"/>
    </row>
    <row r="28" spans="2:12" x14ac:dyDescent="0.5">
      <c r="B28" s="10" t="s">
        <v>10</v>
      </c>
      <c r="C28" s="13">
        <v>0</v>
      </c>
      <c r="D28" s="2">
        <v>0</v>
      </c>
      <c r="F28" s="2"/>
      <c r="H28" s="10" t="s">
        <v>10</v>
      </c>
      <c r="I28" s="13">
        <v>5</v>
      </c>
      <c r="J28" s="2">
        <v>2500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22</v>
      </c>
      <c r="D31" s="4">
        <v>2200</v>
      </c>
      <c r="F31" s="2"/>
      <c r="H31" s="11" t="s">
        <v>26</v>
      </c>
      <c r="I31" s="14">
        <v>11</v>
      </c>
      <c r="J31" s="4">
        <v>3100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0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2</v>
      </c>
      <c r="D38" s="2">
        <v>2000</v>
      </c>
      <c r="F38" s="2"/>
      <c r="H38" s="10" t="s">
        <v>14</v>
      </c>
      <c r="I38" s="13">
        <v>3</v>
      </c>
      <c r="J38" s="2">
        <v>3000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2</v>
      </c>
      <c r="D41" s="4">
        <v>2000</v>
      </c>
      <c r="F41" s="2"/>
      <c r="H41" s="11" t="s">
        <v>26</v>
      </c>
      <c r="I41" s="14">
        <v>3</v>
      </c>
      <c r="J41" s="4">
        <v>3000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113</v>
      </c>
      <c r="D45" s="4">
        <v>1986.54</v>
      </c>
      <c r="F45" s="2"/>
      <c r="H45" s="11" t="s">
        <v>18</v>
      </c>
      <c r="I45" s="14">
        <v>113</v>
      </c>
      <c r="J45" s="4">
        <v>1986.54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46050</v>
      </c>
      <c r="F48" s="2"/>
      <c r="H48" s="18" t="s">
        <v>29</v>
      </c>
      <c r="I48" s="4">
        <v>16890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3896185.6667130901</v>
      </c>
      <c r="D52" s="2">
        <f>C52*25</f>
        <v>97404641.667827249</v>
      </c>
      <c r="F52" s="2"/>
      <c r="H52" s="10" t="s">
        <v>35</v>
      </c>
      <c r="I52" s="13">
        <v>4902375.03</v>
      </c>
      <c r="J52" s="2">
        <f>I52*25</f>
        <v>122559375.75</v>
      </c>
      <c r="L52" s="2"/>
    </row>
    <row r="53" spans="2:12" ht="17.45" customHeight="1" thickBot="1" x14ac:dyDescent="0.55000000000000004">
      <c r="B53" s="11" t="s">
        <v>36</v>
      </c>
      <c r="C53" s="17">
        <v>1681715.504573642</v>
      </c>
      <c r="D53" s="4">
        <f>C53*25</f>
        <v>42042887.61434105</v>
      </c>
      <c r="F53" s="2"/>
      <c r="H53" s="11" t="s">
        <v>36</v>
      </c>
      <c r="I53" s="14">
        <v>153304.64996899999</v>
      </c>
      <c r="J53" s="4">
        <f>I53*25</f>
        <v>3832616.2492249999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1058223.26750232</v>
      </c>
      <c r="D57" s="2">
        <f>C57*25</f>
        <v>26455581.687557999</v>
      </c>
      <c r="F57" s="2"/>
      <c r="H57" s="10" t="s">
        <v>35</v>
      </c>
      <c r="I57" s="13">
        <v>1331509.2679999999</v>
      </c>
      <c r="J57" s="2">
        <f>I57*25</f>
        <v>33287731.699999999</v>
      </c>
      <c r="L57" s="2"/>
    </row>
    <row r="58" spans="2:12" ht="21.45" customHeight="1" thickBot="1" x14ac:dyDescent="0.55000000000000004">
      <c r="B58" s="11" t="s">
        <v>36</v>
      </c>
      <c r="C58" s="17">
        <v>758648.49815338803</v>
      </c>
      <c r="D58" s="4">
        <f>C58*25</f>
        <v>18966212.453834701</v>
      </c>
      <c r="F58" s="2"/>
      <c r="H58" s="11" t="s">
        <v>36</v>
      </c>
      <c r="I58" s="14">
        <v>152361.6333248</v>
      </c>
      <c r="J58" s="4">
        <f>I58*25</f>
        <v>3809040.8331200001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414454.02118312201</v>
      </c>
      <c r="F61" s="2"/>
      <c r="H61" s="18" t="s">
        <v>38</v>
      </c>
      <c r="I61" s="4">
        <v>152010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1.3451272748436676</v>
      </c>
      <c r="C64" s="41"/>
      <c r="D64" s="3"/>
      <c r="E64" s="3"/>
      <c r="F64" s="4"/>
      <c r="H64" s="40">
        <f>K23/B68</f>
        <v>0.65367157760928263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3041973.0141756083</v>
      </c>
      <c r="C68" s="4">
        <f>D107</f>
        <v>76049325.354390204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19157.163470791991</v>
      </c>
      <c r="D74" s="13">
        <v>44700</v>
      </c>
      <c r="E74" s="13">
        <f>C74+D74</f>
        <v>63857.163470791987</v>
      </c>
      <c r="F74" s="2">
        <f>E74*25</f>
        <v>1596429.0867697997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974615.13157894276</v>
      </c>
      <c r="E78" s="13">
        <f>D78</f>
        <v>974615.13157894276</v>
      </c>
      <c r="F78" s="2">
        <f>E78*25</f>
        <v>24365378.289473571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25504.817465247339</v>
      </c>
      <c r="D80" s="13">
        <v>31784.639999999999</v>
      </c>
      <c r="E80" s="13">
        <f>C80+D80</f>
        <v>57289.457465247338</v>
      </c>
      <c r="F80" s="2">
        <f>E80*25</f>
        <v>1432236.4366311834</v>
      </c>
    </row>
    <row r="81" spans="2:6" ht="14.7" thickBot="1" x14ac:dyDescent="0.55000000000000004">
      <c r="B81" s="11" t="s">
        <v>46</v>
      </c>
      <c r="C81" s="14"/>
      <c r="D81" s="14">
        <f>D100*2.0865</f>
        <v>34831382.520798832</v>
      </c>
      <c r="E81" s="14">
        <f>D81</f>
        <v>34831382.520798832</v>
      </c>
      <c r="F81" s="4">
        <f>E81*25</f>
        <v>870784563.01997077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44661.980936039326</v>
      </c>
      <c r="D83" s="14">
        <v>2444355.072410896</v>
      </c>
      <c r="E83" s="14">
        <v>2489017.0533469352</v>
      </c>
      <c r="F83" s="4">
        <f>E83*25</f>
        <v>62225426.33367338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3</v>
      </c>
      <c r="D87" s="2">
        <v>300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3</v>
      </c>
      <c r="D91" s="4">
        <v>300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113</v>
      </c>
      <c r="D95" s="4">
        <v>1986.54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467105.26315789251</v>
      </c>
      <c r="D99" s="2">
        <f>C99*25</f>
        <v>11677631.578947313</v>
      </c>
      <c r="F99" s="2"/>
    </row>
    <row r="100" spans="2:6" x14ac:dyDescent="0.5">
      <c r="B100" s="10" t="s">
        <v>53</v>
      </c>
      <c r="C100" s="13">
        <v>667747.5680958319</v>
      </c>
      <c r="D100" s="2">
        <f>C100*25</f>
        <v>16693689.202395797</v>
      </c>
      <c r="F100" s="2"/>
    </row>
    <row r="101" spans="2:6" ht="14.7" thickBot="1" x14ac:dyDescent="0.55000000000000004">
      <c r="B101" s="11" t="s">
        <v>26</v>
      </c>
      <c r="C101" s="14">
        <f>C99+C100</f>
        <v>1134852.8312537244</v>
      </c>
      <c r="D101" s="4">
        <f>D99+D100</f>
        <v>28371320.78134311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1252075.6578947308</v>
      </c>
      <c r="D105" s="29">
        <f t="shared" si="4"/>
        <v>31301891.447368272</v>
      </c>
      <c r="F105" s="2"/>
    </row>
    <row r="106" spans="2:6" x14ac:dyDescent="0.5">
      <c r="B106" s="10" t="s">
        <v>53</v>
      </c>
      <c r="C106" s="13">
        <f t="shared" si="4"/>
        <v>1789897.3562808773</v>
      </c>
      <c r="D106" s="29">
        <f t="shared" si="4"/>
        <v>44747433.907021932</v>
      </c>
      <c r="F106" s="2"/>
    </row>
    <row r="107" spans="2:6" ht="14.7" thickBot="1" x14ac:dyDescent="0.55000000000000004">
      <c r="B107" s="11" t="s">
        <v>26</v>
      </c>
      <c r="C107" s="14">
        <f t="shared" si="4"/>
        <v>3041973.0141756083</v>
      </c>
      <c r="D107" s="30">
        <f t="shared" si="4"/>
        <v>76049325.354390204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1846622.8441612101</v>
      </c>
      <c r="D8" s="13">
        <f>29*D27</f>
        <v>55100</v>
      </c>
      <c r="E8" s="13">
        <f>C8+D8</f>
        <v>1901722.8441612101</v>
      </c>
      <c r="F8" s="2">
        <f>E8*25</f>
        <v>47543071.104030252</v>
      </c>
      <c r="H8" s="7" t="s">
        <v>9</v>
      </c>
      <c r="I8" s="16">
        <f>1615 * J27*((0.05*((1.05)^25))/((1.05^25)-1))</f>
        <v>286470.54634563962</v>
      </c>
      <c r="J8" s="13">
        <f>29*J27</f>
        <v>72500</v>
      </c>
      <c r="K8" s="13">
        <f>I8+J8</f>
        <v>358970.54634563962</v>
      </c>
      <c r="L8" s="2">
        <f>K8*25</f>
        <v>8974263.65864099</v>
      </c>
      <c r="N8" s="31"/>
    </row>
    <row r="9" spans="2:14" x14ac:dyDescent="0.5">
      <c r="B9" s="7" t="s">
        <v>10</v>
      </c>
      <c r="C9" s="10">
        <f>13698 * D28*((0.05*((1.05)^25))/((1.05^25)-1))</f>
        <v>485953.38004242367</v>
      </c>
      <c r="D9" s="13">
        <f>29*D28</f>
        <v>14500</v>
      </c>
      <c r="E9" s="13">
        <f>C9+D9</f>
        <v>500453.38004242367</v>
      </c>
      <c r="F9" s="2">
        <f>E9*25</f>
        <v>12511334.501060592</v>
      </c>
      <c r="H9" s="7" t="s">
        <v>10</v>
      </c>
      <c r="I9" s="16">
        <f t="shared" ref="I9:I11" si="0">1615 * J28*((0.05*((1.05)^25))/((1.05^25)-1))</f>
        <v>0</v>
      </c>
      <c r="J9" s="13">
        <f>29*J28</f>
        <v>0</v>
      </c>
      <c r="K9" s="13">
        <f>I9+J9</f>
        <v>0</v>
      </c>
      <c r="L9" s="2">
        <f>K9*25</f>
        <v>0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644932.78332797438</v>
      </c>
      <c r="D13" s="13">
        <f>37.35*D38</f>
        <v>74700</v>
      </c>
      <c r="E13" s="13">
        <f>C13+D13</f>
        <v>719632.78332797438</v>
      </c>
      <c r="F13" s="2">
        <f>E13*25</f>
        <v>17990819.583199359</v>
      </c>
      <c r="H13" s="7" t="s">
        <v>14</v>
      </c>
      <c r="I13" s="16">
        <f>2490 * J38*((0.05*((1.05)^10))/((1.05^10)-1))</f>
        <v>644932.78332797438</v>
      </c>
      <c r="J13" s="13">
        <f>37.35*J38</f>
        <v>74700</v>
      </c>
      <c r="K13" s="13">
        <f>I13+J13</f>
        <v>719632.78332797438</v>
      </c>
      <c r="L13" s="2">
        <f>K13*25</f>
        <v>17990819.583199359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45286.079999999987</v>
      </c>
      <c r="E17" s="14">
        <f>D17+C17</f>
        <v>74853.611751746881</v>
      </c>
      <c r="F17" s="4">
        <f>E17*25</f>
        <v>1871340.293793672</v>
      </c>
      <c r="H17" s="8" t="s">
        <v>18</v>
      </c>
      <c r="I17" s="17">
        <v>36338.722229246203</v>
      </c>
      <c r="J17" s="14">
        <v>45286.079999999987</v>
      </c>
      <c r="K17" s="14">
        <f>J17+I17</f>
        <v>81624.802229246183</v>
      </c>
      <c r="L17" s="4">
        <f>K17*25</f>
        <v>2040620.0557311545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912839.67188130436</v>
      </c>
      <c r="D19" s="14">
        <v>0</v>
      </c>
      <c r="E19" s="14">
        <f>C19</f>
        <v>912839.67188130436</v>
      </c>
      <c r="F19" s="4">
        <f>E19*25</f>
        <v>22820991.79703261</v>
      </c>
      <c r="H19" s="8"/>
      <c r="I19" s="17">
        <f>I48*300*((0.05*((1.05)^20))/((1.05^20)-1))</f>
        <v>864453.39180531749</v>
      </c>
      <c r="J19" s="14">
        <v>0</v>
      </c>
      <c r="K19" s="14">
        <f>I19</f>
        <v>864453.39180531749</v>
      </c>
      <c r="L19" s="4">
        <f>K19*25</f>
        <v>21611334.795132939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1086.8056009107231</v>
      </c>
      <c r="D21" s="14">
        <f>19*C34</f>
        <v>152</v>
      </c>
      <c r="E21" s="14">
        <f>D21+C21</f>
        <v>1238.8056009107231</v>
      </c>
      <c r="F21" s="4">
        <f>E21*25</f>
        <v>30970.140022768079</v>
      </c>
      <c r="H21" s="7"/>
      <c r="I21" s="11">
        <f>1693 * I34*((0.05*((1.05)^20))/((1.05^20)-1))</f>
        <v>271.70140022768078</v>
      </c>
      <c r="J21" s="14">
        <f>19*I34</f>
        <v>38</v>
      </c>
      <c r="K21" s="14">
        <f>J21+I21</f>
        <v>309.70140022768078</v>
      </c>
      <c r="L21" s="4">
        <f>K21*25</f>
        <v>7742.5350056920197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3921003.0167655698</v>
      </c>
      <c r="D23" s="14">
        <f>D8+D9+D10+D11+D13+D14+D15+D17+D19+D21</f>
        <v>189738.08</v>
      </c>
      <c r="E23" s="14">
        <f>E8+E9+E10+E11+E13+E14+E15+E17+E19+E21</f>
        <v>4110741.0967655699</v>
      </c>
      <c r="F23" s="4">
        <f>E23*25</f>
        <v>102768527.41913925</v>
      </c>
      <c r="H23" s="36"/>
      <c r="I23" s="11">
        <f>I8+I9+I11+I10+I13+I14+I15+I17+I19+I21</f>
        <v>1832467.1451084053</v>
      </c>
      <c r="J23" s="14">
        <f>J8+J9+J10+J11+J13+J14+J15+J17+J19+J21</f>
        <v>192524.08</v>
      </c>
      <c r="K23" s="14">
        <f>K8+K9+K10+K11+K13+K14+K15+K17+K19+K21</f>
        <v>2024991.2251084051</v>
      </c>
      <c r="L23" s="4">
        <f>K23*25</f>
        <v>50624780.627710126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19</v>
      </c>
      <c r="D27" s="2">
        <v>1900</v>
      </c>
      <c r="F27" s="2"/>
      <c r="H27" s="10" t="s">
        <v>9</v>
      </c>
      <c r="I27" s="13">
        <v>25</v>
      </c>
      <c r="J27" s="2">
        <v>2500</v>
      </c>
      <c r="L27" s="2"/>
    </row>
    <row r="28" spans="2:12" x14ac:dyDescent="0.5">
      <c r="B28" s="10" t="s">
        <v>10</v>
      </c>
      <c r="C28" s="13">
        <v>1</v>
      </c>
      <c r="D28" s="2">
        <v>500</v>
      </c>
      <c r="F28" s="2"/>
      <c r="H28" s="10" t="s">
        <v>10</v>
      </c>
      <c r="I28" s="13">
        <v>0</v>
      </c>
      <c r="J28" s="2">
        <v>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20</v>
      </c>
      <c r="D31" s="4">
        <v>2400</v>
      </c>
      <c r="F31" s="2"/>
      <c r="H31" s="11" t="s">
        <v>26</v>
      </c>
      <c r="I31" s="14">
        <v>25</v>
      </c>
      <c r="J31" s="4">
        <v>2500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8</v>
      </c>
      <c r="F34" s="2"/>
      <c r="H34" s="18" t="s">
        <v>25</v>
      </c>
      <c r="I34" s="4">
        <v>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2</v>
      </c>
      <c r="D38" s="2">
        <v>2000</v>
      </c>
      <c r="F38" s="2"/>
      <c r="H38" s="10" t="s">
        <v>14</v>
      </c>
      <c r="I38" s="13">
        <v>2</v>
      </c>
      <c r="J38" s="2">
        <v>2000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2</v>
      </c>
      <c r="D41" s="4">
        <v>2000</v>
      </c>
      <c r="F41" s="2"/>
      <c r="H41" s="11" t="s">
        <v>26</v>
      </c>
      <c r="I41" s="14">
        <v>2</v>
      </c>
      <c r="J41" s="4">
        <v>2000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161</v>
      </c>
      <c r="D45" s="4">
        <v>2830.38</v>
      </c>
      <c r="F45" s="2"/>
      <c r="H45" s="11" t="s">
        <v>18</v>
      </c>
      <c r="I45" s="14">
        <v>161</v>
      </c>
      <c r="J45" s="4">
        <v>2830.38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37920</v>
      </c>
      <c r="F48" s="2"/>
      <c r="H48" s="18" t="s">
        <v>29</v>
      </c>
      <c r="I48" s="4">
        <v>35910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2867826.88025857</v>
      </c>
      <c r="D52" s="2">
        <f>C52*25</f>
        <v>71695672.006464243</v>
      </c>
      <c r="F52" s="2"/>
      <c r="H52" s="10" t="s">
        <v>35</v>
      </c>
      <c r="I52" s="13">
        <v>3475967.77</v>
      </c>
      <c r="J52" s="2">
        <f>I52*25</f>
        <v>86899194.25</v>
      </c>
      <c r="L52" s="2"/>
    </row>
    <row r="53" spans="2:12" ht="17.45" customHeight="1" thickBot="1" x14ac:dyDescent="0.55000000000000004">
      <c r="B53" s="11" t="s">
        <v>36</v>
      </c>
      <c r="C53" s="17">
        <v>1027852.946542942</v>
      </c>
      <c r="D53" s="4">
        <f>C53*25</f>
        <v>25696323.663573548</v>
      </c>
      <c r="F53" s="2"/>
      <c r="H53" s="11" t="s">
        <v>36</v>
      </c>
      <c r="I53" s="14">
        <v>969517.56330000004</v>
      </c>
      <c r="J53" s="4">
        <f>I53*25</f>
        <v>24237939.0825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778915.94278627995</v>
      </c>
      <c r="D57" s="2">
        <f>C57*25</f>
        <v>19472898.569656998</v>
      </c>
      <c r="F57" s="2"/>
      <c r="H57" s="10" t="s">
        <v>35</v>
      </c>
      <c r="I57" s="13">
        <v>944090.01029999997</v>
      </c>
      <c r="J57" s="2">
        <f>I57*25</f>
        <v>23602250.2575</v>
      </c>
      <c r="L57" s="2"/>
    </row>
    <row r="58" spans="2:12" ht="21.45" customHeight="1" thickBot="1" x14ac:dyDescent="0.55000000000000004">
      <c r="B58" s="11" t="s">
        <v>36</v>
      </c>
      <c r="C58" s="17">
        <v>527752.01970230299</v>
      </c>
      <c r="D58" s="4">
        <f>C58*25</f>
        <v>13193800.492557574</v>
      </c>
      <c r="F58" s="2"/>
      <c r="H58" s="11" t="s">
        <v>36</v>
      </c>
      <c r="I58" s="14">
        <v>498732.81229999999</v>
      </c>
      <c r="J58" s="4">
        <f>I58*25</f>
        <v>12468320.307499999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341273.707999014</v>
      </c>
      <c r="F61" s="2"/>
      <c r="H61" s="18" t="s">
        <v>38</v>
      </c>
      <c r="I61" s="4">
        <v>323185.95600000001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0.85791328641331621</v>
      </c>
      <c r="C64" s="41"/>
      <c r="D64" s="3"/>
      <c r="E64" s="3"/>
      <c r="F64" s="4"/>
      <c r="H64" s="40">
        <f>K23/B68</f>
        <v>0.42261646647068157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4791557.7971188352</v>
      </c>
      <c r="C68" s="4">
        <f>D107</f>
        <v>119788944.9279709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38314.326941583982</v>
      </c>
      <c r="D74" s="13">
        <v>89400</v>
      </c>
      <c r="E74" s="13">
        <f>C74+D74</f>
        <v>127714.32694158397</v>
      </c>
      <c r="F74" s="2">
        <f>E74*25</f>
        <v>3192858.1735395994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1707086.4473684186</v>
      </c>
      <c r="E78" s="13">
        <f>D78</f>
        <v>1707086.4473684186</v>
      </c>
      <c r="F78" s="2">
        <f>E78*25</f>
        <v>42677161.184210464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36338.722229246203</v>
      </c>
      <c r="D80" s="13">
        <v>45286.079999999987</v>
      </c>
      <c r="E80" s="13">
        <f>C80+D80</f>
        <v>81624.802229246183</v>
      </c>
      <c r="F80" s="2">
        <f>E80*25</f>
        <v>2040620.0557311545</v>
      </c>
    </row>
    <row r="81" spans="2:6" ht="14.7" thickBot="1" x14ac:dyDescent="0.55000000000000004">
      <c r="B81" s="11" t="s">
        <v>46</v>
      </c>
      <c r="C81" s="14"/>
      <c r="D81" s="14">
        <f>D100*2.0865</f>
        <v>50566499.920886077</v>
      </c>
      <c r="E81" s="14">
        <f>D81</f>
        <v>50566499.920886077</v>
      </c>
      <c r="F81" s="4">
        <f>E81*25</f>
        <v>1264162498.0221519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74653.049170830185</v>
      </c>
      <c r="D83" s="14">
        <v>3864432.5242038621</v>
      </c>
      <c r="E83" s="14">
        <v>3939085.5733746919</v>
      </c>
      <c r="F83" s="4">
        <f>E83*25</f>
        <v>98477139.33436729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6</v>
      </c>
      <c r="D87" s="2">
        <v>600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6</v>
      </c>
      <c r="D91" s="4">
        <v>600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161</v>
      </c>
      <c r="D95" s="4">
        <v>2830.38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818157.89473684086</v>
      </c>
      <c r="D99" s="2">
        <f>C99*25</f>
        <v>20453947.368421022</v>
      </c>
      <c r="F99" s="2"/>
    </row>
    <row r="100" spans="2:6" x14ac:dyDescent="0.5">
      <c r="B100" s="10" t="s">
        <v>53</v>
      </c>
      <c r="C100" s="13">
        <v>969403.30545671855</v>
      </c>
      <c r="D100" s="2">
        <f>C100*25</f>
        <v>24235082.636417963</v>
      </c>
      <c r="F100" s="2"/>
    </row>
    <row r="101" spans="2:6" ht="14.7" thickBot="1" x14ac:dyDescent="0.55000000000000004">
      <c r="B101" s="11" t="s">
        <v>26</v>
      </c>
      <c r="C101" s="14">
        <f>C99+C100</f>
        <v>1787561.2001935593</v>
      </c>
      <c r="D101" s="4">
        <f>D99+D100</f>
        <v>44689030.004838988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2193072.2368421019</v>
      </c>
      <c r="D105" s="29">
        <f t="shared" si="4"/>
        <v>54826805.921052545</v>
      </c>
      <c r="F105" s="2"/>
    </row>
    <row r="106" spans="2:6" x14ac:dyDescent="0.5">
      <c r="B106" s="10" t="s">
        <v>53</v>
      </c>
      <c r="C106" s="13">
        <f t="shared" si="4"/>
        <v>2598485.5602767342</v>
      </c>
      <c r="D106" s="29">
        <f t="shared" si="4"/>
        <v>64962139.006918348</v>
      </c>
      <c r="F106" s="2"/>
    </row>
    <row r="107" spans="2:6" ht="14.7" thickBot="1" x14ac:dyDescent="0.55000000000000004">
      <c r="B107" s="11" t="s">
        <v>26</v>
      </c>
      <c r="C107" s="14">
        <f t="shared" si="4"/>
        <v>4791557.7971188352</v>
      </c>
      <c r="D107" s="30">
        <f t="shared" si="4"/>
        <v>119788944.9279709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7094919.3486193856</v>
      </c>
      <c r="D8" s="13">
        <f>29*D27</f>
        <v>211700</v>
      </c>
      <c r="E8" s="13">
        <f>C8+D8</f>
        <v>7306619.3486193856</v>
      </c>
      <c r="F8" s="2">
        <f>E8*25</f>
        <v>182665483.71548465</v>
      </c>
      <c r="H8" s="7" t="s">
        <v>9</v>
      </c>
      <c r="I8" s="16">
        <f>1615 * J27*((0.05*((1.05)^25))/((1.05^25)-1))</f>
        <v>847952.81718309328</v>
      </c>
      <c r="J8" s="13">
        <f>29*J27</f>
        <v>214600</v>
      </c>
      <c r="K8" s="13">
        <f>I8+J8</f>
        <v>1062552.8171830932</v>
      </c>
      <c r="L8" s="2">
        <f>K8*25</f>
        <v>26563820.429577328</v>
      </c>
      <c r="N8" s="31"/>
    </row>
    <row r="9" spans="2:14" x14ac:dyDescent="0.5">
      <c r="B9" s="7" t="s">
        <v>10</v>
      </c>
      <c r="C9" s="10">
        <f>13698 * D28*((0.05*((1.05)^25))/((1.05^25)-1))</f>
        <v>0</v>
      </c>
      <c r="D9" s="13">
        <f>29*D28</f>
        <v>0</v>
      </c>
      <c r="E9" s="13">
        <f>C9+D9</f>
        <v>0</v>
      </c>
      <c r="F9" s="2">
        <f>E9*25</f>
        <v>0</v>
      </c>
      <c r="H9" s="7" t="s">
        <v>10</v>
      </c>
      <c r="I9" s="16">
        <f t="shared" ref="I9:I11" si="0">1615 * J28*((0.05*((1.05)^25))/((1.05^25)-1))</f>
        <v>0</v>
      </c>
      <c r="J9" s="13">
        <f>29*J28</f>
        <v>0</v>
      </c>
      <c r="K9" s="13">
        <f>I9+J9</f>
        <v>0</v>
      </c>
      <c r="L9" s="2">
        <f>K9*25</f>
        <v>0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1934798.3499839231</v>
      </c>
      <c r="D13" s="13">
        <f>37.35*D38</f>
        <v>224100</v>
      </c>
      <c r="E13" s="13">
        <f>C13+D13</f>
        <v>2158898.3499839231</v>
      </c>
      <c r="F13" s="2">
        <f>E13*25</f>
        <v>53972458.749598078</v>
      </c>
      <c r="H13" s="7" t="s">
        <v>14</v>
      </c>
      <c r="I13" s="16">
        <f>2490 * J38*((0.05*((1.05)^10))/((1.05^10)-1))</f>
        <v>1934798.3499839231</v>
      </c>
      <c r="J13" s="13">
        <f>37.35*J38</f>
        <v>224100</v>
      </c>
      <c r="K13" s="13">
        <f>I13+J13</f>
        <v>2158898.3499839231</v>
      </c>
      <c r="L13" s="2">
        <f>K13*25</f>
        <v>53972458.749598078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105198.72</v>
      </c>
      <c r="E17" s="14">
        <f>D17+C17</f>
        <v>134766.2517517469</v>
      </c>
      <c r="F17" s="4">
        <f>E17*25</f>
        <v>3369156.2937936722</v>
      </c>
      <c r="H17" s="8" t="s">
        <v>18</v>
      </c>
      <c r="I17" s="17">
        <v>84414.174619491183</v>
      </c>
      <c r="J17" s="14">
        <v>105198.72</v>
      </c>
      <c r="K17" s="14">
        <f>J17+I17</f>
        <v>189612.89461949118</v>
      </c>
      <c r="L17" s="4">
        <f>K17*25</f>
        <v>4740322.3654872794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1018037.7036883007</v>
      </c>
      <c r="D19" s="14">
        <v>0</v>
      </c>
      <c r="E19" s="14">
        <f>C19</f>
        <v>1018037.7036883007</v>
      </c>
      <c r="F19" s="4">
        <f>E19*25</f>
        <v>25450942.592207517</v>
      </c>
      <c r="H19" s="8"/>
      <c r="I19" s="17">
        <f>I48*300*((0.05*((1.05)^20))/((1.05^20)-1))</f>
        <v>983132.17826035002</v>
      </c>
      <c r="J19" s="14">
        <v>0</v>
      </c>
      <c r="K19" s="14">
        <f>I19</f>
        <v>983132.17826035002</v>
      </c>
      <c r="L19" s="4">
        <f>K19*25</f>
        <v>24578304.456508752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0</v>
      </c>
      <c r="D21" s="14">
        <f>19*C34</f>
        <v>0</v>
      </c>
      <c r="E21" s="14">
        <f>D21+C21</f>
        <v>0</v>
      </c>
      <c r="F21" s="4">
        <f>E21*25</f>
        <v>0</v>
      </c>
      <c r="H21" s="7"/>
      <c r="I21" s="11">
        <f>1693 * I34*((0.05*((1.05)^20))/((1.05^20)-1))</f>
        <v>271.70140022768078</v>
      </c>
      <c r="J21" s="14">
        <f>19*I34</f>
        <v>38</v>
      </c>
      <c r="K21" s="14">
        <f>J21+I21</f>
        <v>309.70140022768078</v>
      </c>
      <c r="L21" s="4">
        <f>K21*25</f>
        <v>7742.5350056920197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10077322.934043357</v>
      </c>
      <c r="D23" s="14">
        <f>D8+D9+D10+D11+D13+D14+D15+D17+D19+D21</f>
        <v>540998.72</v>
      </c>
      <c r="E23" s="14">
        <f>E8+E9+E10+E11+E13+E14+E15+E17+E19+E21</f>
        <v>10618321.654043358</v>
      </c>
      <c r="F23" s="4">
        <f>E23*25</f>
        <v>265458041.35108393</v>
      </c>
      <c r="H23" s="36"/>
      <c r="I23" s="11">
        <f>I8+I9+I11+I10+I13+I14+I15+I17+I19+I21</f>
        <v>3850569.2214470855</v>
      </c>
      <c r="J23" s="14">
        <f>J8+J9+J10+J11+J13+J14+J15+J17+J19+J21</f>
        <v>543936.72</v>
      </c>
      <c r="K23" s="14">
        <f>K8+K9+K10+K11+K13+K14+K15+K17+K19+K21</f>
        <v>4394505.9414470848</v>
      </c>
      <c r="L23" s="4">
        <f>K23*25</f>
        <v>109862648.53617711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73</v>
      </c>
      <c r="D27" s="2">
        <v>7300</v>
      </c>
      <c r="F27" s="2"/>
      <c r="H27" s="10" t="s">
        <v>9</v>
      </c>
      <c r="I27" s="13">
        <v>74</v>
      </c>
      <c r="J27" s="2">
        <v>7400</v>
      </c>
      <c r="L27" s="2"/>
    </row>
    <row r="28" spans="2:12" x14ac:dyDescent="0.5">
      <c r="B28" s="10" t="s">
        <v>10</v>
      </c>
      <c r="C28" s="13">
        <v>0</v>
      </c>
      <c r="D28" s="2">
        <v>0</v>
      </c>
      <c r="F28" s="2"/>
      <c r="H28" s="10" t="s">
        <v>10</v>
      </c>
      <c r="I28" s="13">
        <v>0</v>
      </c>
      <c r="J28" s="2">
        <v>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73</v>
      </c>
      <c r="D31" s="4">
        <v>7300</v>
      </c>
      <c r="F31" s="2"/>
      <c r="H31" s="11" t="s">
        <v>26</v>
      </c>
      <c r="I31" s="14">
        <v>74</v>
      </c>
      <c r="J31" s="4">
        <v>7400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0</v>
      </c>
      <c r="F34" s="2"/>
      <c r="H34" s="18" t="s">
        <v>25</v>
      </c>
      <c r="I34" s="4">
        <v>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6</v>
      </c>
      <c r="D38" s="2">
        <v>6000</v>
      </c>
      <c r="F38" s="2"/>
      <c r="H38" s="10" t="s">
        <v>14</v>
      </c>
      <c r="I38" s="13">
        <v>6</v>
      </c>
      <c r="J38" s="2">
        <v>6000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6</v>
      </c>
      <c r="D41" s="4">
        <v>6000</v>
      </c>
      <c r="F41" s="2"/>
      <c r="H41" s="11" t="s">
        <v>26</v>
      </c>
      <c r="I41" s="14">
        <v>6</v>
      </c>
      <c r="J41" s="4">
        <v>6000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374</v>
      </c>
      <c r="D45" s="4">
        <v>6574.9199999999992</v>
      </c>
      <c r="F45" s="2"/>
      <c r="H45" s="11" t="s">
        <v>18</v>
      </c>
      <c r="I45" s="14">
        <v>374</v>
      </c>
      <c r="J45" s="4">
        <v>6574.9199999999992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42290</v>
      </c>
      <c r="F48" s="2"/>
      <c r="H48" s="18" t="s">
        <v>29</v>
      </c>
      <c r="I48" s="4">
        <v>40840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8229983.6372348703</v>
      </c>
      <c r="D52" s="2">
        <f>C52*25</f>
        <v>205749590.93087175</v>
      </c>
      <c r="F52" s="2"/>
      <c r="H52" s="10" t="s">
        <v>35</v>
      </c>
      <c r="I52" s="13">
        <v>8571750.4800000004</v>
      </c>
      <c r="J52" s="2">
        <f>I52*25</f>
        <v>214293762</v>
      </c>
      <c r="L52" s="2"/>
    </row>
    <row r="53" spans="2:12" ht="17.45" customHeight="1" thickBot="1" x14ac:dyDescent="0.55000000000000004">
      <c r="B53" s="11" t="s">
        <v>36</v>
      </c>
      <c r="C53" s="17">
        <v>442239.0729054517</v>
      </c>
      <c r="D53" s="4">
        <f>C53*25</f>
        <v>11055976.822636293</v>
      </c>
      <c r="F53" s="2"/>
      <c r="H53" s="11" t="s">
        <v>36</v>
      </c>
      <c r="I53" s="14">
        <v>373774.35073499999</v>
      </c>
      <c r="J53" s="4">
        <f>I53*25</f>
        <v>9344358.768375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2235304.1977674901</v>
      </c>
      <c r="D57" s="2">
        <f>C57*25</f>
        <v>55882604.944187254</v>
      </c>
      <c r="F57" s="2"/>
      <c r="H57" s="10" t="s">
        <v>35</v>
      </c>
      <c r="I57" s="13">
        <v>2328129.7599999998</v>
      </c>
      <c r="J57" s="2">
        <f>I57*25</f>
        <v>58203243.999999993</v>
      </c>
      <c r="L57" s="2"/>
    </row>
    <row r="58" spans="2:12" ht="21.45" customHeight="1" thickBot="1" x14ac:dyDescent="0.55000000000000004">
      <c r="B58" s="11" t="s">
        <v>36</v>
      </c>
      <c r="C58" s="17">
        <v>397347.95081975393</v>
      </c>
      <c r="D58" s="4">
        <f>C58*25</f>
        <v>9933698.7704938482</v>
      </c>
      <c r="F58" s="2"/>
      <c r="H58" s="11" t="s">
        <v>36</v>
      </c>
      <c r="I58" s="14">
        <v>369126.06892400002</v>
      </c>
      <c r="J58" s="4">
        <f>I58*25</f>
        <v>9228151.723100001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380608.88834712101</v>
      </c>
      <c r="F61" s="2"/>
      <c r="H61" s="18" t="s">
        <v>38</v>
      </c>
      <c r="I61" s="4">
        <v>367392.8113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0.70919991539597405</v>
      </c>
      <c r="C64" s="41"/>
      <c r="D64" s="3"/>
      <c r="E64" s="3"/>
      <c r="F64" s="4"/>
      <c r="H64" s="40">
        <f>K23/B68</f>
        <v>0.29350996733976431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14972254.54139364</v>
      </c>
      <c r="C68" s="4">
        <f>D107</f>
        <v>374306363.534841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6385.7211569306637</v>
      </c>
      <c r="D74" s="13">
        <v>14900</v>
      </c>
      <c r="E74" s="13">
        <f>C74+D74</f>
        <v>21285.721156930664</v>
      </c>
      <c r="F74" s="2">
        <f>E74*25</f>
        <v>532143.02892326657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141904.9145984592</v>
      </c>
      <c r="D76" s="13">
        <v>228000</v>
      </c>
      <c r="E76" s="13">
        <f t="shared" si="2"/>
        <v>369904.9145984592</v>
      </c>
      <c r="F76" s="2">
        <f t="shared" si="3"/>
        <v>9247622.8649614807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7051820.9210526273</v>
      </c>
      <c r="E78" s="13">
        <f>D78</f>
        <v>7051820.9210526273</v>
      </c>
      <c r="F78" s="2">
        <f>E78*25</f>
        <v>176295523.02631569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84414.174619491183</v>
      </c>
      <c r="D80" s="13">
        <v>105198.72</v>
      </c>
      <c r="E80" s="13">
        <f>C80+D80</f>
        <v>189612.89461949118</v>
      </c>
      <c r="F80" s="2">
        <f>E80*25</f>
        <v>4740322.3654872794</v>
      </c>
    </row>
    <row r="81" spans="2:6" ht="14.7" thickBot="1" x14ac:dyDescent="0.55000000000000004">
      <c r="B81" s="11" t="s">
        <v>46</v>
      </c>
      <c r="C81" s="14"/>
      <c r="D81" s="14">
        <f>D100*2.0865</f>
        <v>115064382.78060313</v>
      </c>
      <c r="E81" s="14">
        <f>D81</f>
        <v>115064382.78060313</v>
      </c>
      <c r="F81" s="4">
        <f>E81*25</f>
        <v>2876609569.5150781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232704.810374881</v>
      </c>
      <c r="D83" s="14">
        <v>12002494.95227675</v>
      </c>
      <c r="E83" s="14">
        <v>12235199.76265163</v>
      </c>
      <c r="F83" s="4">
        <f>E83*25</f>
        <v>305879994.06629074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1</v>
      </c>
      <c r="D87" s="2">
        <v>100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2</v>
      </c>
      <c r="D89" s="2">
        <v>2000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3</v>
      </c>
      <c r="D91" s="4">
        <v>2100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374</v>
      </c>
      <c r="D95" s="4">
        <v>6574.9199999999992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3379736.8421052611</v>
      </c>
      <c r="D99" s="2">
        <f>C99*25</f>
        <v>84493421.052631527</v>
      </c>
      <c r="F99" s="2"/>
    </row>
    <row r="100" spans="2:6" x14ac:dyDescent="0.5">
      <c r="B100" s="10" t="s">
        <v>53</v>
      </c>
      <c r="C100" s="13">
        <v>2205883.2069130722</v>
      </c>
      <c r="D100" s="2">
        <f>C100*25</f>
        <v>55147080.172826804</v>
      </c>
      <c r="F100" s="2"/>
    </row>
    <row r="101" spans="2:6" ht="14.7" thickBot="1" x14ac:dyDescent="0.55000000000000004">
      <c r="B101" s="11" t="s">
        <v>26</v>
      </c>
      <c r="C101" s="14">
        <f>C99+C100</f>
        <v>5585620.0490183327</v>
      </c>
      <c r="D101" s="4">
        <f>D99+D100</f>
        <v>139640501.22545832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9059384.6052631512</v>
      </c>
      <c r="D105" s="29">
        <f t="shared" si="4"/>
        <v>226484615.1315788</v>
      </c>
      <c r="F105" s="2"/>
    </row>
    <row r="106" spans="2:6" x14ac:dyDescent="0.5">
      <c r="B106" s="10" t="s">
        <v>53</v>
      </c>
      <c r="C106" s="13">
        <f t="shared" si="4"/>
        <v>5912869.9361304892</v>
      </c>
      <c r="D106" s="29">
        <f t="shared" si="4"/>
        <v>147821748.40326223</v>
      </c>
      <c r="F106" s="2"/>
    </row>
    <row r="107" spans="2:6" ht="14.7" thickBot="1" x14ac:dyDescent="0.55000000000000004">
      <c r="B107" s="11" t="s">
        <v>26</v>
      </c>
      <c r="C107" s="14">
        <f t="shared" si="4"/>
        <v>14972254.54139364</v>
      </c>
      <c r="D107" s="30">
        <f t="shared" si="4"/>
        <v>374306363.534841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2818529.6042460576</v>
      </c>
      <c r="D8" s="13">
        <f>29*D27</f>
        <v>84100</v>
      </c>
      <c r="E8" s="13">
        <f>C8+D8</f>
        <v>2902629.6042460576</v>
      </c>
      <c r="F8" s="2">
        <f>E8*25</f>
        <v>72565740.106151432</v>
      </c>
      <c r="H8" s="7" t="s">
        <v>9</v>
      </c>
      <c r="I8" s="16">
        <f>1615 * J27*((0.05*((1.05)^25))/((1.05^25)-1))</f>
        <v>481270.51786067453</v>
      </c>
      <c r="J8" s="13">
        <f>29*J27</f>
        <v>121800</v>
      </c>
      <c r="K8" s="13">
        <f>I8+J8</f>
        <v>603070.51786067453</v>
      </c>
      <c r="L8" s="2">
        <f>K8*25</f>
        <v>15076762.946516864</v>
      </c>
      <c r="N8" s="31"/>
    </row>
    <row r="9" spans="2:14" x14ac:dyDescent="0.5">
      <c r="B9" s="7" t="s">
        <v>10</v>
      </c>
      <c r="C9" s="10">
        <f>13698 * D28*((0.05*((1.05)^25))/((1.05^25)-1))</f>
        <v>485953.38004242367</v>
      </c>
      <c r="D9" s="13">
        <f>29*D28</f>
        <v>14500</v>
      </c>
      <c r="E9" s="13">
        <f>C9+D9</f>
        <v>500453.38004242367</v>
      </c>
      <c r="F9" s="2">
        <f>E9*25</f>
        <v>12511334.501060592</v>
      </c>
      <c r="H9" s="7" t="s">
        <v>10</v>
      </c>
      <c r="I9" s="16">
        <f t="shared" ref="I9:I11" si="0">1615 * J28*((0.05*((1.05)^25))/((1.05^25)-1))</f>
        <v>0</v>
      </c>
      <c r="J9" s="13">
        <f>29*J28</f>
        <v>0</v>
      </c>
      <c r="K9" s="13">
        <f>I9+J9</f>
        <v>0</v>
      </c>
      <c r="L9" s="2">
        <f>K9*25</f>
        <v>0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967399.17499196157</v>
      </c>
      <c r="D13" s="13">
        <f>37.35*D38</f>
        <v>112050</v>
      </c>
      <c r="E13" s="13">
        <f>C13+D13</f>
        <v>1079449.1749919616</v>
      </c>
      <c r="F13" s="2">
        <f>E13*25</f>
        <v>26986229.374799039</v>
      </c>
      <c r="H13" s="7" t="s">
        <v>14</v>
      </c>
      <c r="I13" s="16">
        <f>2490 * J38*((0.05*((1.05)^10))/((1.05^10)-1))</f>
        <v>1289865.5666559488</v>
      </c>
      <c r="J13" s="13">
        <f>37.35*J38</f>
        <v>149400</v>
      </c>
      <c r="K13" s="13">
        <f>I13+J13</f>
        <v>1439265.5666559488</v>
      </c>
      <c r="L13" s="2">
        <f>K13*25</f>
        <v>35981639.166398719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60475.199999999997</v>
      </c>
      <c r="E17" s="14">
        <f>D17+C17</f>
        <v>90042.731751746906</v>
      </c>
      <c r="F17" s="4">
        <f>E17*25</f>
        <v>2251068.2937936727</v>
      </c>
      <c r="H17" s="8" t="s">
        <v>18</v>
      </c>
      <c r="I17" s="17">
        <v>48526.865088744933</v>
      </c>
      <c r="J17" s="14">
        <v>60475.199999999997</v>
      </c>
      <c r="K17" s="14">
        <f>J17+I17</f>
        <v>109002.06508874493</v>
      </c>
      <c r="L17" s="4">
        <f>K17*25</f>
        <v>2725051.6272186232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1444125.8416708715</v>
      </c>
      <c r="D19" s="14">
        <v>0</v>
      </c>
      <c r="E19" s="14">
        <f>C19</f>
        <v>1444125.8416708715</v>
      </c>
      <c r="F19" s="4">
        <f>E19*25</f>
        <v>36103146.041771784</v>
      </c>
      <c r="H19" s="8"/>
      <c r="I19" s="17">
        <f>I48*300*((0.05*((1.05)^20))/((1.05^20)-1))</f>
        <v>513472.31543323374</v>
      </c>
      <c r="J19" s="14">
        <v>0</v>
      </c>
      <c r="K19" s="14">
        <f>I19</f>
        <v>513472.31543323374</v>
      </c>
      <c r="L19" s="4">
        <f>K19*25</f>
        <v>12836807.885830844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0</v>
      </c>
      <c r="J21" s="14">
        <f>19*I34</f>
        <v>0</v>
      </c>
      <c r="K21" s="14">
        <f>J21+I21</f>
        <v>0</v>
      </c>
      <c r="L21" s="4">
        <f>K21*25</f>
        <v>0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5745847.2341032894</v>
      </c>
      <c r="D23" s="14">
        <f>D8+D9+D10+D11+D13+D14+D15+D17+D19+D21</f>
        <v>271163.2</v>
      </c>
      <c r="E23" s="14">
        <f>E8+E9+E10+E11+E13+E14+E15+E17+E19+E21</f>
        <v>6017010.4341032887</v>
      </c>
      <c r="F23" s="4">
        <f>E23*25</f>
        <v>150425260.85258222</v>
      </c>
      <c r="H23" s="36"/>
      <c r="I23" s="11">
        <f>I8+I9+I11+I10+I13+I14+I15+I17+I19+I21</f>
        <v>2333135.2650386021</v>
      </c>
      <c r="J23" s="14">
        <f>J8+J9+J10+J11+J13+J14+J15+J17+J19+J21</f>
        <v>331675.2</v>
      </c>
      <c r="K23" s="14">
        <f>K8+K9+K10+K11+K13+K14+K15+K17+K19+K21</f>
        <v>2664810.4650386022</v>
      </c>
      <c r="L23" s="4">
        <f>K23*25</f>
        <v>66620261.625965059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29</v>
      </c>
      <c r="D27" s="2">
        <v>2900</v>
      </c>
      <c r="F27" s="2"/>
      <c r="H27" s="10" t="s">
        <v>9</v>
      </c>
      <c r="I27" s="13">
        <v>42</v>
      </c>
      <c r="J27" s="2">
        <v>4200</v>
      </c>
      <c r="L27" s="2"/>
    </row>
    <row r="28" spans="2:12" x14ac:dyDescent="0.5">
      <c r="B28" s="10" t="s">
        <v>10</v>
      </c>
      <c r="C28" s="13">
        <v>1</v>
      </c>
      <c r="D28" s="2">
        <v>500</v>
      </c>
      <c r="F28" s="2"/>
      <c r="H28" s="10" t="s">
        <v>10</v>
      </c>
      <c r="I28" s="13">
        <v>0</v>
      </c>
      <c r="J28" s="2">
        <v>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30</v>
      </c>
      <c r="D31" s="4">
        <v>3400</v>
      </c>
      <c r="F31" s="2"/>
      <c r="H31" s="11" t="s">
        <v>26</v>
      </c>
      <c r="I31" s="14">
        <v>42</v>
      </c>
      <c r="J31" s="4">
        <v>4200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0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3</v>
      </c>
      <c r="D38" s="2">
        <v>3000</v>
      </c>
      <c r="F38" s="2"/>
      <c r="H38" s="10" t="s">
        <v>14</v>
      </c>
      <c r="I38" s="13">
        <v>4</v>
      </c>
      <c r="J38" s="2">
        <v>4000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3</v>
      </c>
      <c r="D41" s="4">
        <v>3000</v>
      </c>
      <c r="F41" s="2"/>
      <c r="H41" s="11" t="s">
        <v>26</v>
      </c>
      <c r="I41" s="14">
        <v>4</v>
      </c>
      <c r="J41" s="4">
        <v>4000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215</v>
      </c>
      <c r="D45" s="4">
        <v>3779.7</v>
      </c>
      <c r="F45" s="2"/>
      <c r="H45" s="11" t="s">
        <v>18</v>
      </c>
      <c r="I45" s="14">
        <v>215</v>
      </c>
      <c r="J45" s="4">
        <v>3779.7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59990</v>
      </c>
      <c r="F48" s="2"/>
      <c r="H48" s="18" t="s">
        <v>29</v>
      </c>
      <c r="I48" s="4">
        <v>21330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4651326.1499990104</v>
      </c>
      <c r="D52" s="2">
        <f>C52*25</f>
        <v>116283153.74997526</v>
      </c>
      <c r="F52" s="2"/>
      <c r="H52" s="10" t="s">
        <v>35</v>
      </c>
      <c r="I52" s="13">
        <v>5806729.9699999997</v>
      </c>
      <c r="J52" s="2">
        <f>I52*25</f>
        <v>145168249.25</v>
      </c>
      <c r="L52" s="2"/>
    </row>
    <row r="53" spans="2:12" ht="17.45" customHeight="1" thickBot="1" x14ac:dyDescent="0.55000000000000004">
      <c r="B53" s="11" t="s">
        <v>36</v>
      </c>
      <c r="C53" s="17">
        <v>2117421.3739249809</v>
      </c>
      <c r="D53" s="4">
        <f>C53*25</f>
        <v>52935534.348124519</v>
      </c>
      <c r="F53" s="2"/>
      <c r="H53" s="11" t="s">
        <v>36</v>
      </c>
      <c r="I53" s="14">
        <v>196590.43014499999</v>
      </c>
      <c r="J53" s="4">
        <f>I53*25</f>
        <v>4914760.7536249999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1263323.15185158</v>
      </c>
      <c r="D57" s="2">
        <f>C57*25</f>
        <v>31583078.7962895</v>
      </c>
      <c r="F57" s="2"/>
      <c r="H57" s="10" t="s">
        <v>35</v>
      </c>
      <c r="I57" s="13">
        <v>1577136.534</v>
      </c>
      <c r="J57" s="2">
        <f>I57*25</f>
        <v>39428413.350000001</v>
      </c>
      <c r="L57" s="2"/>
    </row>
    <row r="58" spans="2:12" ht="21.45" customHeight="1" thickBot="1" x14ac:dyDescent="0.55000000000000004">
      <c r="B58" s="11" t="s">
        <v>36</v>
      </c>
      <c r="C58" s="17">
        <v>968368.62740655697</v>
      </c>
      <c r="D58" s="4">
        <f>C58*25</f>
        <v>24209215.685163923</v>
      </c>
      <c r="F58" s="2"/>
      <c r="H58" s="11" t="s">
        <v>36</v>
      </c>
      <c r="I58" s="14">
        <v>193205.26497799999</v>
      </c>
      <c r="J58" s="4">
        <f>I58*25</f>
        <v>4830131.62445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539908.28124714096</v>
      </c>
      <c r="F61" s="2"/>
      <c r="H61" s="18" t="s">
        <v>38</v>
      </c>
      <c r="I61" s="4">
        <v>191943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1.0657224630000783</v>
      </c>
      <c r="C64" s="41"/>
      <c r="D64" s="3"/>
      <c r="E64" s="3"/>
      <c r="F64" s="4"/>
      <c r="H64" s="40">
        <f>K23/B68</f>
        <v>0.47198661250993146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5645945.0213379301</v>
      </c>
      <c r="C68" s="4">
        <f>D107</f>
        <v>141148625.53344828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31928.605784653319</v>
      </c>
      <c r="D74" s="13">
        <v>74500</v>
      </c>
      <c r="E74" s="13">
        <f>C74+D74</f>
        <v>106428.60578465332</v>
      </c>
      <c r="F74" s="2">
        <f>E74*25</f>
        <v>2660715.1446163328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1509418.0263157904</v>
      </c>
      <c r="E78" s="13">
        <f>D78</f>
        <v>1509418.0263157904</v>
      </c>
      <c r="F78" s="2">
        <f>E78*25</f>
        <v>37735450.65789476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48526.865088744933</v>
      </c>
      <c r="D80" s="13">
        <v>60475.199999999997</v>
      </c>
      <c r="E80" s="13">
        <f>C80+D80</f>
        <v>109002.06508874493</v>
      </c>
      <c r="F80" s="2">
        <f>E80*25</f>
        <v>2725051.6272186232</v>
      </c>
    </row>
    <row r="81" spans="2:6" ht="14.7" thickBot="1" x14ac:dyDescent="0.55000000000000004">
      <c r="B81" s="11" t="s">
        <v>46</v>
      </c>
      <c r="C81" s="14"/>
      <c r="D81" s="14">
        <f>D100*2.0865</f>
        <v>72134576.268253297</v>
      </c>
      <c r="E81" s="14">
        <f>D81</f>
        <v>72134576.268253297</v>
      </c>
      <c r="F81" s="4">
        <f>E81*25</f>
        <v>1803364406.7063324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80455.470873398255</v>
      </c>
      <c r="D83" s="14">
        <v>4529776.2770459214</v>
      </c>
      <c r="E83" s="14">
        <v>4610231.7479193201</v>
      </c>
      <c r="F83" s="4">
        <f>E83*25</f>
        <v>115255793.697983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5</v>
      </c>
      <c r="D87" s="2">
        <v>500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5</v>
      </c>
      <c r="D91" s="4">
        <v>500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215</v>
      </c>
      <c r="D95" s="4">
        <v>3779.7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723421.05263157934</v>
      </c>
      <c r="D99" s="2">
        <f>C99*25</f>
        <v>18085526.315789483</v>
      </c>
      <c r="F99" s="2"/>
    </row>
    <row r="100" spans="2:6" x14ac:dyDescent="0.5">
      <c r="B100" s="10" t="s">
        <v>53</v>
      </c>
      <c r="C100" s="13">
        <v>1382881.883886955</v>
      </c>
      <c r="D100" s="2">
        <f>C100*25</f>
        <v>34572047.097173877</v>
      </c>
      <c r="F100" s="2"/>
    </row>
    <row r="101" spans="2:6" ht="14.7" thickBot="1" x14ac:dyDescent="0.55000000000000004">
      <c r="B101" s="11" t="s">
        <v>26</v>
      </c>
      <c r="C101" s="14">
        <f>C99+C100</f>
        <v>2106302.9365185341</v>
      </c>
      <c r="D101" s="4">
        <f>D99+D100</f>
        <v>52657573.412963361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1939130.1315789483</v>
      </c>
      <c r="D105" s="29">
        <f t="shared" si="4"/>
        <v>48478253.289473705</v>
      </c>
      <c r="F105" s="2"/>
    </row>
    <row r="106" spans="2:6" x14ac:dyDescent="0.5">
      <c r="B106" s="10" t="s">
        <v>53</v>
      </c>
      <c r="C106" s="13">
        <f t="shared" si="4"/>
        <v>3706814.8897589827</v>
      </c>
      <c r="D106" s="29">
        <f t="shared" si="4"/>
        <v>92670372.243974566</v>
      </c>
      <c r="F106" s="2"/>
    </row>
    <row r="107" spans="2:6" ht="14.7" thickBot="1" x14ac:dyDescent="0.55000000000000004">
      <c r="B107" s="11" t="s">
        <v>26</v>
      </c>
      <c r="C107" s="14">
        <f t="shared" si="4"/>
        <v>5645945.0213379301</v>
      </c>
      <c r="D107" s="30">
        <f t="shared" si="4"/>
        <v>141148625.53344828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3304482.9842884811</v>
      </c>
      <c r="D8" s="13">
        <f>29*D27</f>
        <v>98600</v>
      </c>
      <c r="E8" s="13">
        <f>C8+D8</f>
        <v>3403082.9842884811</v>
      </c>
      <c r="F8" s="2">
        <f>E8*25</f>
        <v>85077074.607212022</v>
      </c>
      <c r="H8" s="7" t="s">
        <v>9</v>
      </c>
      <c r="I8" s="16">
        <f>1615 * J27*((0.05*((1.05)^25))/((1.05^25)-1))</f>
        <v>114588.21853825584</v>
      </c>
      <c r="J8" s="13">
        <f>29*J27</f>
        <v>29000</v>
      </c>
      <c r="K8" s="13">
        <f>I8+J8</f>
        <v>143588.21853825584</v>
      </c>
      <c r="L8" s="2">
        <f>K8*25</f>
        <v>3589705.463456396</v>
      </c>
      <c r="N8" s="31"/>
    </row>
    <row r="9" spans="2:14" x14ac:dyDescent="0.5">
      <c r="B9" s="7" t="s">
        <v>10</v>
      </c>
      <c r="C9" s="10">
        <f>13698 * D28*((0.05*((1.05)^25))/((1.05^25)-1))</f>
        <v>0</v>
      </c>
      <c r="D9" s="13">
        <f>29*D28</f>
        <v>0</v>
      </c>
      <c r="E9" s="13">
        <f>C9+D9</f>
        <v>0</v>
      </c>
      <c r="F9" s="2">
        <f>E9*25</f>
        <v>0</v>
      </c>
      <c r="H9" s="7" t="s">
        <v>10</v>
      </c>
      <c r="I9" s="16">
        <f t="shared" ref="I9:I11" si="0">1615 * J28*((0.05*((1.05)^25))/((1.05^25)-1))</f>
        <v>401058.76488389546</v>
      </c>
      <c r="J9" s="13">
        <f>29*J28</f>
        <v>101500</v>
      </c>
      <c r="K9" s="13">
        <f>I9+J9</f>
        <v>502558.76488389546</v>
      </c>
      <c r="L9" s="2">
        <f>K9*25</f>
        <v>12563969.122097386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967399.17499196157</v>
      </c>
      <c r="D13" s="13">
        <f>37.35*D38</f>
        <v>112050</v>
      </c>
      <c r="E13" s="13">
        <f>C13+D13</f>
        <v>1079449.1749919616</v>
      </c>
      <c r="F13" s="2">
        <f>E13*25</f>
        <v>26986229.374799039</v>
      </c>
      <c r="H13" s="7" t="s">
        <v>14</v>
      </c>
      <c r="I13" s="16">
        <f>2490 * J38*((0.05*((1.05)^10))/((1.05^10)-1))</f>
        <v>1289865.5666559488</v>
      </c>
      <c r="J13" s="13">
        <f>37.35*J38</f>
        <v>149400</v>
      </c>
      <c r="K13" s="13">
        <f>I13+J13</f>
        <v>1439265.5666559488</v>
      </c>
      <c r="L13" s="2">
        <f>K13*25</f>
        <v>35981639.166398719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63006.719999999987</v>
      </c>
      <c r="E17" s="14">
        <f>D17+C17</f>
        <v>92574.251751746895</v>
      </c>
      <c r="F17" s="4">
        <f>E17*25</f>
        <v>2314356.2937936722</v>
      </c>
      <c r="H17" s="8" t="s">
        <v>18</v>
      </c>
      <c r="I17" s="17">
        <v>50558.222231994718</v>
      </c>
      <c r="J17" s="14">
        <v>63006.719999999987</v>
      </c>
      <c r="K17" s="14">
        <f>J17+I17</f>
        <v>113564.9422319947</v>
      </c>
      <c r="L17" s="4">
        <f>K17*25</f>
        <v>2839123.5557998675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2386334.3004639689</v>
      </c>
      <c r="D19" s="14">
        <v>0</v>
      </c>
      <c r="E19" s="14">
        <f>C19</f>
        <v>2386334.3004639689</v>
      </c>
      <c r="F19" s="4">
        <f>E19*25</f>
        <v>59658357.51159922</v>
      </c>
      <c r="H19" s="8"/>
      <c r="I19" s="17">
        <f>I48*300*((0.05*((1.05)^20))/((1.05^20)-1))</f>
        <v>1061609.428532846</v>
      </c>
      <c r="J19" s="14">
        <v>0</v>
      </c>
      <c r="K19" s="14">
        <f>I19</f>
        <v>1061609.428532846</v>
      </c>
      <c r="L19" s="4">
        <f>K19*25</f>
        <v>26540235.713321149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0</v>
      </c>
      <c r="J21" s="14">
        <f>19*I34</f>
        <v>0</v>
      </c>
      <c r="K21" s="14">
        <f>J21+I21</f>
        <v>0</v>
      </c>
      <c r="L21" s="4">
        <f>K21*25</f>
        <v>0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6688055.6928963866</v>
      </c>
      <c r="D23" s="14">
        <f>D8+D9+D10+D11+D13+D14+D15+D17+D19+D21</f>
        <v>273694.71999999997</v>
      </c>
      <c r="E23" s="14">
        <f>E8+E9+E10+E11+E13+E14+E15+E17+E19+E21</f>
        <v>6961750.4128963863</v>
      </c>
      <c r="F23" s="4">
        <f>E23*25</f>
        <v>174043760.32240966</v>
      </c>
      <c r="H23" s="36"/>
      <c r="I23" s="11">
        <f>I8+I9+I11+I10+I13+I14+I15+I17+I19+I21</f>
        <v>2917680.2008429407</v>
      </c>
      <c r="J23" s="14">
        <f>J8+J9+J10+J11+J13+J14+J15+J17+J19+J21</f>
        <v>342906.72</v>
      </c>
      <c r="K23" s="14">
        <f>K8+K9+K10+K11+K13+K14+K15+K17+K19+K21</f>
        <v>3260586.9208429409</v>
      </c>
      <c r="L23" s="4">
        <f>K23*25</f>
        <v>81514673.02107352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34</v>
      </c>
      <c r="D27" s="2">
        <v>3400</v>
      </c>
      <c r="F27" s="2"/>
      <c r="H27" s="10" t="s">
        <v>9</v>
      </c>
      <c r="I27" s="13">
        <v>10</v>
      </c>
      <c r="J27" s="2">
        <v>1000</v>
      </c>
      <c r="L27" s="2"/>
    </row>
    <row r="28" spans="2:12" x14ac:dyDescent="0.5">
      <c r="B28" s="10" t="s">
        <v>10</v>
      </c>
      <c r="C28" s="13">
        <v>0</v>
      </c>
      <c r="D28" s="2">
        <v>0</v>
      </c>
      <c r="F28" s="2"/>
      <c r="H28" s="10" t="s">
        <v>10</v>
      </c>
      <c r="I28" s="13">
        <v>7</v>
      </c>
      <c r="J28" s="2">
        <v>3500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34</v>
      </c>
      <c r="D31" s="4">
        <v>3400</v>
      </c>
      <c r="F31" s="2"/>
      <c r="H31" s="11" t="s">
        <v>26</v>
      </c>
      <c r="I31" s="14">
        <v>17</v>
      </c>
      <c r="J31" s="4">
        <v>4500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0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3</v>
      </c>
      <c r="D38" s="2">
        <v>3000</v>
      </c>
      <c r="F38" s="2"/>
      <c r="H38" s="10" t="s">
        <v>14</v>
      </c>
      <c r="I38" s="13">
        <v>4</v>
      </c>
      <c r="J38" s="2">
        <v>4000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3</v>
      </c>
      <c r="D41" s="4">
        <v>3000</v>
      </c>
      <c r="F41" s="2"/>
      <c r="H41" s="11" t="s">
        <v>26</v>
      </c>
      <c r="I41" s="14">
        <v>4</v>
      </c>
      <c r="J41" s="4">
        <v>4000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224</v>
      </c>
      <c r="D45" s="4">
        <v>3937.92</v>
      </c>
      <c r="F45" s="2"/>
      <c r="H45" s="11" t="s">
        <v>18</v>
      </c>
      <c r="I45" s="14">
        <v>224</v>
      </c>
      <c r="J45" s="4">
        <v>3937.92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99130</v>
      </c>
      <c r="F48" s="2"/>
      <c r="H48" s="18" t="s">
        <v>29</v>
      </c>
      <c r="I48" s="4">
        <v>44100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6010026.2348348899</v>
      </c>
      <c r="D52" s="2">
        <f>C52*25</f>
        <v>150250655.87087226</v>
      </c>
      <c r="F52" s="2"/>
      <c r="H52" s="10" t="s">
        <v>35</v>
      </c>
      <c r="I52" s="13">
        <v>5436663.8200000003</v>
      </c>
      <c r="J52" s="2">
        <f>I52*25</f>
        <v>135916595.5</v>
      </c>
      <c r="L52" s="2"/>
    </row>
    <row r="53" spans="2:12" ht="17.45" customHeight="1" thickBot="1" x14ac:dyDescent="0.55000000000000004">
      <c r="B53" s="11" t="s">
        <v>36</v>
      </c>
      <c r="C53" s="17">
        <v>3954977.524717479</v>
      </c>
      <c r="D53" s="4">
        <f>C53*25</f>
        <v>98874438.117936969</v>
      </c>
      <c r="F53" s="2"/>
      <c r="H53" s="11" t="s">
        <v>36</v>
      </c>
      <c r="I53" s="14">
        <v>996983.02630000003</v>
      </c>
      <c r="J53" s="4">
        <f>I53*25</f>
        <v>24924575.657499999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1632352.8045230501</v>
      </c>
      <c r="D57" s="2">
        <f>C57*25</f>
        <v>40808820.113076255</v>
      </c>
      <c r="F57" s="2"/>
      <c r="H57" s="10" t="s">
        <v>35</v>
      </c>
      <c r="I57" s="13">
        <v>1476624.74</v>
      </c>
      <c r="J57" s="2">
        <f>I57*25</f>
        <v>36915618.5</v>
      </c>
      <c r="L57" s="2"/>
    </row>
    <row r="58" spans="2:12" ht="21.45" customHeight="1" thickBot="1" x14ac:dyDescent="0.55000000000000004">
      <c r="B58" s="11" t="s">
        <v>36</v>
      </c>
      <c r="C58" s="17">
        <v>1724043.5479223011</v>
      </c>
      <c r="D58" s="4">
        <f>C58*25</f>
        <v>43101088.698057525</v>
      </c>
      <c r="F58" s="2"/>
      <c r="H58" s="11" t="s">
        <v>36</v>
      </c>
      <c r="I58" s="14">
        <v>559899.3591</v>
      </c>
      <c r="J58" s="4">
        <f>I58*25</f>
        <v>13997483.977499999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892169.86165968899</v>
      </c>
      <c r="F61" s="2"/>
      <c r="H61" s="18" t="s">
        <v>38</v>
      </c>
      <c r="I61" s="4">
        <v>396919.0086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1.0894995488173973</v>
      </c>
      <c r="C64" s="41"/>
      <c r="D64" s="3"/>
      <c r="E64" s="3"/>
      <c r="F64" s="4"/>
      <c r="H64" s="40">
        <f>K23/B68</f>
        <v>0.51027511307466378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6389860.7580453362</v>
      </c>
      <c r="C68" s="4">
        <f>D107</f>
        <v>159746518.9511334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38314.326941583982</v>
      </c>
      <c r="D74" s="13">
        <v>89400</v>
      </c>
      <c r="E74" s="13">
        <f>C74+D74</f>
        <v>127714.32694158397</v>
      </c>
      <c r="F74" s="2">
        <f>E74*25</f>
        <v>3192858.1735395994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1899264.0789473669</v>
      </c>
      <c r="E78" s="13">
        <f>D78</f>
        <v>1899264.0789473669</v>
      </c>
      <c r="F78" s="2">
        <f>E78*25</f>
        <v>47481601.973684169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50558.222231994718</v>
      </c>
      <c r="D80" s="13">
        <v>63006.719999999987</v>
      </c>
      <c r="E80" s="13">
        <f>C80+D80</f>
        <v>113564.9422319947</v>
      </c>
      <c r="F80" s="2">
        <f>E80*25</f>
        <v>2839123.5557998675</v>
      </c>
    </row>
    <row r="81" spans="2:6" ht="14.7" thickBot="1" x14ac:dyDescent="0.55000000000000004">
      <c r="B81" s="11" t="s">
        <v>46</v>
      </c>
      <c r="C81" s="14"/>
      <c r="D81" s="14">
        <f>D100*2.0865</f>
        <v>76865016.862928331</v>
      </c>
      <c r="E81" s="14">
        <f>D81</f>
        <v>76865016.862928331</v>
      </c>
      <c r="F81" s="4">
        <f>E81*25</f>
        <v>1921625421.5732083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88872.549173578707</v>
      </c>
      <c r="D83" s="14">
        <v>5126271.4734645011</v>
      </c>
      <c r="E83" s="14">
        <v>5215144.0226380797</v>
      </c>
      <c r="F83" s="4">
        <f>E83*25</f>
        <v>130378600.56595199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6</v>
      </c>
      <c r="D87" s="2">
        <v>600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6</v>
      </c>
      <c r="D91" s="4">
        <v>600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224</v>
      </c>
      <c r="D95" s="4">
        <v>3937.92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910263.15789473616</v>
      </c>
      <c r="D99" s="2">
        <f>C99*25</f>
        <v>22756578.947368406</v>
      </c>
      <c r="F99" s="2"/>
    </row>
    <row r="100" spans="2:6" x14ac:dyDescent="0.5">
      <c r="B100" s="10" t="s">
        <v>53</v>
      </c>
      <c r="C100" s="13">
        <v>1473568.499648758</v>
      </c>
      <c r="D100" s="2">
        <f>C100*25</f>
        <v>36839212.491218947</v>
      </c>
      <c r="F100" s="2"/>
    </row>
    <row r="101" spans="2:6" ht="14.7" thickBot="1" x14ac:dyDescent="0.55000000000000004">
      <c r="B101" s="11" t="s">
        <v>26</v>
      </c>
      <c r="C101" s="14">
        <f>C99+C100</f>
        <v>2383831.6575434944</v>
      </c>
      <c r="D101" s="4">
        <f>D99+D100</f>
        <v>59595791.438587353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2439960.3947368404</v>
      </c>
      <c r="D105" s="29">
        <f t="shared" si="4"/>
        <v>60999009.868421011</v>
      </c>
      <c r="F105" s="2"/>
    </row>
    <row r="106" spans="2:6" x14ac:dyDescent="0.5">
      <c r="B106" s="10" t="s">
        <v>53</v>
      </c>
      <c r="C106" s="13">
        <f t="shared" si="4"/>
        <v>3949900.3633084954</v>
      </c>
      <c r="D106" s="29">
        <f t="shared" si="4"/>
        <v>98747509.082712382</v>
      </c>
      <c r="F106" s="2"/>
    </row>
    <row r="107" spans="2:6" ht="14.7" thickBot="1" x14ac:dyDescent="0.55000000000000004">
      <c r="B107" s="11" t="s">
        <v>26</v>
      </c>
      <c r="C107" s="14">
        <f t="shared" si="4"/>
        <v>6389860.7580453362</v>
      </c>
      <c r="D107" s="30">
        <f t="shared" si="4"/>
        <v>159746518.9511334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8649970.1647551414</v>
      </c>
      <c r="D8" s="13">
        <f>29*D27</f>
        <v>258100</v>
      </c>
      <c r="E8" s="13">
        <f>C8+D8</f>
        <v>8908070.1647551414</v>
      </c>
      <c r="F8" s="2">
        <f>E8*25</f>
        <v>222701754.11887854</v>
      </c>
      <c r="H8" s="7" t="s">
        <v>9</v>
      </c>
      <c r="I8" s="16">
        <f>1615 * J27*((0.05*((1.05)^25))/((1.05^25)-1))</f>
        <v>996917.50128282583</v>
      </c>
      <c r="J8" s="13">
        <f>29*J27</f>
        <v>252300</v>
      </c>
      <c r="K8" s="13">
        <f>I8+J8</f>
        <v>1249217.5012828258</v>
      </c>
      <c r="L8" s="2">
        <f>K8*25</f>
        <v>31230437.532070644</v>
      </c>
      <c r="N8" s="31"/>
    </row>
    <row r="9" spans="2:14" x14ac:dyDescent="0.5">
      <c r="B9" s="7" t="s">
        <v>10</v>
      </c>
      <c r="C9" s="10">
        <f>13698 * D28*((0.05*((1.05)^25))/((1.05^25)-1))</f>
        <v>0</v>
      </c>
      <c r="D9" s="13">
        <f>29*D28</f>
        <v>0</v>
      </c>
      <c r="E9" s="13">
        <f>C9+D9</f>
        <v>0</v>
      </c>
      <c r="F9" s="2">
        <f>E9*25</f>
        <v>0</v>
      </c>
      <c r="H9" s="7" t="s">
        <v>10</v>
      </c>
      <c r="I9" s="16">
        <f t="shared" ref="I9:I11" si="0">1615 * J28*((0.05*((1.05)^25))/((1.05^25)-1))</f>
        <v>114588.21853825584</v>
      </c>
      <c r="J9" s="13">
        <f>29*J28</f>
        <v>29000</v>
      </c>
      <c r="K9" s="13">
        <f>I9+J9</f>
        <v>143588.21853825584</v>
      </c>
      <c r="L9" s="2">
        <f>K9*25</f>
        <v>3589705.463456396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2579731.1333118975</v>
      </c>
      <c r="D13" s="13">
        <f>37.35*D38</f>
        <v>298800</v>
      </c>
      <c r="E13" s="13">
        <f>C13+D13</f>
        <v>2878531.1333118975</v>
      </c>
      <c r="F13" s="2">
        <f>E13*25</f>
        <v>71963278.332797438</v>
      </c>
      <c r="H13" s="7" t="s">
        <v>14</v>
      </c>
      <c r="I13" s="16">
        <f>2490 * J38*((0.05*((1.05)^10))/((1.05^10)-1))</f>
        <v>2902197.5249758847</v>
      </c>
      <c r="J13" s="13">
        <f>37.35*J38</f>
        <v>336150</v>
      </c>
      <c r="K13" s="13">
        <f>I13+J13</f>
        <v>3238347.5249758847</v>
      </c>
      <c r="L13" s="2">
        <f>K13*25</f>
        <v>80958688.124397114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140640</v>
      </c>
      <c r="E17" s="14">
        <f>D17+C17</f>
        <v>170207.53175174689</v>
      </c>
      <c r="F17" s="4">
        <f>E17*25</f>
        <v>4255188.2937936727</v>
      </c>
      <c r="H17" s="8" t="s">
        <v>18</v>
      </c>
      <c r="I17" s="17">
        <v>112853.1746249882</v>
      </c>
      <c r="J17" s="14">
        <v>140640</v>
      </c>
      <c r="K17" s="14">
        <f>J17+I17</f>
        <v>253493.1746249882</v>
      </c>
      <c r="L17" s="4">
        <f>K17*25</f>
        <v>6337329.3656247053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2582045.970622065</v>
      </c>
      <c r="D19" s="14">
        <v>0</v>
      </c>
      <c r="E19" s="14">
        <f>C19</f>
        <v>2582045.970622065</v>
      </c>
      <c r="F19" s="4">
        <f>E19*25</f>
        <v>64551149.265551627</v>
      </c>
      <c r="H19" s="8"/>
      <c r="I19" s="17">
        <f>I48*300*((0.05*((1.05)^20))/((1.05^20)-1))</f>
        <v>1713500.2068700222</v>
      </c>
      <c r="J19" s="14">
        <v>0</v>
      </c>
      <c r="K19" s="14">
        <f>I19</f>
        <v>1713500.2068700222</v>
      </c>
      <c r="L19" s="4">
        <f>K19*25</f>
        <v>42837505.171750553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271.70140022768078</v>
      </c>
      <c r="J21" s="14">
        <f>19*I34</f>
        <v>38</v>
      </c>
      <c r="K21" s="14">
        <f>J21+I21</f>
        <v>309.70140022768078</v>
      </c>
      <c r="L21" s="4">
        <f>K21*25</f>
        <v>7742.5350056920197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13841586.501841078</v>
      </c>
      <c r="D23" s="14">
        <f>D8+D9+D10+D11+D13+D14+D15+D17+D19+D21</f>
        <v>697578</v>
      </c>
      <c r="E23" s="14">
        <f>E8+E9+E10+E11+E13+E14+E15+E17+E19+E21</f>
        <v>14539164.501841078</v>
      </c>
      <c r="F23" s="4">
        <f>E23*25</f>
        <v>363479112.54602695</v>
      </c>
      <c r="H23" s="36"/>
      <c r="I23" s="11">
        <f>I8+I9+I11+I10+I13+I14+I15+I17+I19+I21</f>
        <v>5840328.3276922051</v>
      </c>
      <c r="J23" s="14">
        <f>J8+J9+J10+J11+J13+J14+J15+J17+J19+J21</f>
        <v>758128</v>
      </c>
      <c r="K23" s="14">
        <f>K8+K9+K10+K11+K13+K14+K15+K17+K19+K21</f>
        <v>6598456.3276922042</v>
      </c>
      <c r="L23" s="4">
        <f>K23*25</f>
        <v>164961408.19230512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89</v>
      </c>
      <c r="D27" s="2">
        <v>8900</v>
      </c>
      <c r="F27" s="2"/>
      <c r="H27" s="10" t="s">
        <v>9</v>
      </c>
      <c r="I27" s="13">
        <v>87</v>
      </c>
      <c r="J27" s="2">
        <v>8700</v>
      </c>
      <c r="L27" s="2"/>
    </row>
    <row r="28" spans="2:12" x14ac:dyDescent="0.5">
      <c r="B28" s="10" t="s">
        <v>10</v>
      </c>
      <c r="C28" s="13">
        <v>0</v>
      </c>
      <c r="D28" s="2">
        <v>0</v>
      </c>
      <c r="F28" s="2"/>
      <c r="H28" s="10" t="s">
        <v>10</v>
      </c>
      <c r="I28" s="13">
        <v>2</v>
      </c>
      <c r="J28" s="2">
        <v>1000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89</v>
      </c>
      <c r="D31" s="4">
        <v>8900</v>
      </c>
      <c r="F31" s="2"/>
      <c r="H31" s="11" t="s">
        <v>26</v>
      </c>
      <c r="I31" s="14">
        <v>89</v>
      </c>
      <c r="J31" s="4">
        <v>9700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8</v>
      </c>
      <c r="D38" s="2">
        <v>8000</v>
      </c>
      <c r="F38" s="2"/>
      <c r="H38" s="10" t="s">
        <v>14</v>
      </c>
      <c r="I38" s="13">
        <v>9</v>
      </c>
      <c r="J38" s="2">
        <v>9000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8</v>
      </c>
      <c r="D41" s="4">
        <v>8000</v>
      </c>
      <c r="F41" s="2"/>
      <c r="H41" s="11" t="s">
        <v>26</v>
      </c>
      <c r="I41" s="14">
        <v>9</v>
      </c>
      <c r="J41" s="4">
        <v>9000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500</v>
      </c>
      <c r="D45" s="4">
        <v>8790</v>
      </c>
      <c r="F45" s="2"/>
      <c r="H45" s="11" t="s">
        <v>18</v>
      </c>
      <c r="I45" s="14">
        <v>500</v>
      </c>
      <c r="J45" s="4">
        <v>8790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107260</v>
      </c>
      <c r="F48" s="2"/>
      <c r="H48" s="18" t="s">
        <v>29</v>
      </c>
      <c r="I48" s="4">
        <v>71180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13386750.8987549</v>
      </c>
      <c r="D52" s="2">
        <f>C52*25</f>
        <v>334668772.46887249</v>
      </c>
      <c r="F52" s="2"/>
      <c r="H52" s="10" t="s">
        <v>35</v>
      </c>
      <c r="I52" s="13">
        <v>14065673.33</v>
      </c>
      <c r="J52" s="2">
        <f>I52*25</f>
        <v>351641833.25</v>
      </c>
      <c r="L52" s="2"/>
    </row>
    <row r="53" spans="2:12" ht="17.45" customHeight="1" thickBot="1" x14ac:dyDescent="0.55000000000000004">
      <c r="B53" s="11" t="s">
        <v>36</v>
      </c>
      <c r="C53" s="17">
        <v>2536846.019893629</v>
      </c>
      <c r="D53" s="4">
        <f>C53*25</f>
        <v>63421150.497340724</v>
      </c>
      <c r="F53" s="2"/>
      <c r="H53" s="11" t="s">
        <v>36</v>
      </c>
      <c r="I53" s="14">
        <v>641114.40456619998</v>
      </c>
      <c r="J53" s="4">
        <f>I53*25</f>
        <v>16027860.114155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3635907.6515136999</v>
      </c>
      <c r="D57" s="2">
        <f>C57*25</f>
        <v>90897691.287842497</v>
      </c>
      <c r="F57" s="2"/>
      <c r="H57" s="10" t="s">
        <v>35</v>
      </c>
      <c r="I57" s="13">
        <v>3820306.3369999998</v>
      </c>
      <c r="J57" s="2">
        <f>I57*25</f>
        <v>95507658.424999997</v>
      </c>
      <c r="L57" s="2"/>
    </row>
    <row r="58" spans="2:12" ht="21.45" customHeight="1" thickBot="1" x14ac:dyDescent="0.55000000000000004">
      <c r="B58" s="11" t="s">
        <v>36</v>
      </c>
      <c r="C58" s="17">
        <v>1392168.7955266659</v>
      </c>
      <c r="D58" s="4">
        <f>C58*25</f>
        <v>34804219.888166644</v>
      </c>
      <c r="F58" s="2"/>
      <c r="H58" s="11" t="s">
        <v>36</v>
      </c>
      <c r="I58" s="14">
        <v>640754.28272170003</v>
      </c>
      <c r="J58" s="4">
        <f>I58*25</f>
        <v>16018857.0680425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965339.99999999895</v>
      </c>
      <c r="F61" s="2"/>
      <c r="H61" s="18" t="s">
        <v>38</v>
      </c>
      <c r="I61" s="4">
        <v>640620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1.0513272540637753</v>
      </c>
      <c r="C64" s="41"/>
      <c r="D64" s="3"/>
      <c r="E64" s="3"/>
      <c r="F64" s="4"/>
      <c r="H64" s="40">
        <f>K23/B68</f>
        <v>0.47713449910921257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13829342.334312879</v>
      </c>
      <c r="C68" s="4">
        <f>D107</f>
        <v>345733558.35782194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19157.163470791991</v>
      </c>
      <c r="D74" s="13">
        <v>44700</v>
      </c>
      <c r="E74" s="13">
        <f>C74+D74</f>
        <v>63857.163470791987</v>
      </c>
      <c r="F74" s="2">
        <f>E74*25</f>
        <v>1596429.0867697997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70952.457299229587</v>
      </c>
      <c r="D76" s="13">
        <v>114000</v>
      </c>
      <c r="E76" s="13">
        <f t="shared" si="2"/>
        <v>184952.45729922957</v>
      </c>
      <c r="F76" s="2">
        <f t="shared" si="3"/>
        <v>4623811.4324807394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4134015.3947368814</v>
      </c>
      <c r="E78" s="13">
        <f>D78</f>
        <v>4134015.3947368814</v>
      </c>
      <c r="F78" s="2">
        <f>E78*25</f>
        <v>103350384.86842203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112853.1746249882</v>
      </c>
      <c r="D80" s="13">
        <v>140640</v>
      </c>
      <c r="E80" s="13">
        <f>C80+D80</f>
        <v>253493.1746249882</v>
      </c>
      <c r="F80" s="2">
        <f>E80*25</f>
        <v>6337329.3656247053</v>
      </c>
    </row>
    <row r="81" spans="2:6" ht="14.7" thickBot="1" x14ac:dyDescent="0.55000000000000004">
      <c r="B81" s="11" t="s">
        <v>46</v>
      </c>
      <c r="C81" s="14"/>
      <c r="D81" s="14">
        <f>D100*2.0865</f>
        <v>165768462.18011203</v>
      </c>
      <c r="E81" s="14">
        <f>D81</f>
        <v>165768462.18011203</v>
      </c>
      <c r="F81" s="4">
        <f>E81*25</f>
        <v>4144211554.5028009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202962.7953950098</v>
      </c>
      <c r="D83" s="14">
        <v>11064093.881941359</v>
      </c>
      <c r="E83" s="14">
        <v>11267056.677336371</v>
      </c>
      <c r="F83" s="4">
        <f>E83*25</f>
        <v>281676416.93340927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3</v>
      </c>
      <c r="D87" s="2">
        <v>300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1</v>
      </c>
      <c r="D89" s="2">
        <v>1000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4</v>
      </c>
      <c r="D91" s="4">
        <v>1300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500</v>
      </c>
      <c r="D95" s="4">
        <v>8790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1981315.7894737029</v>
      </c>
      <c r="D99" s="2">
        <f>C99*25</f>
        <v>49532894.736842573</v>
      </c>
      <c r="F99" s="2"/>
    </row>
    <row r="100" spans="2:6" x14ac:dyDescent="0.5">
      <c r="B100" s="10" t="s">
        <v>53</v>
      </c>
      <c r="C100" s="13">
        <v>3177924.029333564</v>
      </c>
      <c r="D100" s="2">
        <f>C100*25</f>
        <v>79448100.733339101</v>
      </c>
      <c r="F100" s="2"/>
    </row>
    <row r="101" spans="2:6" ht="14.7" thickBot="1" x14ac:dyDescent="0.55000000000000004">
      <c r="B101" s="11" t="s">
        <v>26</v>
      </c>
      <c r="C101" s="14">
        <f>C99+C100</f>
        <v>5159239.8188072667</v>
      </c>
      <c r="D101" s="4">
        <f>D99+D100</f>
        <v>128980995.47018167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5310916.9736842606</v>
      </c>
      <c r="D105" s="29">
        <f t="shared" si="4"/>
        <v>132772924.34210651</v>
      </c>
      <c r="F105" s="2"/>
    </row>
    <row r="106" spans="2:6" x14ac:dyDescent="0.5">
      <c r="B106" s="10" t="s">
        <v>53</v>
      </c>
      <c r="C106" s="13">
        <f t="shared" si="4"/>
        <v>8518425.3606286179</v>
      </c>
      <c r="D106" s="29">
        <f t="shared" si="4"/>
        <v>212960634.01571545</v>
      </c>
      <c r="F106" s="2"/>
    </row>
    <row r="107" spans="2:6" ht="14.7" thickBot="1" x14ac:dyDescent="0.55000000000000004">
      <c r="B107" s="11" t="s">
        <v>26</v>
      </c>
      <c r="C107" s="14">
        <f t="shared" si="4"/>
        <v>13829342.334312879</v>
      </c>
      <c r="D107" s="30">
        <f t="shared" si="4"/>
        <v>345733558.35782194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4:N107"/>
  <sheetViews>
    <sheetView tabSelected="1"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0</v>
      </c>
      <c r="D8" s="13">
        <f>29*D27</f>
        <v>0</v>
      </c>
      <c r="E8" s="13">
        <f>C8+D8</f>
        <v>0</v>
      </c>
      <c r="F8" s="2">
        <f>E8*25</f>
        <v>0</v>
      </c>
      <c r="H8" s="7" t="s">
        <v>9</v>
      </c>
      <c r="I8" s="16">
        <f>1615 * J27*((0.05*((1.05)^25))/((1.05^25)-1))</f>
        <v>11458.821853825584</v>
      </c>
      <c r="J8" s="13">
        <f>29*J27</f>
        <v>2900</v>
      </c>
      <c r="K8" s="13">
        <f>I8+J8</f>
        <v>14358.821853825584</v>
      </c>
      <c r="L8" s="2">
        <f>K8*25</f>
        <v>358970.54634563962</v>
      </c>
      <c r="N8" s="31"/>
    </row>
    <row r="9" spans="2:14" x14ac:dyDescent="0.5">
      <c r="B9" s="7" t="s">
        <v>10</v>
      </c>
      <c r="C9" s="10">
        <f>13698 * D28*((0.05*((1.05)^25))/((1.05^25)-1))</f>
        <v>485953.38004242367</v>
      </c>
      <c r="D9" s="13">
        <f>29*D28</f>
        <v>14500</v>
      </c>
      <c r="E9" s="13">
        <f>C9+D9</f>
        <v>500453.38004242367</v>
      </c>
      <c r="F9" s="2">
        <f>E9*25</f>
        <v>12511334.501060592</v>
      </c>
      <c r="H9" s="7" t="s">
        <v>10</v>
      </c>
      <c r="I9" s="16">
        <f t="shared" ref="I9:I11" si="0">1615 * J28*((0.05*((1.05)^25))/((1.05^25)-1))</f>
        <v>57294.109269127919</v>
      </c>
      <c r="J9" s="13">
        <f>29*J28</f>
        <v>14500</v>
      </c>
      <c r="K9" s="13">
        <f>I9+J9</f>
        <v>71794.109269127919</v>
      </c>
      <c r="L9" s="2">
        <f>K9*25</f>
        <v>1794852.731728198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322466.39166398719</v>
      </c>
      <c r="D13" s="13">
        <f>37.35*D38</f>
        <v>37350</v>
      </c>
      <c r="E13" s="13">
        <f>C13+D13</f>
        <v>359816.39166398719</v>
      </c>
      <c r="F13" s="2">
        <f>E13*25</f>
        <v>8995409.7915996797</v>
      </c>
      <c r="H13" s="7" t="s">
        <v>14</v>
      </c>
      <c r="I13" s="16">
        <f>2490 * J38*((0.05*((1.05)^10))/((1.05^10)-1))</f>
        <v>322466.39166398719</v>
      </c>
      <c r="J13" s="13">
        <f>37.35*J38</f>
        <v>37350</v>
      </c>
      <c r="K13" s="13">
        <f>I13+J13</f>
        <v>359816.39166398719</v>
      </c>
      <c r="L13" s="2">
        <f>K13*25</f>
        <v>8995409.7915996797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13220.16</v>
      </c>
      <c r="E17" s="14">
        <f>D17+C17</f>
        <v>42787.691751746897</v>
      </c>
      <c r="F17" s="4">
        <f>E17*25</f>
        <v>1069692.2937936725</v>
      </c>
      <c r="H17" s="8" t="s">
        <v>18</v>
      </c>
      <c r="I17" s="17">
        <v>10608.198414748889</v>
      </c>
      <c r="J17" s="14">
        <v>13220.16</v>
      </c>
      <c r="K17" s="14">
        <f>J17+I17</f>
        <v>23828.358414748887</v>
      </c>
      <c r="L17" s="4">
        <f>K17*25</f>
        <v>595708.96036872221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484103.52852144069</v>
      </c>
      <c r="D19" s="14">
        <v>0</v>
      </c>
      <c r="E19" s="14">
        <f>C19</f>
        <v>484103.52852144069</v>
      </c>
      <c r="F19" s="4">
        <f>E19*25</f>
        <v>12102588.213036017</v>
      </c>
      <c r="H19" s="8"/>
      <c r="I19" s="17">
        <f>I48*300*((0.05*((1.05)^20))/((1.05^20)-1))</f>
        <v>483862.80075986864</v>
      </c>
      <c r="J19" s="14">
        <v>0</v>
      </c>
      <c r="K19" s="14">
        <f>I19</f>
        <v>483862.80075986864</v>
      </c>
      <c r="L19" s="4">
        <f>K19*25</f>
        <v>12096570.018996716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95367.191479915957</v>
      </c>
      <c r="D21" s="14">
        <f>19*C34</f>
        <v>13338</v>
      </c>
      <c r="E21" s="14">
        <f>D21+C21</f>
        <v>108705.19147991596</v>
      </c>
      <c r="F21" s="4">
        <f>E21*25</f>
        <v>2717629.7869978989</v>
      </c>
      <c r="H21" s="7"/>
      <c r="I21" s="11">
        <f>1693 * I34*((0.05*((1.05)^20))/((1.05^20)-1))</f>
        <v>271.70140022768078</v>
      </c>
      <c r="J21" s="14">
        <f>19*I34</f>
        <v>38</v>
      </c>
      <c r="K21" s="14">
        <f>J21+I21</f>
        <v>309.70140022768078</v>
      </c>
      <c r="L21" s="4">
        <f>K21*25</f>
        <v>7742.5350056920197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1417458.0234595144</v>
      </c>
      <c r="D23" s="14">
        <f>D8+D9+D10+D11+D13+D14+D15+D17+D19+D21</f>
        <v>78408.160000000003</v>
      </c>
      <c r="E23" s="14">
        <f>E8+E9+E10+E11+E13+E14+E15+E17+E19+E21</f>
        <v>1495866.1834595145</v>
      </c>
      <c r="F23" s="4">
        <f>E23*25</f>
        <v>37396654.586487859</v>
      </c>
      <c r="H23" s="36"/>
      <c r="I23" s="11">
        <f>I8+I9+I11+I10+I13+I14+I15+I17+I19+I21</f>
        <v>885962.02336178592</v>
      </c>
      <c r="J23" s="14">
        <f>J8+J9+J10+J11+J13+J14+J15+J17+J19+J21</f>
        <v>68008.160000000003</v>
      </c>
      <c r="K23" s="14">
        <f>K8+K9+K10+K11+K13+K14+K15+K17+K19+K21</f>
        <v>953970.18336178607</v>
      </c>
      <c r="L23" s="4">
        <f>K23*25</f>
        <v>23849254.58404465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0</v>
      </c>
      <c r="D27" s="2">
        <v>0</v>
      </c>
      <c r="F27" s="2"/>
      <c r="H27" s="10" t="s">
        <v>9</v>
      </c>
      <c r="I27" s="13">
        <v>1</v>
      </c>
      <c r="J27" s="2">
        <v>100</v>
      </c>
      <c r="L27" s="2"/>
    </row>
    <row r="28" spans="2:12" x14ac:dyDescent="0.5">
      <c r="B28" s="10" t="s">
        <v>10</v>
      </c>
      <c r="C28" s="13">
        <v>1</v>
      </c>
      <c r="D28" s="2">
        <v>500</v>
      </c>
      <c r="F28" s="2"/>
      <c r="H28" s="10" t="s">
        <v>10</v>
      </c>
      <c r="I28" s="13">
        <v>1</v>
      </c>
      <c r="J28" s="2">
        <v>500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1</v>
      </c>
      <c r="D31" s="4">
        <v>500</v>
      </c>
      <c r="F31" s="2"/>
      <c r="H31" s="11" t="s">
        <v>26</v>
      </c>
      <c r="I31" s="14">
        <v>2</v>
      </c>
      <c r="J31" s="4">
        <v>600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702</v>
      </c>
      <c r="F34" s="2"/>
      <c r="H34" s="18" t="s">
        <v>25</v>
      </c>
      <c r="I34" s="4">
        <v>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1</v>
      </c>
      <c r="D38" s="2">
        <v>1000</v>
      </c>
      <c r="F38" s="2"/>
      <c r="H38" s="10" t="s">
        <v>14</v>
      </c>
      <c r="I38" s="13">
        <v>1</v>
      </c>
      <c r="J38" s="2">
        <v>1000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1</v>
      </c>
      <c r="D41" s="4">
        <v>1000</v>
      </c>
      <c r="F41" s="2"/>
      <c r="H41" s="11" t="s">
        <v>26</v>
      </c>
      <c r="I41" s="14">
        <v>1</v>
      </c>
      <c r="J41" s="4">
        <v>1000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47</v>
      </c>
      <c r="D45" s="4">
        <v>826.25999999999988</v>
      </c>
      <c r="F45" s="2"/>
      <c r="H45" s="11" t="s">
        <v>18</v>
      </c>
      <c r="I45" s="14">
        <v>47</v>
      </c>
      <c r="J45" s="4">
        <v>826.25999999999988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20110</v>
      </c>
      <c r="F48" s="2"/>
      <c r="H48" s="18" t="s">
        <v>29</v>
      </c>
      <c r="I48" s="4">
        <v>20100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1255908.42085866</v>
      </c>
      <c r="D52" s="2">
        <f>C52*25</f>
        <v>31397710.521466501</v>
      </c>
      <c r="F52" s="2"/>
      <c r="H52" s="10" t="s">
        <v>35</v>
      </c>
      <c r="I52" s="13">
        <v>1098416.03</v>
      </c>
      <c r="J52" s="2">
        <f>I52*25</f>
        <v>27460400.75</v>
      </c>
      <c r="L52" s="2"/>
    </row>
    <row r="53" spans="2:12" ht="17.45" customHeight="1" thickBot="1" x14ac:dyDescent="0.55000000000000004">
      <c r="B53" s="11" t="s">
        <v>36</v>
      </c>
      <c r="C53" s="17">
        <v>181486.44203441706</v>
      </c>
      <c r="D53" s="4">
        <f>C53*25</f>
        <v>4537161.0508604264</v>
      </c>
      <c r="F53" s="2"/>
      <c r="H53" s="11" t="s">
        <v>36</v>
      </c>
      <c r="I53" s="14">
        <v>180927.00000000041</v>
      </c>
      <c r="J53" s="4">
        <f>I53*25</f>
        <v>4523175.0000000102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341110.92912210501</v>
      </c>
      <c r="D57" s="2">
        <f>C57*25</f>
        <v>8527773.2280526254</v>
      </c>
      <c r="F57" s="2"/>
      <c r="H57" s="10" t="s">
        <v>35</v>
      </c>
      <c r="I57" s="13">
        <v>298335.21720000001</v>
      </c>
      <c r="J57" s="2">
        <f>I57*25</f>
        <v>7458380.4300000006</v>
      </c>
      <c r="L57" s="2"/>
    </row>
    <row r="58" spans="2:12" ht="21.45" customHeight="1" thickBot="1" x14ac:dyDescent="0.55000000000000004">
      <c r="B58" s="11" t="s">
        <v>36</v>
      </c>
      <c r="C58" s="17">
        <v>181124.83610811256</v>
      </c>
      <c r="D58" s="4">
        <f>C58*25</f>
        <v>4528120.902702814</v>
      </c>
      <c r="F58" s="2"/>
      <c r="H58" s="11" t="s">
        <v>36</v>
      </c>
      <c r="I58" s="14">
        <v>180927.00000000012</v>
      </c>
      <c r="J58" s="4">
        <f>I58*25</f>
        <v>4523175.0000000028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180989.99999999901</v>
      </c>
      <c r="F61" s="2"/>
      <c r="H61" s="18" t="s">
        <v>38</v>
      </c>
      <c r="I61" s="4">
        <v>180927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1.212840740221885</v>
      </c>
      <c r="C64" s="41"/>
      <c r="D64" s="3"/>
      <c r="E64" s="3"/>
      <c r="F64" s="4"/>
      <c r="H64" s="40">
        <f>K23/B68</f>
        <v>0.77347420252677335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1233357.4671855522</v>
      </c>
      <c r="C68" s="4">
        <f>D107</f>
        <v>30833936.679638803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12771.442313861329</v>
      </c>
      <c r="D74" s="13">
        <v>29800</v>
      </c>
      <c r="E74" s="13">
        <f>C74+D74</f>
        <v>42571.442313861327</v>
      </c>
      <c r="F74" s="2">
        <f>E74*25</f>
        <v>1064286.0578465331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362392.10526315833</v>
      </c>
      <c r="E78" s="13">
        <f>D78</f>
        <v>362392.10526315833</v>
      </c>
      <c r="F78" s="2">
        <f>E78*25</f>
        <v>9059802.6315789577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10608.198414748889</v>
      </c>
      <c r="D80" s="13">
        <v>13220.16</v>
      </c>
      <c r="E80" s="13">
        <f>C80+D80</f>
        <v>23828.358414748887</v>
      </c>
      <c r="F80" s="2">
        <f>E80*25</f>
        <v>595708.96036872221</v>
      </c>
    </row>
    <row r="81" spans="2:6" ht="14.7" thickBot="1" x14ac:dyDescent="0.55000000000000004">
      <c r="B81" s="11" t="s">
        <v>46</v>
      </c>
      <c r="C81" s="14"/>
      <c r="D81" s="14">
        <f>D100*2.0865</f>
        <v>14941319.876186892</v>
      </c>
      <c r="E81" s="14">
        <f>D81</f>
        <v>14941319.876186892</v>
      </c>
      <c r="F81" s="4">
        <f>E81*25</f>
        <v>373532996.90467232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23379.640728610219</v>
      </c>
      <c r="D83" s="14">
        <v>1003065.060310634</v>
      </c>
      <c r="E83" s="14">
        <v>1026444.701039244</v>
      </c>
      <c r="F83" s="4">
        <f>E83*25</f>
        <v>25661117.525981098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2</v>
      </c>
      <c r="D87" s="2">
        <v>200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2</v>
      </c>
      <c r="D91" s="4">
        <v>200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47</v>
      </c>
      <c r="D95" s="4">
        <v>826.25999999999988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173684.21052631599</v>
      </c>
      <c r="D99" s="2">
        <f>C99*25</f>
        <v>4342105.2631578995</v>
      </c>
      <c r="F99" s="2"/>
    </row>
    <row r="100" spans="2:6" x14ac:dyDescent="0.5">
      <c r="B100" s="10" t="s">
        <v>53</v>
      </c>
      <c r="C100" s="13">
        <v>286437.95592977508</v>
      </c>
      <c r="D100" s="2">
        <f>C100*25</f>
        <v>7160948.8982443772</v>
      </c>
      <c r="F100" s="2"/>
    </row>
    <row r="101" spans="2:6" ht="14.7" thickBot="1" x14ac:dyDescent="0.55000000000000004">
      <c r="B101" s="11" t="s">
        <v>26</v>
      </c>
      <c r="C101" s="14">
        <f>C99+C100</f>
        <v>460122.1664560911</v>
      </c>
      <c r="D101" s="4">
        <f>D99+D100</f>
        <v>11503054.161402278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465560.52631579002</v>
      </c>
      <c r="D105" s="29">
        <f t="shared" si="4"/>
        <v>11639013.157894749</v>
      </c>
      <c r="F105" s="2"/>
    </row>
    <row r="106" spans="2:6" x14ac:dyDescent="0.5">
      <c r="B106" s="10" t="s">
        <v>53</v>
      </c>
      <c r="C106" s="13">
        <f t="shared" si="4"/>
        <v>767796.9408697621</v>
      </c>
      <c r="D106" s="29">
        <f t="shared" si="4"/>
        <v>19194923.521744054</v>
      </c>
      <c r="F106" s="2"/>
    </row>
    <row r="107" spans="2:6" ht="14.7" thickBot="1" x14ac:dyDescent="0.55000000000000004">
      <c r="B107" s="11" t="s">
        <v>26</v>
      </c>
      <c r="C107" s="14">
        <f t="shared" si="4"/>
        <v>1233357.4671855522</v>
      </c>
      <c r="D107" s="30">
        <f t="shared" si="4"/>
        <v>30833936.679638803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194381.35201696947</v>
      </c>
      <c r="D8" s="13">
        <f>29*D27</f>
        <v>5800</v>
      </c>
      <c r="E8" s="13">
        <f>C8+D8</f>
        <v>200181.35201696947</v>
      </c>
      <c r="F8" s="2">
        <f>E8*25</f>
        <v>5004533.8004242368</v>
      </c>
      <c r="H8" s="7" t="s">
        <v>9</v>
      </c>
      <c r="I8" s="16">
        <f>1615 * J27*((0.05*((1.05)^25))/((1.05^25)-1))</f>
        <v>80211.752976779084</v>
      </c>
      <c r="J8" s="13">
        <f>29*J27</f>
        <v>20300</v>
      </c>
      <c r="K8" s="13">
        <f>I8+J8</f>
        <v>100511.75297677908</v>
      </c>
      <c r="L8" s="2">
        <f>K8*25</f>
        <v>2512793.824419477</v>
      </c>
      <c r="N8" s="31"/>
    </row>
    <row r="9" spans="2:14" x14ac:dyDescent="0.5">
      <c r="B9" s="7" t="s">
        <v>10</v>
      </c>
      <c r="C9" s="10">
        <f>13698 * D28*((0.05*((1.05)^25))/((1.05^25)-1))</f>
        <v>10690974.360933321</v>
      </c>
      <c r="D9" s="13">
        <f>29*D28</f>
        <v>319000</v>
      </c>
      <c r="E9" s="13">
        <f>C9+D9</f>
        <v>11009974.360933321</v>
      </c>
      <c r="F9" s="2">
        <f>E9*25</f>
        <v>275249359.02333301</v>
      </c>
      <c r="H9" s="7" t="s">
        <v>10</v>
      </c>
      <c r="I9" s="16">
        <f t="shared" ref="I9:I11" si="0">1615 * J28*((0.05*((1.05)^25))/((1.05^25)-1))</f>
        <v>1203176.2946516864</v>
      </c>
      <c r="J9" s="13">
        <f>29*J28</f>
        <v>304500</v>
      </c>
      <c r="K9" s="13">
        <f>I9+J9</f>
        <v>1507676.2946516864</v>
      </c>
      <c r="L9" s="2">
        <f>K9*25</f>
        <v>37691907.366292164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3224663.9166398719</v>
      </c>
      <c r="D13" s="13">
        <f>37.35*D38</f>
        <v>373500</v>
      </c>
      <c r="E13" s="13">
        <f>C13+D13</f>
        <v>3598163.9166398719</v>
      </c>
      <c r="F13" s="2">
        <f>E13*25</f>
        <v>89954097.91599679</v>
      </c>
      <c r="H13" s="7" t="s">
        <v>14</v>
      </c>
      <c r="I13" s="16">
        <f>2490 * J38*((0.05*((1.05)^10))/((1.05^10)-1))</f>
        <v>3224663.9166398719</v>
      </c>
      <c r="J13" s="13">
        <f>37.35*J38</f>
        <v>373500</v>
      </c>
      <c r="K13" s="13">
        <f>I13+J13</f>
        <v>3598163.9166398719</v>
      </c>
      <c r="L13" s="2">
        <f>K13*25</f>
        <v>89954097.91599679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177768.95999999999</v>
      </c>
      <c r="E17" s="14">
        <f>D17+C17</f>
        <v>207336.49175174689</v>
      </c>
      <c r="F17" s="4">
        <f>E17*25</f>
        <v>5183412.2937936718</v>
      </c>
      <c r="H17" s="8" t="s">
        <v>18</v>
      </c>
      <c r="I17" s="17">
        <v>142646.41272598511</v>
      </c>
      <c r="J17" s="14">
        <v>177768.95999999999</v>
      </c>
      <c r="K17" s="14">
        <f>J17+I17</f>
        <v>320415.37272598513</v>
      </c>
      <c r="L17" s="4">
        <f>K17*25</f>
        <v>8010384.3181496281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1359389.6695975016</v>
      </c>
      <c r="D19" s="14">
        <v>0</v>
      </c>
      <c r="E19" s="14">
        <f>C19</f>
        <v>1359389.6695975016</v>
      </c>
      <c r="F19" s="4">
        <f>E19*25</f>
        <v>33984741.739937544</v>
      </c>
      <c r="H19" s="8"/>
      <c r="I19" s="17">
        <f>I48*300*((0.05*((1.05)^20))/((1.05^20)-1))</f>
        <v>1359389.6695975016</v>
      </c>
      <c r="J19" s="14">
        <v>0</v>
      </c>
      <c r="K19" s="14">
        <f>I19</f>
        <v>1359389.6695975016</v>
      </c>
      <c r="L19" s="4">
        <f>K19*25</f>
        <v>33984741.739937544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0</v>
      </c>
      <c r="D21" s="14">
        <f>19*C34</f>
        <v>0</v>
      </c>
      <c r="E21" s="14">
        <f>D21+C21</f>
        <v>0</v>
      </c>
      <c r="F21" s="4">
        <f>E21*25</f>
        <v>0</v>
      </c>
      <c r="H21" s="7"/>
      <c r="I21" s="11">
        <f>1693 * I34*((0.05*((1.05)^20))/((1.05^20)-1))</f>
        <v>271.70140022768078</v>
      </c>
      <c r="J21" s="14">
        <f>19*I34</f>
        <v>38</v>
      </c>
      <c r="K21" s="14">
        <f>J21+I21</f>
        <v>309.70140022768078</v>
      </c>
      <c r="L21" s="4">
        <f>K21*25</f>
        <v>7742.5350056920197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15498976.830939408</v>
      </c>
      <c r="D23" s="14">
        <f>D8+D9+D10+D11+D13+D14+D15+D17+D19+D21</f>
        <v>876068.96</v>
      </c>
      <c r="E23" s="14">
        <f>E8+E9+E10+E11+E13+E14+E15+E17+E19+E21</f>
        <v>16375045.790939409</v>
      </c>
      <c r="F23" s="4">
        <f>E23*25</f>
        <v>409376144.77348524</v>
      </c>
      <c r="H23" s="36"/>
      <c r="I23" s="11">
        <f>I8+I9+I11+I10+I13+I14+I15+I17+I19+I21</f>
        <v>6010359.7479920527</v>
      </c>
      <c r="J23" s="14">
        <f>J8+J9+J10+J11+J13+J14+J15+J17+J19+J21</f>
        <v>876106.96</v>
      </c>
      <c r="K23" s="14">
        <f>K8+K9+K10+K11+K13+K14+K15+K17+K19+K21</f>
        <v>6886466.7079920527</v>
      </c>
      <c r="L23" s="4">
        <f>K23*25</f>
        <v>172161667.69980133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2</v>
      </c>
      <c r="D27" s="2">
        <v>200</v>
      </c>
      <c r="F27" s="2"/>
      <c r="H27" s="10" t="s">
        <v>9</v>
      </c>
      <c r="I27" s="13">
        <v>7</v>
      </c>
      <c r="J27" s="2">
        <v>700</v>
      </c>
      <c r="L27" s="2"/>
    </row>
    <row r="28" spans="2:12" x14ac:dyDescent="0.5">
      <c r="B28" s="10" t="s">
        <v>10</v>
      </c>
      <c r="C28" s="13">
        <v>22</v>
      </c>
      <c r="D28" s="2">
        <v>11000</v>
      </c>
      <c r="F28" s="2"/>
      <c r="H28" s="10" t="s">
        <v>10</v>
      </c>
      <c r="I28" s="13">
        <v>21</v>
      </c>
      <c r="J28" s="2">
        <v>10500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24</v>
      </c>
      <c r="D31" s="4">
        <v>11200</v>
      </c>
      <c r="F31" s="2"/>
      <c r="H31" s="11" t="s">
        <v>26</v>
      </c>
      <c r="I31" s="14">
        <v>28</v>
      </c>
      <c r="J31" s="4">
        <v>11200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0</v>
      </c>
      <c r="F34" s="2"/>
      <c r="H34" s="18" t="s">
        <v>25</v>
      </c>
      <c r="I34" s="4">
        <v>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10</v>
      </c>
      <c r="D38" s="2">
        <v>10000</v>
      </c>
      <c r="F38" s="2"/>
      <c r="H38" s="10" t="s">
        <v>14</v>
      </c>
      <c r="I38" s="13">
        <v>10</v>
      </c>
      <c r="J38" s="2">
        <v>10000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10</v>
      </c>
      <c r="D41" s="4">
        <v>10000</v>
      </c>
      <c r="F41" s="2"/>
      <c r="H41" s="11" t="s">
        <v>26</v>
      </c>
      <c r="I41" s="14">
        <v>10</v>
      </c>
      <c r="J41" s="4">
        <v>10000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632</v>
      </c>
      <c r="D45" s="4">
        <v>11110.56</v>
      </c>
      <c r="F45" s="2"/>
      <c r="H45" s="11" t="s">
        <v>18</v>
      </c>
      <c r="I45" s="14">
        <v>632</v>
      </c>
      <c r="J45" s="4">
        <v>11110.56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56470</v>
      </c>
      <c r="F48" s="2"/>
      <c r="H48" s="18" t="s">
        <v>29</v>
      </c>
      <c r="I48" s="4">
        <v>56470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13952806.0849379</v>
      </c>
      <c r="D52" s="2">
        <f>C52*25</f>
        <v>348820152.12344754</v>
      </c>
      <c r="F52" s="2"/>
      <c r="H52" s="10" t="s">
        <v>35</v>
      </c>
      <c r="I52" s="13">
        <v>13459229.07</v>
      </c>
      <c r="J52" s="2">
        <f>I52*25</f>
        <v>336480726.75</v>
      </c>
      <c r="L52" s="2"/>
    </row>
    <row r="53" spans="2:12" ht="17.45" customHeight="1" thickBot="1" x14ac:dyDescent="0.55000000000000004">
      <c r="B53" s="11" t="s">
        <v>36</v>
      </c>
      <c r="C53" s="17">
        <v>510012.68821333937</v>
      </c>
      <c r="D53" s="4">
        <f>C53*25</f>
        <v>12750317.205333484</v>
      </c>
      <c r="F53" s="2"/>
      <c r="H53" s="11" t="s">
        <v>36</v>
      </c>
      <c r="I53" s="14">
        <v>510012.68821300002</v>
      </c>
      <c r="J53" s="4">
        <f>I53*25</f>
        <v>12750317.205325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3789651.0354152499</v>
      </c>
      <c r="D57" s="2">
        <f>C57*25</f>
        <v>94741275.885381252</v>
      </c>
      <c r="F57" s="2"/>
      <c r="H57" s="10" t="s">
        <v>35</v>
      </c>
      <c r="I57" s="13">
        <v>3655593.0809999998</v>
      </c>
      <c r="J57" s="2">
        <f>I57*25</f>
        <v>91389827.024999991</v>
      </c>
      <c r="L57" s="2"/>
    </row>
    <row r="58" spans="2:12" ht="21.45" customHeight="1" thickBot="1" x14ac:dyDescent="0.55000000000000004">
      <c r="B58" s="11" t="s">
        <v>36</v>
      </c>
      <c r="C58" s="17">
        <v>508714.18692214083</v>
      </c>
      <c r="D58" s="4">
        <f>C58*25</f>
        <v>12717854.67305352</v>
      </c>
      <c r="F58" s="2"/>
      <c r="H58" s="11" t="s">
        <v>36</v>
      </c>
      <c r="I58" s="14">
        <v>508714.18692210002</v>
      </c>
      <c r="J58" s="4">
        <f>I58*25</f>
        <v>12717854.673052501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508229.99999999901</v>
      </c>
      <c r="F61" s="2"/>
      <c r="H61" s="18" t="s">
        <v>38</v>
      </c>
      <c r="I61" s="4">
        <v>508230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0.9082405282826892</v>
      </c>
      <c r="C64" s="41"/>
      <c r="D64" s="3"/>
      <c r="E64" s="3"/>
      <c r="F64" s="4"/>
      <c r="H64" s="40">
        <f>K23/B68</f>
        <v>0.38195729286623509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18029415.425781008</v>
      </c>
      <c r="C68" s="4">
        <f>D107</f>
        <v>450735385.64452517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12771.442313861329</v>
      </c>
      <c r="D74" s="13">
        <v>29800.000000000011</v>
      </c>
      <c r="E74" s="13">
        <f>C74+D74</f>
        <v>42571.442313861342</v>
      </c>
      <c r="F74" s="2">
        <f>E74*25</f>
        <v>1064286.0578465336</v>
      </c>
    </row>
    <row r="75" spans="2:12" x14ac:dyDescent="0.5">
      <c r="B75" s="10" t="s">
        <v>10</v>
      </c>
      <c r="C75" s="13">
        <v>31928.605784653319</v>
      </c>
      <c r="D75" s="13">
        <v>74500</v>
      </c>
      <c r="E75" s="13">
        <f t="shared" ref="E75:E77" si="2">C75+D75</f>
        <v>106428.60578465332</v>
      </c>
      <c r="F75" s="2">
        <f t="shared" ref="F75:F77" si="3">E75*25</f>
        <v>2660715.1446163328</v>
      </c>
    </row>
    <row r="76" spans="2:12" x14ac:dyDescent="0.5">
      <c r="B76" s="10" t="s">
        <v>14</v>
      </c>
      <c r="C76" s="13">
        <v>70952.457299229587</v>
      </c>
      <c r="D76" s="13">
        <v>114000</v>
      </c>
      <c r="E76" s="13">
        <f t="shared" si="2"/>
        <v>184952.45729922957</v>
      </c>
      <c r="F76" s="2">
        <f t="shared" si="3"/>
        <v>4623811.4324807394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5638491.710526444</v>
      </c>
      <c r="E78" s="13">
        <f>D78</f>
        <v>5638491.710526444</v>
      </c>
      <c r="F78" s="2">
        <f>E78*25</f>
        <v>140962292.76316109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142646.41272598511</v>
      </c>
      <c r="D80" s="13">
        <v>177768.95999999999</v>
      </c>
      <c r="E80" s="13">
        <f>C80+D80</f>
        <v>320415.37272598513</v>
      </c>
      <c r="F80" s="2">
        <f>E80*25</f>
        <v>8010384.3181496281</v>
      </c>
    </row>
    <row r="81" spans="2:6" ht="14.7" thickBot="1" x14ac:dyDescent="0.55000000000000004">
      <c r="B81" s="11" t="s">
        <v>46</v>
      </c>
      <c r="C81" s="14"/>
      <c r="D81" s="14">
        <f>D100*2.0865</f>
        <v>209889929.63836917</v>
      </c>
      <c r="E81" s="14">
        <f>D81</f>
        <v>209889929.63836917</v>
      </c>
      <c r="F81" s="4">
        <f>E81*25</f>
        <v>5247248240.9592295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258298.91812372941</v>
      </c>
      <c r="D83" s="14">
        <v>14430157.856061211</v>
      </c>
      <c r="E83" s="14">
        <v>14688456.77418494</v>
      </c>
      <c r="F83" s="4">
        <f>E83*25</f>
        <v>367211419.3546235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2.0000000000000009</v>
      </c>
      <c r="D87" s="2">
        <v>200.00000000000011</v>
      </c>
      <c r="F87" s="2"/>
    </row>
    <row r="88" spans="2:6" x14ac:dyDescent="0.5">
      <c r="B88" s="10" t="s">
        <v>10</v>
      </c>
      <c r="C88" s="13">
        <v>1</v>
      </c>
      <c r="D88" s="2">
        <v>500</v>
      </c>
      <c r="F88" s="2"/>
    </row>
    <row r="89" spans="2:6" x14ac:dyDescent="0.5">
      <c r="B89" s="10" t="s">
        <v>14</v>
      </c>
      <c r="C89" s="13">
        <v>1</v>
      </c>
      <c r="D89" s="2">
        <v>1000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4.0000000000000009</v>
      </c>
      <c r="D91" s="4">
        <v>1700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632</v>
      </c>
      <c r="D95" s="4">
        <v>11110.56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2702368.4210526929</v>
      </c>
      <c r="D99" s="2">
        <f>C99*25</f>
        <v>67559210.526317328</v>
      </c>
      <c r="F99" s="2"/>
    </row>
    <row r="100" spans="2:6" x14ac:dyDescent="0.5">
      <c r="B100" s="10" t="s">
        <v>53</v>
      </c>
      <c r="C100" s="13">
        <v>4023770.5178695261</v>
      </c>
      <c r="D100" s="2">
        <f>C100*25</f>
        <v>100594262.94673815</v>
      </c>
      <c r="F100" s="2"/>
    </row>
    <row r="101" spans="2:6" ht="14.7" thickBot="1" x14ac:dyDescent="0.55000000000000004">
      <c r="B101" s="11" t="s">
        <v>26</v>
      </c>
      <c r="C101" s="14">
        <f>C99+C100</f>
        <v>6726138.938922219</v>
      </c>
      <c r="D101" s="4">
        <f>D99+D100</f>
        <v>168153473.47305548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7243698.5526317433</v>
      </c>
      <c r="D105" s="29">
        <f t="shared" si="4"/>
        <v>181092463.8157936</v>
      </c>
      <c r="F105" s="2"/>
    </row>
    <row r="106" spans="2:6" x14ac:dyDescent="0.5">
      <c r="B106" s="10" t="s">
        <v>53</v>
      </c>
      <c r="C106" s="13">
        <f t="shared" si="4"/>
        <v>10785716.873149265</v>
      </c>
      <c r="D106" s="29">
        <f t="shared" si="4"/>
        <v>269642921.8287316</v>
      </c>
      <c r="F106" s="2"/>
    </row>
    <row r="107" spans="2:6" ht="14.7" thickBot="1" x14ac:dyDescent="0.55000000000000004">
      <c r="B107" s="11" t="s">
        <v>26</v>
      </c>
      <c r="C107" s="14">
        <f t="shared" si="4"/>
        <v>18029415.425781008</v>
      </c>
      <c r="D107" s="30">
        <f t="shared" si="4"/>
        <v>450735385.64452517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388762.70403393894</v>
      </c>
      <c r="D8" s="13">
        <f>29*D27</f>
        <v>11600</v>
      </c>
      <c r="E8" s="13">
        <f>C8+D8</f>
        <v>400362.70403393894</v>
      </c>
      <c r="F8" s="2">
        <f>E8*25</f>
        <v>10009067.600848474</v>
      </c>
      <c r="H8" s="7" t="s">
        <v>9</v>
      </c>
      <c r="I8" s="16">
        <f>1615 * J27*((0.05*((1.05)^25))/((1.05^25)-1))</f>
        <v>4044964.114400431</v>
      </c>
      <c r="J8" s="13">
        <f>29*J27</f>
        <v>1023700</v>
      </c>
      <c r="K8" s="13">
        <f>I8+J8</f>
        <v>5068664.1144004315</v>
      </c>
      <c r="L8" s="2">
        <f>K8*25</f>
        <v>126716602.86001079</v>
      </c>
      <c r="N8" s="31"/>
    </row>
    <row r="9" spans="2:14" x14ac:dyDescent="0.5">
      <c r="B9" s="7" t="s">
        <v>10</v>
      </c>
      <c r="C9" s="10">
        <f>13698 * D28*((0.05*((1.05)^25))/((1.05^25)-1))</f>
        <v>31101016.322715115</v>
      </c>
      <c r="D9" s="13">
        <f>29*D28</f>
        <v>928000</v>
      </c>
      <c r="E9" s="13">
        <f>C9+D9</f>
        <v>32029016.322715115</v>
      </c>
      <c r="F9" s="2">
        <f>E9*25</f>
        <v>800725408.06787789</v>
      </c>
      <c r="H9" s="7" t="s">
        <v>10</v>
      </c>
      <c r="I9" s="16">
        <f t="shared" ref="I9:I11" si="0">1615 * J28*((0.05*((1.05)^25))/((1.05^25)-1))</f>
        <v>0</v>
      </c>
      <c r="J9" s="13">
        <f>29*J28</f>
        <v>0</v>
      </c>
      <c r="K9" s="13">
        <f>I9+J9</f>
        <v>0</v>
      </c>
      <c r="L9" s="2">
        <f>K9*25</f>
        <v>0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1934798.3499839231</v>
      </c>
      <c r="D13" s="13">
        <f>37.35*D38</f>
        <v>224100</v>
      </c>
      <c r="E13" s="13">
        <f>C13+D13</f>
        <v>2158898.3499839231</v>
      </c>
      <c r="F13" s="2">
        <f>E13*25</f>
        <v>53972458.749598078</v>
      </c>
      <c r="H13" s="7" t="s">
        <v>14</v>
      </c>
      <c r="I13" s="16">
        <f>2490 * J38*((0.05*((1.05)^10))/((1.05^10)-1))</f>
        <v>2257264.7416479103</v>
      </c>
      <c r="J13" s="13">
        <f>37.35*J38</f>
        <v>261450</v>
      </c>
      <c r="K13" s="13">
        <f>I13+J13</f>
        <v>2518714.7416479103</v>
      </c>
      <c r="L13" s="2">
        <f>K13*25</f>
        <v>62967868.541197762</v>
      </c>
    </row>
    <row r="14" spans="2:14" x14ac:dyDescent="0.5">
      <c r="B14" s="7" t="s">
        <v>15</v>
      </c>
      <c r="C14" s="10">
        <f>1570 * D39*((0.05*((1.05)^10))/((1.05^10)-1))</f>
        <v>4066443.6539153405</v>
      </c>
      <c r="D14" s="13">
        <f>23.55*D39</f>
        <v>471000</v>
      </c>
      <c r="E14" s="13">
        <f>C14+D14</f>
        <v>4537443.6539153401</v>
      </c>
      <c r="F14" s="2">
        <f>E14*25</f>
        <v>113436091.34788351</v>
      </c>
      <c r="H14" s="7" t="s">
        <v>15</v>
      </c>
      <c r="I14" s="16">
        <f>1570 * J39*((0.05*((1.05)^10))/((1.05^10)-1))</f>
        <v>4066443.6539153405</v>
      </c>
      <c r="J14" s="13">
        <f>23.55*J39</f>
        <v>471000</v>
      </c>
      <c r="K14" s="13">
        <f>I14+J14</f>
        <v>4537443.6539153401</v>
      </c>
      <c r="L14" s="2">
        <f t="shared" ref="L14:L15" si="1">K14*25</f>
        <v>113436091.34788351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488864.64</v>
      </c>
      <c r="E17" s="14">
        <f>D17+C17</f>
        <v>518432.17175174691</v>
      </c>
      <c r="F17" s="4">
        <f>E17*25</f>
        <v>12960804.293793673</v>
      </c>
      <c r="H17" s="8" t="s">
        <v>18</v>
      </c>
      <c r="I17" s="17">
        <v>392277.634996459</v>
      </c>
      <c r="J17" s="14">
        <v>488864.64</v>
      </c>
      <c r="K17" s="14">
        <f>J17+I17</f>
        <v>881142.27499645902</v>
      </c>
      <c r="L17" s="4">
        <f>K17*25</f>
        <v>22028556.874911476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4404114.3979610931</v>
      </c>
      <c r="D19" s="14">
        <v>0</v>
      </c>
      <c r="E19" s="14">
        <f>C19</f>
        <v>4404114.3979610931</v>
      </c>
      <c r="F19" s="4">
        <f>E19*25</f>
        <v>110102859.94902733</v>
      </c>
      <c r="H19" s="8"/>
      <c r="I19" s="17">
        <f>I48*300*((0.05*((1.05)^20))/((1.05^20)-1))</f>
        <v>2708187.3176858318</v>
      </c>
      <c r="J19" s="14">
        <v>0</v>
      </c>
      <c r="K19" s="14">
        <f>I19</f>
        <v>2708187.3176858318</v>
      </c>
      <c r="L19" s="4">
        <f>K19*25</f>
        <v>67704682.942145795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271.70140022768078</v>
      </c>
      <c r="J21" s="14">
        <f>19*I34</f>
        <v>38</v>
      </c>
      <c r="K21" s="14">
        <f>J21+I21</f>
        <v>309.70140022768078</v>
      </c>
      <c r="L21" s="4">
        <f>K21*25</f>
        <v>7742.5350056920197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41924974.661761381</v>
      </c>
      <c r="D23" s="14">
        <f>D8+D9+D10+D11+D13+D14+D15+D17+D19+D21</f>
        <v>2123602.64</v>
      </c>
      <c r="E23" s="14">
        <f>E8+E9+E10+E11+E13+E14+E15+E17+E19+E21</f>
        <v>44048577.301761381</v>
      </c>
      <c r="F23" s="4">
        <f>E23*25</f>
        <v>1101214432.5440345</v>
      </c>
      <c r="H23" s="36"/>
      <c r="I23" s="11">
        <f>I8+I9+I11+I10+I13+I14+I15+I17+I19+I21</f>
        <v>13469409.1640462</v>
      </c>
      <c r="J23" s="14">
        <f>J8+J9+J10+J11+J13+J14+J15+J17+J19+J21</f>
        <v>2245052.64</v>
      </c>
      <c r="K23" s="14">
        <f>K8+K9+K10+K11+K13+K14+K15+K17+K19+K21</f>
        <v>15714461.804046201</v>
      </c>
      <c r="L23" s="4">
        <f>K23*25</f>
        <v>392861545.10115504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4</v>
      </c>
      <c r="D27" s="2">
        <v>400</v>
      </c>
      <c r="F27" s="2"/>
      <c r="H27" s="10" t="s">
        <v>9</v>
      </c>
      <c r="I27" s="13">
        <v>353</v>
      </c>
      <c r="J27" s="2">
        <v>35300</v>
      </c>
      <c r="L27" s="2"/>
    </row>
    <row r="28" spans="2:12" x14ac:dyDescent="0.5">
      <c r="B28" s="10" t="s">
        <v>10</v>
      </c>
      <c r="C28" s="13">
        <v>64</v>
      </c>
      <c r="D28" s="2">
        <v>32000</v>
      </c>
      <c r="F28" s="2"/>
      <c r="H28" s="10" t="s">
        <v>10</v>
      </c>
      <c r="I28" s="13">
        <v>0</v>
      </c>
      <c r="J28" s="2">
        <v>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68</v>
      </c>
      <c r="D31" s="4">
        <v>32400</v>
      </c>
      <c r="F31" s="2"/>
      <c r="H31" s="11" t="s">
        <v>26</v>
      </c>
      <c r="I31" s="14">
        <v>353</v>
      </c>
      <c r="J31" s="4">
        <v>35300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6</v>
      </c>
      <c r="D38" s="2">
        <v>6000</v>
      </c>
      <c r="F38" s="2"/>
      <c r="H38" s="10" t="s">
        <v>14</v>
      </c>
      <c r="I38" s="13">
        <v>7</v>
      </c>
      <c r="J38" s="2">
        <v>7000</v>
      </c>
      <c r="L38" s="2"/>
    </row>
    <row r="39" spans="2:12" x14ac:dyDescent="0.5">
      <c r="B39" s="10" t="s">
        <v>15</v>
      </c>
      <c r="C39" s="13">
        <v>1</v>
      </c>
      <c r="D39" s="2">
        <v>20000</v>
      </c>
      <c r="F39" s="2"/>
      <c r="H39" s="10" t="s">
        <v>15</v>
      </c>
      <c r="I39" s="13">
        <v>1</v>
      </c>
      <c r="J39" s="2">
        <v>20000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7</v>
      </c>
      <c r="D41" s="4">
        <v>26000</v>
      </c>
      <c r="F41" s="2"/>
      <c r="H41" s="11" t="s">
        <v>26</v>
      </c>
      <c r="I41" s="14">
        <v>8</v>
      </c>
      <c r="J41" s="4">
        <v>27000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1738</v>
      </c>
      <c r="D45" s="4">
        <v>30554.04</v>
      </c>
      <c r="F45" s="2"/>
      <c r="H45" s="11" t="s">
        <v>18</v>
      </c>
      <c r="I45" s="14">
        <v>1738</v>
      </c>
      <c r="J45" s="4">
        <v>30554.04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182950</v>
      </c>
      <c r="F48" s="2"/>
      <c r="H48" s="18" t="s">
        <v>29</v>
      </c>
      <c r="I48" s="4">
        <v>112500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31367486.422988899</v>
      </c>
      <c r="D52" s="2">
        <f>C52*25</f>
        <v>784187160.57472253</v>
      </c>
      <c r="F52" s="2"/>
      <c r="H52" s="10" t="s">
        <v>35</v>
      </c>
      <c r="I52" s="13">
        <v>40086657.590000004</v>
      </c>
      <c r="J52" s="2">
        <f>I52*25</f>
        <v>1002166439.7500001</v>
      </c>
      <c r="L52" s="2"/>
    </row>
    <row r="53" spans="2:12" ht="17.45" customHeight="1" thickBot="1" x14ac:dyDescent="0.55000000000000004">
      <c r="B53" s="11" t="s">
        <v>36</v>
      </c>
      <c r="C53" s="17">
        <v>5380681.5564588802</v>
      </c>
      <c r="D53" s="4">
        <f>C53*25</f>
        <v>134517038.91147199</v>
      </c>
      <c r="F53" s="2"/>
      <c r="H53" s="11" t="s">
        <v>36</v>
      </c>
      <c r="I53" s="14">
        <v>1540421.3319999999</v>
      </c>
      <c r="J53" s="4">
        <f>I53*25</f>
        <v>38510533.299999997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8519564.2136512902</v>
      </c>
      <c r="D57" s="2">
        <f>C57*25</f>
        <v>212989105.34128225</v>
      </c>
      <c r="F57" s="2"/>
      <c r="H57" s="10" t="s">
        <v>35</v>
      </c>
      <c r="I57" s="13">
        <v>10887734.16</v>
      </c>
      <c r="J57" s="2">
        <f>I57*25</f>
        <v>272193354</v>
      </c>
      <c r="L57" s="2"/>
    </row>
    <row r="58" spans="2:12" ht="21.45" customHeight="1" thickBot="1" x14ac:dyDescent="0.55000000000000004">
      <c r="B58" s="11" t="s">
        <v>36</v>
      </c>
      <c r="C58" s="17">
        <v>2660536.18581778</v>
      </c>
      <c r="D58" s="4">
        <f>C58*25</f>
        <v>66513404.645444497</v>
      </c>
      <c r="F58" s="2"/>
      <c r="H58" s="11" t="s">
        <v>36</v>
      </c>
      <c r="I58" s="14">
        <v>1155883.0907999999</v>
      </c>
      <c r="J58" s="4">
        <f>I58*25</f>
        <v>28897077.269999996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1646244.69168042</v>
      </c>
      <c r="F61" s="2"/>
      <c r="H61" s="18" t="s">
        <v>38</v>
      </c>
      <c r="I61" s="4">
        <v>1012495.95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0.62875975729229749</v>
      </c>
      <c r="C64" s="41"/>
      <c r="D64" s="3"/>
      <c r="E64" s="3"/>
      <c r="F64" s="4"/>
      <c r="H64" s="40">
        <f>K23/B68</f>
        <v>0.2243119254954023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70056292.233862072</v>
      </c>
      <c r="C68" s="4">
        <f>D107</f>
        <v>1751407305.8465521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6385.7211569306883</v>
      </c>
      <c r="D74" s="13">
        <v>14900.00000000006</v>
      </c>
      <c r="E74" s="13">
        <f>C74+D74</f>
        <v>21285.721156930747</v>
      </c>
      <c r="F74" s="2">
        <f>E74*25</f>
        <v>532143.02892326866</v>
      </c>
    </row>
    <row r="75" spans="2:12" x14ac:dyDescent="0.5">
      <c r="B75" s="10" t="s">
        <v>10</v>
      </c>
      <c r="C75" s="13">
        <v>31928.605784653319</v>
      </c>
      <c r="D75" s="13">
        <v>74500</v>
      </c>
      <c r="E75" s="13">
        <f t="shared" ref="E75:E77" si="2">C75+D75</f>
        <v>106428.60578465332</v>
      </c>
      <c r="F75" s="2">
        <f t="shared" ref="F75:F77" si="3">E75*25</f>
        <v>2660715.1446163328</v>
      </c>
    </row>
    <row r="76" spans="2:12" x14ac:dyDescent="0.5">
      <c r="B76" s="10" t="s">
        <v>14</v>
      </c>
      <c r="C76" s="13">
        <v>212857.3718976888</v>
      </c>
      <c r="D76" s="13">
        <v>342000.00000000012</v>
      </c>
      <c r="E76" s="13">
        <f t="shared" si="2"/>
        <v>554857.37189768895</v>
      </c>
      <c r="F76" s="2">
        <f t="shared" si="3"/>
        <v>13871434.297442224</v>
      </c>
    </row>
    <row r="77" spans="2:12" x14ac:dyDescent="0.5">
      <c r="B77" s="10" t="s">
        <v>43</v>
      </c>
      <c r="C77" s="13">
        <v>425714.74379537761</v>
      </c>
      <c r="D77" s="13">
        <v>684000</v>
      </c>
      <c r="E77" s="13">
        <f t="shared" si="2"/>
        <v>1109714.7437953777</v>
      </c>
      <c r="F77" s="2">
        <f t="shared" si="3"/>
        <v>27742868.59488444</v>
      </c>
    </row>
    <row r="78" spans="2:12" ht="14.7" thickBot="1" x14ac:dyDescent="0.55000000000000004">
      <c r="B78" s="10" t="s">
        <v>44</v>
      </c>
      <c r="C78" s="13"/>
      <c r="D78" s="13">
        <f>C99*2.0865</f>
        <v>32472528.947368395</v>
      </c>
      <c r="E78" s="13">
        <f>D78</f>
        <v>32472528.947368395</v>
      </c>
      <c r="F78" s="2">
        <f>E78*25</f>
        <v>811813223.68420982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392277.634996459</v>
      </c>
      <c r="D80" s="13">
        <v>488864.64</v>
      </c>
      <c r="E80" s="13">
        <f>C80+D80</f>
        <v>881142.27499645902</v>
      </c>
      <c r="F80" s="2">
        <f>E80*25</f>
        <v>22028556.874911476</v>
      </c>
    </row>
    <row r="81" spans="2:6" ht="14.7" thickBot="1" x14ac:dyDescent="0.55000000000000004">
      <c r="B81" s="11" t="s">
        <v>46</v>
      </c>
      <c r="C81" s="14"/>
      <c r="D81" s="14">
        <f>D100*2.0865</f>
        <v>551481439.12080061</v>
      </c>
      <c r="E81" s="14">
        <f>D81</f>
        <v>551481439.12080061</v>
      </c>
      <c r="F81" s="4">
        <f>E81*25</f>
        <v>13787035978.020016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1069164.0776311089</v>
      </c>
      <c r="D83" s="14">
        <v>56136051.152200423</v>
      </c>
      <c r="E83" s="14">
        <v>57205215.229831517</v>
      </c>
      <c r="F83" s="4">
        <f>E83*25</f>
        <v>1430130380.7457879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1.000000000000004</v>
      </c>
      <c r="D87" s="2">
        <v>100.0000000000004</v>
      </c>
      <c r="F87" s="2"/>
    </row>
    <row r="88" spans="2:6" x14ac:dyDescent="0.5">
      <c r="B88" s="10" t="s">
        <v>10</v>
      </c>
      <c r="C88" s="13">
        <v>1</v>
      </c>
      <c r="D88" s="2">
        <v>500</v>
      </c>
      <c r="F88" s="2"/>
    </row>
    <row r="89" spans="2:6" x14ac:dyDescent="0.5">
      <c r="B89" s="10" t="s">
        <v>14</v>
      </c>
      <c r="C89" s="13">
        <v>3.0000000000000009</v>
      </c>
      <c r="D89" s="2">
        <v>3000.0000000000009</v>
      </c>
      <c r="F89" s="2"/>
    </row>
    <row r="90" spans="2:6" x14ac:dyDescent="0.5">
      <c r="B90" s="10" t="s">
        <v>43</v>
      </c>
      <c r="C90" s="13">
        <v>3</v>
      </c>
      <c r="D90" s="2">
        <v>6000</v>
      </c>
      <c r="F90" s="2"/>
    </row>
    <row r="91" spans="2:6" ht="14.7" thickBot="1" x14ac:dyDescent="0.55000000000000004">
      <c r="B91" s="11" t="s">
        <v>26</v>
      </c>
      <c r="C91" s="14">
        <v>8.0000000000000036</v>
      </c>
      <c r="D91" s="4">
        <v>9600.0000000000018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1738</v>
      </c>
      <c r="D95" s="4">
        <v>30554.04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15563157.89473683</v>
      </c>
      <c r="D99" s="2">
        <f>C99*25</f>
        <v>389078947.36842078</v>
      </c>
      <c r="F99" s="2"/>
    </row>
    <row r="100" spans="2:6" x14ac:dyDescent="0.5">
      <c r="B100" s="10" t="s">
        <v>53</v>
      </c>
      <c r="C100" s="13">
        <v>10572373.62321209</v>
      </c>
      <c r="D100" s="2">
        <f>C100*25</f>
        <v>264309340.58030224</v>
      </c>
      <c r="F100" s="2"/>
    </row>
    <row r="101" spans="2:6" ht="14.7" thickBot="1" x14ac:dyDescent="0.55000000000000004">
      <c r="B101" s="11" t="s">
        <v>26</v>
      </c>
      <c r="C101" s="14">
        <f>C99+C100</f>
        <v>26135531.517948918</v>
      </c>
      <c r="D101" s="4">
        <f>D99+D100</f>
        <v>653388287.94872308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41717044.736842074</v>
      </c>
      <c r="D105" s="29">
        <f t="shared" si="4"/>
        <v>1042926118.4210519</v>
      </c>
      <c r="F105" s="2"/>
    </row>
    <row r="106" spans="2:6" x14ac:dyDescent="0.5">
      <c r="B106" s="10" t="s">
        <v>53</v>
      </c>
      <c r="C106" s="13">
        <f t="shared" si="4"/>
        <v>28339247.497020006</v>
      </c>
      <c r="D106" s="29">
        <f t="shared" si="4"/>
        <v>708481187.42550015</v>
      </c>
      <c r="F106" s="2"/>
    </row>
    <row r="107" spans="2:6" ht="14.7" thickBot="1" x14ac:dyDescent="0.55000000000000004">
      <c r="B107" s="11" t="s">
        <v>26</v>
      </c>
      <c r="C107" s="14">
        <f t="shared" si="4"/>
        <v>70056292.233862072</v>
      </c>
      <c r="D107" s="30">
        <f t="shared" si="4"/>
        <v>1751407305.8465521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0</v>
      </c>
      <c r="D8" s="13">
        <f>29*D27</f>
        <v>0</v>
      </c>
      <c r="E8" s="13">
        <f>C8+D8</f>
        <v>0</v>
      </c>
      <c r="F8" s="2">
        <f>E8*25</f>
        <v>0</v>
      </c>
      <c r="H8" s="7" t="s">
        <v>9</v>
      </c>
      <c r="I8" s="16">
        <f>1615 * J27*((0.05*((1.05)^25))/((1.05^25)-1))</f>
        <v>22917.643707651168</v>
      </c>
      <c r="J8" s="13">
        <f>29*J27</f>
        <v>5800</v>
      </c>
      <c r="K8" s="13">
        <f>I8+J8</f>
        <v>28717.643707651168</v>
      </c>
      <c r="L8" s="2">
        <f>K8*25</f>
        <v>717941.09269127925</v>
      </c>
      <c r="N8" s="31"/>
    </row>
    <row r="9" spans="2:14" x14ac:dyDescent="0.5">
      <c r="B9" s="7" t="s">
        <v>10</v>
      </c>
      <c r="C9" s="10">
        <f>13698 * D28*((0.05*((1.05)^25))/((1.05^25)-1))</f>
        <v>9719067.6008484736</v>
      </c>
      <c r="D9" s="13">
        <f>29*D28</f>
        <v>290000</v>
      </c>
      <c r="E9" s="13">
        <f>C9+D9</f>
        <v>10009067.600848474</v>
      </c>
      <c r="F9" s="2">
        <f>E9*25</f>
        <v>250226690.02121183</v>
      </c>
      <c r="H9" s="7" t="s">
        <v>10</v>
      </c>
      <c r="I9" s="16">
        <f t="shared" ref="I9:I11" si="0">1615 * J28*((0.05*((1.05)^25))/((1.05^25)-1))</f>
        <v>1317764.5131899421</v>
      </c>
      <c r="J9" s="13">
        <f>29*J28</f>
        <v>333500</v>
      </c>
      <c r="K9" s="13">
        <f>I9+J9</f>
        <v>1651264.5131899421</v>
      </c>
      <c r="L9" s="2">
        <f>K9*25</f>
        <v>41281612.829748556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1457860.1401272712</v>
      </c>
      <c r="D11" s="13">
        <f>29*D30</f>
        <v>43500</v>
      </c>
      <c r="E11" s="13">
        <f>C11+D11</f>
        <v>1501360.1401272712</v>
      </c>
      <c r="F11" s="2">
        <f>E11*25</f>
        <v>37534003.503181778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3547130.3083038591</v>
      </c>
      <c r="D13" s="13">
        <f>37.35*D38</f>
        <v>410850</v>
      </c>
      <c r="E13" s="13">
        <f>C13+D13</f>
        <v>3957980.3083038591</v>
      </c>
      <c r="F13" s="2">
        <f>E13*25</f>
        <v>98949507.707596481</v>
      </c>
      <c r="H13" s="7" t="s">
        <v>14</v>
      </c>
      <c r="I13" s="16">
        <f>2490 * J38*((0.05*((1.05)^10))/((1.05^10)-1))</f>
        <v>3547130.3083038591</v>
      </c>
      <c r="J13" s="13">
        <f>37.35*J38</f>
        <v>410850</v>
      </c>
      <c r="K13" s="13">
        <f>I13+J13</f>
        <v>3957980.3083038591</v>
      </c>
      <c r="L13" s="2">
        <f>K13*25</f>
        <v>98949507.707596481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218835.84</v>
      </c>
      <c r="E17" s="14">
        <f>D17+C17</f>
        <v>248403.37175174689</v>
      </c>
      <c r="F17" s="4">
        <f>E17*25</f>
        <v>6210084.2937936727</v>
      </c>
      <c r="H17" s="8" t="s">
        <v>18</v>
      </c>
      <c r="I17" s="17">
        <v>175599.53971648161</v>
      </c>
      <c r="J17" s="14">
        <v>218835.84</v>
      </c>
      <c r="K17" s="14">
        <f>J17+I17</f>
        <v>394435.37971648161</v>
      </c>
      <c r="L17" s="4">
        <f>K17*25</f>
        <v>9860884.492912041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1040666.1132760757</v>
      </c>
      <c r="D19" s="14">
        <v>0</v>
      </c>
      <c r="E19" s="14">
        <f>C19</f>
        <v>1040666.1132760757</v>
      </c>
      <c r="F19" s="4">
        <f>E19*25</f>
        <v>26016652.831901893</v>
      </c>
      <c r="H19" s="8"/>
      <c r="I19" s="17">
        <f>I48*300*((0.05*((1.05)^20))/((1.05^20)-1))</f>
        <v>836528.97146295698</v>
      </c>
      <c r="J19" s="14">
        <v>0</v>
      </c>
      <c r="K19" s="14">
        <f>I19</f>
        <v>836528.97146295698</v>
      </c>
      <c r="L19" s="4">
        <f>K19*25</f>
        <v>20913224.286573924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271.70140022768078</v>
      </c>
      <c r="J21" s="14">
        <f>19*I34</f>
        <v>38</v>
      </c>
      <c r="K21" s="14">
        <f>J21+I21</f>
        <v>309.70140022768078</v>
      </c>
      <c r="L21" s="4">
        <f>K21*25</f>
        <v>7742.5350056920197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15794563.395707654</v>
      </c>
      <c r="D23" s="14">
        <f>D8+D9+D10+D11+D13+D14+D15+D17+D19+D21</f>
        <v>963223.84</v>
      </c>
      <c r="E23" s="14">
        <f>E8+E9+E10+E11+E13+E14+E15+E17+E19+E21</f>
        <v>16757787.235707654</v>
      </c>
      <c r="F23" s="4">
        <f>E23*25</f>
        <v>418944680.89269131</v>
      </c>
      <c r="H23" s="36"/>
      <c r="I23" s="11">
        <f>I8+I9+I11+I10+I13+I14+I15+I17+I19+I21</f>
        <v>5900212.6777811181</v>
      </c>
      <c r="J23" s="14">
        <f>J8+J9+J10+J11+J13+J14+J15+J17+J19+J21</f>
        <v>969023.84</v>
      </c>
      <c r="K23" s="14">
        <f>K8+K9+K10+K11+K13+K14+K15+K17+K19+K21</f>
        <v>6869236.5177811189</v>
      </c>
      <c r="L23" s="4">
        <f>K23*25</f>
        <v>171730912.94452798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0</v>
      </c>
      <c r="D27" s="2">
        <v>0</v>
      </c>
      <c r="F27" s="2"/>
      <c r="H27" s="10" t="s">
        <v>9</v>
      </c>
      <c r="I27" s="13">
        <v>2</v>
      </c>
      <c r="J27" s="2">
        <v>200</v>
      </c>
      <c r="L27" s="2"/>
    </row>
    <row r="28" spans="2:12" x14ac:dyDescent="0.5">
      <c r="B28" s="10" t="s">
        <v>10</v>
      </c>
      <c r="C28" s="13">
        <v>20</v>
      </c>
      <c r="D28" s="2">
        <v>10000</v>
      </c>
      <c r="F28" s="2"/>
      <c r="H28" s="10" t="s">
        <v>10</v>
      </c>
      <c r="I28" s="13">
        <v>23</v>
      </c>
      <c r="J28" s="2">
        <v>11500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1</v>
      </c>
      <c r="D30" s="2">
        <v>1500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21</v>
      </c>
      <c r="D31" s="4">
        <v>11500</v>
      </c>
      <c r="F31" s="2"/>
      <c r="H31" s="11" t="s">
        <v>26</v>
      </c>
      <c r="I31" s="14">
        <v>25</v>
      </c>
      <c r="J31" s="4">
        <v>11700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11</v>
      </c>
      <c r="D38" s="2">
        <v>11000</v>
      </c>
      <c r="F38" s="2"/>
      <c r="H38" s="10" t="s">
        <v>14</v>
      </c>
      <c r="I38" s="13">
        <v>11</v>
      </c>
      <c r="J38" s="2">
        <v>11000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11</v>
      </c>
      <c r="D41" s="4">
        <v>11000</v>
      </c>
      <c r="F41" s="2"/>
      <c r="H41" s="11" t="s">
        <v>26</v>
      </c>
      <c r="I41" s="14">
        <v>11</v>
      </c>
      <c r="J41" s="4">
        <v>11000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778</v>
      </c>
      <c r="D45" s="4">
        <v>13677.24</v>
      </c>
      <c r="F45" s="2"/>
      <c r="H45" s="11" t="s">
        <v>18</v>
      </c>
      <c r="I45" s="14">
        <v>778</v>
      </c>
      <c r="J45" s="4">
        <v>13677.24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43230</v>
      </c>
      <c r="F48" s="2"/>
      <c r="H48" s="18" t="s">
        <v>29</v>
      </c>
      <c r="I48" s="4">
        <v>34750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10876106.833130701</v>
      </c>
      <c r="D52" s="2">
        <f>C52*25</f>
        <v>271902670.82826751</v>
      </c>
      <c r="F52" s="2"/>
      <c r="H52" s="10" t="s">
        <v>35</v>
      </c>
      <c r="I52" s="13">
        <v>12362544.460000001</v>
      </c>
      <c r="J52" s="2">
        <f>I52*25</f>
        <v>309063611.5</v>
      </c>
      <c r="L52" s="2"/>
    </row>
    <row r="53" spans="2:12" ht="17.45" customHeight="1" thickBot="1" x14ac:dyDescent="0.55000000000000004">
      <c r="B53" s="11" t="s">
        <v>36</v>
      </c>
      <c r="C53" s="17">
        <v>837442.89022278599</v>
      </c>
      <c r="D53" s="4">
        <f>C53*25</f>
        <v>20936072.255569652</v>
      </c>
      <c r="F53" s="2"/>
      <c r="H53" s="11" t="s">
        <v>36</v>
      </c>
      <c r="I53" s="14">
        <v>414455.5294</v>
      </c>
      <c r="J53" s="4">
        <f>I53*25</f>
        <v>10361388.234999999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2954004.3250478399</v>
      </c>
      <c r="D57" s="2">
        <f>C57*25</f>
        <v>73850108.126195997</v>
      </c>
      <c r="F57" s="2"/>
      <c r="H57" s="10" t="s">
        <v>35</v>
      </c>
      <c r="I57" s="13">
        <v>3357728.125</v>
      </c>
      <c r="J57" s="2">
        <f>I57*25</f>
        <v>83943203.125</v>
      </c>
      <c r="L57" s="2"/>
    </row>
    <row r="58" spans="2:12" ht="21.45" customHeight="1" thickBot="1" x14ac:dyDescent="0.55000000000000004">
      <c r="B58" s="11" t="s">
        <v>36</v>
      </c>
      <c r="C58" s="17">
        <v>510330.71892512799</v>
      </c>
      <c r="D58" s="4">
        <f>C58*25</f>
        <v>12758267.9731282</v>
      </c>
      <c r="F58" s="2"/>
      <c r="H58" s="11" t="s">
        <v>36</v>
      </c>
      <c r="I58" s="14">
        <v>340373.32392</v>
      </c>
      <c r="J58" s="4">
        <f>I58*25</f>
        <v>8509333.0979999993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388356.688949731</v>
      </c>
      <c r="F61" s="2"/>
      <c r="H61" s="18" t="s">
        <v>38</v>
      </c>
      <c r="I61" s="4">
        <v>312749.45069999999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1.0840779801908704</v>
      </c>
      <c r="C64" s="41"/>
      <c r="D64" s="3"/>
      <c r="E64" s="3"/>
      <c r="F64" s="4"/>
      <c r="H64" s="40">
        <f>K23/B68</f>
        <v>0.44437776568626175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15458101.300754359</v>
      </c>
      <c r="C68" s="4">
        <f>D107</f>
        <v>386452532.51885903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19157.163470791991</v>
      </c>
      <c r="D74" s="13">
        <v>44700</v>
      </c>
      <c r="E74" s="13">
        <f>C74+D74</f>
        <v>63857.163470791987</v>
      </c>
      <c r="F74" s="2">
        <f>E74*25</f>
        <v>1596429.0867697997</v>
      </c>
    </row>
    <row r="75" spans="2:12" x14ac:dyDescent="0.5">
      <c r="B75" s="10" t="s">
        <v>10</v>
      </c>
      <c r="C75" s="13">
        <v>31928.605784653319</v>
      </c>
      <c r="D75" s="13">
        <v>74500</v>
      </c>
      <c r="E75" s="13">
        <f t="shared" ref="E75:E77" si="2">C75+D75</f>
        <v>106428.60578465332</v>
      </c>
      <c r="F75" s="2">
        <f t="shared" ref="F75:F77" si="3">E75*25</f>
        <v>2660715.1446163328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2566944.0789473439</v>
      </c>
      <c r="E78" s="13">
        <f>D78</f>
        <v>2566944.0789473439</v>
      </c>
      <c r="F78" s="2">
        <f>E78*25</f>
        <v>64173601.973683596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175599.53971648161</v>
      </c>
      <c r="D80" s="13">
        <v>218835.84</v>
      </c>
      <c r="E80" s="13">
        <f>C80+D80</f>
        <v>394435.37971648161</v>
      </c>
      <c r="F80" s="2">
        <f>E80*25</f>
        <v>9860884.492912041</v>
      </c>
    </row>
    <row r="81" spans="2:6" ht="14.7" thickBot="1" x14ac:dyDescent="0.55000000000000004">
      <c r="B81" s="11" t="s">
        <v>46</v>
      </c>
      <c r="C81" s="14"/>
      <c r="D81" s="14">
        <f>D100*2.0865</f>
        <v>236640876.33282614</v>
      </c>
      <c r="E81" s="14">
        <f>D81</f>
        <v>236640876.33282614</v>
      </c>
      <c r="F81" s="4">
        <f>E81*25</f>
        <v>5916021908.3206539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226685.30897192689</v>
      </c>
      <c r="D83" s="14">
        <v>12370614.972260389</v>
      </c>
      <c r="E83" s="14">
        <v>12597300.28123232</v>
      </c>
      <c r="F83" s="4">
        <f>E83*25</f>
        <v>314932507.03080797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3</v>
      </c>
      <c r="D87" s="2">
        <v>300</v>
      </c>
      <c r="F87" s="2"/>
    </row>
    <row r="88" spans="2:6" x14ac:dyDescent="0.5">
      <c r="B88" s="10" t="s">
        <v>10</v>
      </c>
      <c r="C88" s="13">
        <v>1</v>
      </c>
      <c r="D88" s="2">
        <v>500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4</v>
      </c>
      <c r="D91" s="4">
        <v>800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778</v>
      </c>
      <c r="D95" s="4">
        <v>13677.24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1230263.157894725</v>
      </c>
      <c r="D99" s="2">
        <f>C99*25</f>
        <v>30756578.947368123</v>
      </c>
      <c r="F99" s="2"/>
    </row>
    <row r="100" spans="2:6" x14ac:dyDescent="0.5">
      <c r="B100" s="10" t="s">
        <v>53</v>
      </c>
      <c r="C100" s="13">
        <v>4536609.1796372132</v>
      </c>
      <c r="D100" s="2">
        <f>C100*25</f>
        <v>113415229.49093033</v>
      </c>
      <c r="F100" s="2"/>
    </row>
    <row r="101" spans="2:6" ht="14.7" thickBot="1" x14ac:dyDescent="0.55000000000000004">
      <c r="B101" s="11" t="s">
        <v>26</v>
      </c>
      <c r="C101" s="14">
        <f>C99+C100</f>
        <v>5766872.3375319382</v>
      </c>
      <c r="D101" s="4">
        <f>D99+D100</f>
        <v>144171808.43829846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3297720.3947368101</v>
      </c>
      <c r="D105" s="29">
        <f t="shared" si="4"/>
        <v>82443009.868420243</v>
      </c>
      <c r="F105" s="2"/>
    </row>
    <row r="106" spans="2:6" x14ac:dyDescent="0.5">
      <c r="B106" s="10" t="s">
        <v>53</v>
      </c>
      <c r="C106" s="13">
        <f t="shared" si="4"/>
        <v>12160380.906017549</v>
      </c>
      <c r="D106" s="29">
        <f t="shared" si="4"/>
        <v>304009522.65043873</v>
      </c>
      <c r="F106" s="2"/>
    </row>
    <row r="107" spans="2:6" ht="14.7" thickBot="1" x14ac:dyDescent="0.55000000000000004">
      <c r="B107" s="11" t="s">
        <v>26</v>
      </c>
      <c r="C107" s="14">
        <f t="shared" si="4"/>
        <v>15458101.300754359</v>
      </c>
      <c r="D107" s="30">
        <f t="shared" si="4"/>
        <v>386452532.51885903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1069097.436093332</v>
      </c>
      <c r="D8" s="13">
        <f>29*D27</f>
        <v>31900</v>
      </c>
      <c r="E8" s="13">
        <f>C8+D8</f>
        <v>1100997.436093332</v>
      </c>
      <c r="F8" s="2">
        <f>E8*25</f>
        <v>27524935.902333301</v>
      </c>
      <c r="H8" s="7" t="s">
        <v>9</v>
      </c>
      <c r="I8" s="16">
        <f>1615 * J27*((0.05*((1.05)^25))/((1.05^25)-1))</f>
        <v>22917.643707651168</v>
      </c>
      <c r="J8" s="13">
        <f>29*J27</f>
        <v>5800</v>
      </c>
      <c r="K8" s="13">
        <f>I8+J8</f>
        <v>28717.643707651168</v>
      </c>
      <c r="L8" s="2">
        <f>K8*25</f>
        <v>717941.09269127925</v>
      </c>
      <c r="N8" s="31"/>
    </row>
    <row r="9" spans="2:14" x14ac:dyDescent="0.5">
      <c r="B9" s="7" t="s">
        <v>10</v>
      </c>
      <c r="C9" s="10">
        <f>13698 * D28*((0.05*((1.05)^25))/((1.05^25)-1))</f>
        <v>4373580.4203818133</v>
      </c>
      <c r="D9" s="13">
        <f>29*D28</f>
        <v>130500</v>
      </c>
      <c r="E9" s="13">
        <f>C9+D9</f>
        <v>4504080.4203818133</v>
      </c>
      <c r="F9" s="2">
        <f>E9*25</f>
        <v>112602010.50954533</v>
      </c>
      <c r="H9" s="7" t="s">
        <v>10</v>
      </c>
      <c r="I9" s="16">
        <f t="shared" ref="I9:I11" si="0">1615 * J28*((0.05*((1.05)^25))/((1.05^25)-1))</f>
        <v>630235.20196040708</v>
      </c>
      <c r="J9" s="13">
        <f>29*J28</f>
        <v>159500</v>
      </c>
      <c r="K9" s="13">
        <f>I9+J9</f>
        <v>789735.20196040708</v>
      </c>
      <c r="L9" s="2">
        <f>K9*25</f>
        <v>19743380.049010176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1612331.9583199359</v>
      </c>
      <c r="D13" s="13">
        <f>37.35*D38</f>
        <v>186750</v>
      </c>
      <c r="E13" s="13">
        <f>C13+D13</f>
        <v>1799081.9583199359</v>
      </c>
      <c r="F13" s="2">
        <f>E13*25</f>
        <v>44977048.957998395</v>
      </c>
      <c r="H13" s="7" t="s">
        <v>14</v>
      </c>
      <c r="I13" s="16">
        <f>2490 * J38*((0.05*((1.05)^10))/((1.05^10)-1))</f>
        <v>1612331.9583199359</v>
      </c>
      <c r="J13" s="13">
        <f>37.35*J38</f>
        <v>186750</v>
      </c>
      <c r="K13" s="13">
        <f>I13+J13</f>
        <v>1799081.9583199359</v>
      </c>
      <c r="L13" s="2">
        <f>K13*25</f>
        <v>44977048.957998395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90572.159999999989</v>
      </c>
      <c r="E17" s="14">
        <f>D17+C17</f>
        <v>120139.6917517469</v>
      </c>
      <c r="F17" s="4">
        <f>E17*25</f>
        <v>3003492.2937936722</v>
      </c>
      <c r="H17" s="8" t="s">
        <v>18</v>
      </c>
      <c r="I17" s="17">
        <v>72677.444458492406</v>
      </c>
      <c r="J17" s="14">
        <v>90572.159999999989</v>
      </c>
      <c r="K17" s="14">
        <f>J17+I17</f>
        <v>163249.60445849239</v>
      </c>
      <c r="L17" s="4">
        <f>K17*25</f>
        <v>4081240.11146231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694258.86437386123</v>
      </c>
      <c r="D19" s="14">
        <v>0</v>
      </c>
      <c r="E19" s="14">
        <f>C19</f>
        <v>694258.86437386123</v>
      </c>
      <c r="F19" s="4">
        <f>E19*25</f>
        <v>17356471.609346531</v>
      </c>
      <c r="H19" s="8"/>
      <c r="I19" s="17">
        <f>I48*300*((0.05*((1.05)^20))/((1.05^20)-1))</f>
        <v>625892.18008739222</v>
      </c>
      <c r="J19" s="14">
        <v>0</v>
      </c>
      <c r="K19" s="14">
        <f>I19</f>
        <v>625892.18008739222</v>
      </c>
      <c r="L19" s="4">
        <f>K19*25</f>
        <v>15647304.502184805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0</v>
      </c>
      <c r="J21" s="14">
        <f>19*I34</f>
        <v>0</v>
      </c>
      <c r="K21" s="14">
        <f>J21+I21</f>
        <v>0</v>
      </c>
      <c r="L21" s="4">
        <f>K21*25</f>
        <v>0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7779107.9123209175</v>
      </c>
      <c r="D23" s="14">
        <f>D8+D9+D10+D11+D13+D14+D15+D17+D19+D21</f>
        <v>439760.16</v>
      </c>
      <c r="E23" s="14">
        <f>E8+E9+E10+E11+E13+E14+E15+E17+E19+E21</f>
        <v>8218868.0723209167</v>
      </c>
      <c r="F23" s="4">
        <f>E23*25</f>
        <v>205471701.80802292</v>
      </c>
      <c r="H23" s="36"/>
      <c r="I23" s="11">
        <f>I8+I9+I11+I10+I13+I14+I15+I17+I19+I21</f>
        <v>2964054.4285338791</v>
      </c>
      <c r="J23" s="14">
        <f>J8+J9+J10+J11+J13+J14+J15+J17+J19+J21</f>
        <v>442622.16</v>
      </c>
      <c r="K23" s="14">
        <f>K8+K9+K10+K11+K13+K14+K15+K17+K19+K21</f>
        <v>3406676.5885338788</v>
      </c>
      <c r="L23" s="4">
        <f>K23*25</f>
        <v>85166914.713346973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11</v>
      </c>
      <c r="D27" s="2">
        <v>1100</v>
      </c>
      <c r="F27" s="2"/>
      <c r="H27" s="10" t="s">
        <v>9</v>
      </c>
      <c r="I27" s="13">
        <v>2</v>
      </c>
      <c r="J27" s="2">
        <v>200</v>
      </c>
      <c r="L27" s="2"/>
    </row>
    <row r="28" spans="2:12" x14ac:dyDescent="0.5">
      <c r="B28" s="10" t="s">
        <v>10</v>
      </c>
      <c r="C28" s="13">
        <v>9</v>
      </c>
      <c r="D28" s="2">
        <v>4500</v>
      </c>
      <c r="F28" s="2"/>
      <c r="H28" s="10" t="s">
        <v>10</v>
      </c>
      <c r="I28" s="13">
        <v>11</v>
      </c>
      <c r="J28" s="2">
        <v>5500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20</v>
      </c>
      <c r="D31" s="4">
        <v>5600</v>
      </c>
      <c r="F31" s="2"/>
      <c r="H31" s="11" t="s">
        <v>26</v>
      </c>
      <c r="I31" s="14">
        <v>13</v>
      </c>
      <c r="J31" s="4">
        <v>5700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0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5</v>
      </c>
      <c r="D38" s="2">
        <v>5000</v>
      </c>
      <c r="F38" s="2"/>
      <c r="H38" s="10" t="s">
        <v>14</v>
      </c>
      <c r="I38" s="13">
        <v>5</v>
      </c>
      <c r="J38" s="2">
        <v>5000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5</v>
      </c>
      <c r="D41" s="4">
        <v>5000</v>
      </c>
      <c r="F41" s="2"/>
      <c r="H41" s="11" t="s">
        <v>26</v>
      </c>
      <c r="I41" s="14">
        <v>5</v>
      </c>
      <c r="J41" s="4">
        <v>5000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322</v>
      </c>
      <c r="D45" s="4">
        <v>5660.7599999999993</v>
      </c>
      <c r="F45" s="2"/>
      <c r="H45" s="11" t="s">
        <v>18</v>
      </c>
      <c r="I45" s="14">
        <v>322</v>
      </c>
      <c r="J45" s="4">
        <v>5660.7599999999993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28840</v>
      </c>
      <c r="F48" s="2"/>
      <c r="H48" s="18" t="s">
        <v>29</v>
      </c>
      <c r="I48" s="4">
        <v>26000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5370293.7289575702</v>
      </c>
      <c r="D52" s="2">
        <f>C52*25</f>
        <v>134257343.22393924</v>
      </c>
      <c r="F52" s="2"/>
      <c r="H52" s="10" t="s">
        <v>35</v>
      </c>
      <c r="I52" s="13">
        <v>5392386.7999999998</v>
      </c>
      <c r="J52" s="2">
        <f>I52*25</f>
        <v>134809670</v>
      </c>
      <c r="L52" s="2"/>
    </row>
    <row r="53" spans="2:12" ht="17.45" customHeight="1" thickBot="1" x14ac:dyDescent="0.55000000000000004">
      <c r="B53" s="11" t="s">
        <v>36</v>
      </c>
      <c r="C53" s="17">
        <v>851381.21213747188</v>
      </c>
      <c r="D53" s="4">
        <f>C53*25</f>
        <v>21284530.303436797</v>
      </c>
      <c r="F53" s="2"/>
      <c r="H53" s="11" t="s">
        <v>36</v>
      </c>
      <c r="I53" s="14">
        <v>739793.7757</v>
      </c>
      <c r="J53" s="4">
        <f>I53*25</f>
        <v>18494844.392499998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1458598.2967538999</v>
      </c>
      <c r="D57" s="2">
        <f>C57*25</f>
        <v>36464957.418847494</v>
      </c>
      <c r="F57" s="2"/>
      <c r="H57" s="10" t="s">
        <v>35</v>
      </c>
      <c r="I57" s="13">
        <v>1464598.8840000001</v>
      </c>
      <c r="J57" s="2">
        <f>I57*25</f>
        <v>36614972.100000001</v>
      </c>
      <c r="L57" s="2"/>
    </row>
    <row r="58" spans="2:12" ht="21.45" customHeight="1" thickBot="1" x14ac:dyDescent="0.55000000000000004">
      <c r="B58" s="11" t="s">
        <v>36</v>
      </c>
      <c r="C58" s="17">
        <v>420305.10598678899</v>
      </c>
      <c r="D58" s="4">
        <f>C58*25</f>
        <v>10507627.649669725</v>
      </c>
      <c r="F58" s="2"/>
      <c r="H58" s="11" t="s">
        <v>36</v>
      </c>
      <c r="I58" s="14">
        <v>371398.82329999999</v>
      </c>
      <c r="J58" s="4">
        <f>I58*25</f>
        <v>9284970.5824999996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259564.86301534699</v>
      </c>
      <c r="F61" s="2"/>
      <c r="H61" s="18" t="s">
        <v>38</v>
      </c>
      <c r="I61" s="4">
        <v>234031.2139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0.91390056332417957</v>
      </c>
      <c r="C64" s="41"/>
      <c r="D64" s="3"/>
      <c r="E64" s="3"/>
      <c r="F64" s="4"/>
      <c r="H64" s="40">
        <f>K23/B68</f>
        <v>0.37880686560834737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8993175.4089591391</v>
      </c>
      <c r="C68" s="4">
        <f>D107</f>
        <v>224829385.22397849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19157.163470791991</v>
      </c>
      <c r="D74" s="13">
        <v>44700</v>
      </c>
      <c r="E74" s="13">
        <f>C74+D74</f>
        <v>63857.163470791987</v>
      </c>
      <c r="F74" s="2">
        <f>E74*25</f>
        <v>1596429.0867697997</v>
      </c>
    </row>
    <row r="75" spans="2:12" x14ac:dyDescent="0.5">
      <c r="B75" s="10" t="s">
        <v>10</v>
      </c>
      <c r="C75" s="13">
        <v>31928.605784653319</v>
      </c>
      <c r="D75" s="13">
        <v>74500</v>
      </c>
      <c r="E75" s="13">
        <f t="shared" ref="E75:E77" si="2">C75+D75</f>
        <v>106428.60578465332</v>
      </c>
      <c r="F75" s="2">
        <f t="shared" ref="F75:F77" si="3">E75*25</f>
        <v>2660715.1446163328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2643815.1315789227</v>
      </c>
      <c r="E78" s="13">
        <f>D78</f>
        <v>2643815.1315789227</v>
      </c>
      <c r="F78" s="2">
        <f>E78*25</f>
        <v>66095378.289473072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72677.444458492406</v>
      </c>
      <c r="D80" s="13">
        <v>90572.159999999989</v>
      </c>
      <c r="E80" s="13">
        <f>C80+D80</f>
        <v>163249.60445849239</v>
      </c>
      <c r="F80" s="2">
        <f>E80*25</f>
        <v>4081240.11146231</v>
      </c>
    </row>
    <row r="81" spans="2:6" ht="14.7" thickBot="1" x14ac:dyDescent="0.55000000000000004">
      <c r="B81" s="11" t="s">
        <v>46</v>
      </c>
      <c r="C81" s="14"/>
      <c r="D81" s="14">
        <f>D100*2.0865</f>
        <v>108911714.517776</v>
      </c>
      <c r="E81" s="14">
        <f>D81</f>
        <v>108911714.517776</v>
      </c>
      <c r="F81" s="4">
        <f>E81*25</f>
        <v>2722792862.9443998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123763.2137139377</v>
      </c>
      <c r="D83" s="14">
        <v>7210055.8722899631</v>
      </c>
      <c r="E83" s="14">
        <v>7333819.0860039014</v>
      </c>
      <c r="F83" s="4">
        <f>E83*25</f>
        <v>183345477.15009755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3</v>
      </c>
      <c r="D87" s="2">
        <v>300</v>
      </c>
      <c r="F87" s="2"/>
    </row>
    <row r="88" spans="2:6" x14ac:dyDescent="0.5">
      <c r="B88" s="10" t="s">
        <v>10</v>
      </c>
      <c r="C88" s="13">
        <v>1</v>
      </c>
      <c r="D88" s="2">
        <v>500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4</v>
      </c>
      <c r="D91" s="4">
        <v>800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322</v>
      </c>
      <c r="D95" s="4">
        <v>5660.7599999999993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1267105.263157883</v>
      </c>
      <c r="D99" s="2">
        <f>C99*25</f>
        <v>31677631.578947075</v>
      </c>
      <c r="F99" s="2"/>
    </row>
    <row r="100" spans="2:6" x14ac:dyDescent="0.5">
      <c r="B100" s="10" t="s">
        <v>53</v>
      </c>
      <c r="C100" s="13">
        <v>2087931.2632212029</v>
      </c>
      <c r="D100" s="2">
        <f>C100*25</f>
        <v>52198281.58053007</v>
      </c>
      <c r="F100" s="2"/>
    </row>
    <row r="101" spans="2:6" ht="14.7" thickBot="1" x14ac:dyDescent="0.55000000000000004">
      <c r="B101" s="11" t="s">
        <v>26</v>
      </c>
      <c r="C101" s="14">
        <f>C99+C100</f>
        <v>3355036.5263790861</v>
      </c>
      <c r="D101" s="4">
        <f>D99+D100</f>
        <v>83875913.159477144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3396475.657894705</v>
      </c>
      <c r="D105" s="29">
        <f t="shared" si="4"/>
        <v>84911891.447367623</v>
      </c>
      <c r="F105" s="2"/>
    </row>
    <row r="106" spans="2:6" x14ac:dyDescent="0.5">
      <c r="B106" s="10" t="s">
        <v>53</v>
      </c>
      <c r="C106" s="13">
        <f t="shared" si="4"/>
        <v>5596699.7510644337</v>
      </c>
      <c r="D106" s="29">
        <f t="shared" si="4"/>
        <v>139917493.77661085</v>
      </c>
      <c r="F106" s="2"/>
    </row>
    <row r="107" spans="2:6" ht="14.7" thickBot="1" x14ac:dyDescent="0.55000000000000004">
      <c r="B107" s="11" t="s">
        <v>26</v>
      </c>
      <c r="C107" s="14">
        <f t="shared" si="4"/>
        <v>8993175.4089591391</v>
      </c>
      <c r="D107" s="30">
        <f t="shared" si="4"/>
        <v>224829385.22397849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1555050.8161357557</v>
      </c>
      <c r="D8" s="13">
        <f>29*D27</f>
        <v>46400</v>
      </c>
      <c r="E8" s="13">
        <f>C8+D8</f>
        <v>1601450.8161357557</v>
      </c>
      <c r="F8" s="2">
        <f>E8*25</f>
        <v>40036270.403393894</v>
      </c>
      <c r="H8" s="7" t="s">
        <v>9</v>
      </c>
      <c r="I8" s="16">
        <f>1615 * J27*((0.05*((1.05)^25))/((1.05^25)-1))</f>
        <v>194799.97151503494</v>
      </c>
      <c r="J8" s="13">
        <f>29*J27</f>
        <v>49300</v>
      </c>
      <c r="K8" s="13">
        <f>I8+J8</f>
        <v>244099.97151503494</v>
      </c>
      <c r="L8" s="2">
        <f>K8*25</f>
        <v>6102499.287875873</v>
      </c>
      <c r="N8" s="31"/>
    </row>
    <row r="9" spans="2:14" x14ac:dyDescent="0.5">
      <c r="B9" s="7" t="s">
        <v>10</v>
      </c>
      <c r="C9" s="10">
        <f>13698 * D28*((0.05*((1.05)^25))/((1.05^25)-1))</f>
        <v>0</v>
      </c>
      <c r="D9" s="13">
        <f>29*D28</f>
        <v>0</v>
      </c>
      <c r="E9" s="13">
        <f>C9+D9</f>
        <v>0</v>
      </c>
      <c r="F9" s="2">
        <f>E9*25</f>
        <v>0</v>
      </c>
      <c r="H9" s="7" t="s">
        <v>10</v>
      </c>
      <c r="I9" s="16">
        <f t="shared" ref="I9:I11" si="0">1615 * J28*((0.05*((1.05)^25))/((1.05^25)-1))</f>
        <v>0</v>
      </c>
      <c r="J9" s="13">
        <f>29*J28</f>
        <v>0</v>
      </c>
      <c r="K9" s="13">
        <f>I9+J9</f>
        <v>0</v>
      </c>
      <c r="L9" s="2">
        <f>K9*25</f>
        <v>0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322466.39166398719</v>
      </c>
      <c r="D13" s="13">
        <f>37.35*D38</f>
        <v>37350</v>
      </c>
      <c r="E13" s="13">
        <f>C13+D13</f>
        <v>359816.39166398719</v>
      </c>
      <c r="F13" s="2">
        <f>E13*25</f>
        <v>8995409.7915996797</v>
      </c>
      <c r="H13" s="7" t="s">
        <v>14</v>
      </c>
      <c r="I13" s="16">
        <f>2490 * J38*((0.05*((1.05)^10))/((1.05^10)-1))</f>
        <v>322466.39166398719</v>
      </c>
      <c r="J13" s="13">
        <f>37.35*J38</f>
        <v>37350</v>
      </c>
      <c r="K13" s="13">
        <f>I13+J13</f>
        <v>359816.39166398719</v>
      </c>
      <c r="L13" s="2">
        <f>K13*25</f>
        <v>8995409.7915996797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23627.52</v>
      </c>
      <c r="E17" s="14">
        <f>D17+C17</f>
        <v>53195.051751746898</v>
      </c>
      <c r="F17" s="4">
        <f>E17*25</f>
        <v>1329876.2937936725</v>
      </c>
      <c r="H17" s="8" t="s">
        <v>18</v>
      </c>
      <c r="I17" s="17">
        <v>18959.333336998021</v>
      </c>
      <c r="J17" s="14">
        <v>23627.52</v>
      </c>
      <c r="K17" s="14">
        <f>J17+I17</f>
        <v>42586.853336998021</v>
      </c>
      <c r="L17" s="4">
        <f>K17*25</f>
        <v>1064671.3334249505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429217.59888300783</v>
      </c>
      <c r="D19" s="14">
        <v>0</v>
      </c>
      <c r="E19" s="14">
        <f>C19</f>
        <v>429217.59888300783</v>
      </c>
      <c r="F19" s="4">
        <f>E19*25</f>
        <v>10730439.972075196</v>
      </c>
      <c r="H19" s="8"/>
      <c r="I19" s="17">
        <f>I48*300*((0.05*((1.05)^20))/((1.05^20)-1))</f>
        <v>402015.36182536348</v>
      </c>
      <c r="J19" s="14">
        <v>0</v>
      </c>
      <c r="K19" s="14">
        <f>I19</f>
        <v>402015.36182536348</v>
      </c>
      <c r="L19" s="4">
        <f>K19*25</f>
        <v>10050384.045634087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0</v>
      </c>
      <c r="D21" s="14">
        <f>19*C34</f>
        <v>0</v>
      </c>
      <c r="E21" s="14">
        <f>D21+C21</f>
        <v>0</v>
      </c>
      <c r="F21" s="4">
        <f>E21*25</f>
        <v>0</v>
      </c>
      <c r="H21" s="7"/>
      <c r="I21" s="11">
        <f>1693 * I34*((0.05*((1.05)^20))/((1.05^20)-1))</f>
        <v>0</v>
      </c>
      <c r="J21" s="14">
        <f>19*I34</f>
        <v>0</v>
      </c>
      <c r="K21" s="14">
        <f>J21+I21</f>
        <v>0</v>
      </c>
      <c r="L21" s="4">
        <f>K21*25</f>
        <v>0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2336302.3384344978</v>
      </c>
      <c r="D23" s="14">
        <f>D8+D9+D10+D11+D13+D14+D15+D17+D19+D21</f>
        <v>107377.52</v>
      </c>
      <c r="E23" s="14">
        <f>E8+E9+E10+E11+E13+E14+E15+E17+E19+E21</f>
        <v>2443679.8584344974</v>
      </c>
      <c r="F23" s="4">
        <f>E23*25</f>
        <v>61091996.460862435</v>
      </c>
      <c r="H23" s="36"/>
      <c r="I23" s="11">
        <f>I8+I9+I11+I10+I13+I14+I15+I17+I19+I21</f>
        <v>938241.05834138358</v>
      </c>
      <c r="J23" s="14">
        <f>J8+J9+J10+J11+J13+J14+J15+J17+J19+J21</f>
        <v>110277.52</v>
      </c>
      <c r="K23" s="14">
        <f>K8+K9+K10+K11+K13+K14+K15+K17+K19+K21</f>
        <v>1048518.5783413836</v>
      </c>
      <c r="L23" s="4">
        <f>K23*25</f>
        <v>26212964.458534591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16</v>
      </c>
      <c r="D27" s="2">
        <v>1600</v>
      </c>
      <c r="F27" s="2"/>
      <c r="H27" s="10" t="s">
        <v>9</v>
      </c>
      <c r="I27" s="13">
        <v>17</v>
      </c>
      <c r="J27" s="2">
        <v>1700</v>
      </c>
      <c r="L27" s="2"/>
    </row>
    <row r="28" spans="2:12" x14ac:dyDescent="0.5">
      <c r="B28" s="10" t="s">
        <v>10</v>
      </c>
      <c r="C28" s="13">
        <v>0</v>
      </c>
      <c r="D28" s="2">
        <v>0</v>
      </c>
      <c r="F28" s="2"/>
      <c r="H28" s="10" t="s">
        <v>10</v>
      </c>
      <c r="I28" s="13">
        <v>0</v>
      </c>
      <c r="J28" s="2">
        <v>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16</v>
      </c>
      <c r="D31" s="4">
        <v>1600</v>
      </c>
      <c r="F31" s="2"/>
      <c r="H31" s="11" t="s">
        <v>26</v>
      </c>
      <c r="I31" s="14">
        <v>17</v>
      </c>
      <c r="J31" s="4">
        <v>1700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0</v>
      </c>
      <c r="F34" s="2"/>
      <c r="H34" s="18" t="s">
        <v>25</v>
      </c>
      <c r="I34" s="4">
        <v>0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1</v>
      </c>
      <c r="D38" s="2">
        <v>1000</v>
      </c>
      <c r="F38" s="2"/>
      <c r="H38" s="10" t="s">
        <v>14</v>
      </c>
      <c r="I38" s="13">
        <v>1</v>
      </c>
      <c r="J38" s="2">
        <v>1000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1</v>
      </c>
      <c r="D41" s="4">
        <v>1000</v>
      </c>
      <c r="F41" s="2"/>
      <c r="H41" s="11" t="s">
        <v>26</v>
      </c>
      <c r="I41" s="14">
        <v>1</v>
      </c>
      <c r="J41" s="4">
        <v>1000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84</v>
      </c>
      <c r="D45" s="4">
        <v>1476.72</v>
      </c>
      <c r="F45" s="2"/>
      <c r="H45" s="11" t="s">
        <v>18</v>
      </c>
      <c r="I45" s="14">
        <v>84</v>
      </c>
      <c r="J45" s="4">
        <v>1476.72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17830</v>
      </c>
      <c r="F48" s="2"/>
      <c r="H48" s="18" t="s">
        <v>29</v>
      </c>
      <c r="I48" s="4">
        <v>16700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1646294.2919194901</v>
      </c>
      <c r="D52" s="2">
        <f>C52*25</f>
        <v>41157357.297987252</v>
      </c>
      <c r="F52" s="2"/>
      <c r="H52" s="10" t="s">
        <v>35</v>
      </c>
      <c r="I52" s="13">
        <v>1709119.67</v>
      </c>
      <c r="J52" s="2">
        <f>I52*25</f>
        <v>42727991.75</v>
      </c>
      <c r="L52" s="2"/>
    </row>
    <row r="53" spans="2:12" ht="17.45" customHeight="1" thickBot="1" x14ac:dyDescent="0.55000000000000004">
      <c r="B53" s="11" t="s">
        <v>36</v>
      </c>
      <c r="C53" s="17">
        <v>638815.39980549202</v>
      </c>
      <c r="D53" s="4">
        <f>C53*25</f>
        <v>15970384.9951373</v>
      </c>
      <c r="F53" s="2"/>
      <c r="H53" s="11" t="s">
        <v>36</v>
      </c>
      <c r="I53" s="14">
        <v>548978.72169999999</v>
      </c>
      <c r="J53" s="4">
        <f>I53*25</f>
        <v>13724468.0425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447141.65953368897</v>
      </c>
      <c r="D57" s="2">
        <f>C57*25</f>
        <v>11178541.488342224</v>
      </c>
      <c r="F57" s="2"/>
      <c r="H57" s="10" t="s">
        <v>35</v>
      </c>
      <c r="I57" s="13">
        <v>464205.34149999998</v>
      </c>
      <c r="J57" s="2">
        <f>I57*25</f>
        <v>11605133.5375</v>
      </c>
      <c r="L57" s="2"/>
    </row>
    <row r="58" spans="2:12" ht="21.45" customHeight="1" thickBot="1" x14ac:dyDescent="0.55000000000000004">
      <c r="B58" s="11" t="s">
        <v>36</v>
      </c>
      <c r="C58" s="17">
        <v>290390.61534739297</v>
      </c>
      <c r="D58" s="4">
        <f>C58*25</f>
        <v>7259765.3836848242</v>
      </c>
      <c r="F58" s="2"/>
      <c r="H58" s="11" t="s">
        <v>36</v>
      </c>
      <c r="I58" s="14">
        <v>258575.54619999998</v>
      </c>
      <c r="J58" s="4">
        <f>I58*25</f>
        <v>6464388.6549999993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160469.509278271</v>
      </c>
      <c r="F61" s="2"/>
      <c r="H61" s="18" t="s">
        <v>38</v>
      </c>
      <c r="I61" s="4">
        <v>150289.6164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0.56231421302922746</v>
      </c>
      <c r="C64" s="41"/>
      <c r="D64" s="3"/>
      <c r="E64" s="3"/>
      <c r="F64" s="4"/>
      <c r="H64" s="40">
        <f>K23/B68</f>
        <v>0.24127419849680101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4345755.0988622829</v>
      </c>
      <c r="C68" s="4">
        <f>D107</f>
        <v>108643877.47155708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51085.76925544531</v>
      </c>
      <c r="D74" s="13">
        <v>119200</v>
      </c>
      <c r="E74" s="13">
        <f>C74+D74</f>
        <v>170285.76925544531</v>
      </c>
      <c r="F74" s="2">
        <f>E74*25</f>
        <v>4257144.2313861325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2430228.5467705335</v>
      </c>
      <c r="E78" s="13">
        <f>D78</f>
        <v>2430228.5467705335</v>
      </c>
      <c r="F78" s="2">
        <f>E78*25</f>
        <v>60755713.669263341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18959.333336998021</v>
      </c>
      <c r="D80" s="13">
        <v>23627.52</v>
      </c>
      <c r="E80" s="13">
        <f>C80+D80</f>
        <v>42586.853336998021</v>
      </c>
      <c r="F80" s="2">
        <f>E80*25</f>
        <v>1064671.3334249505</v>
      </c>
    </row>
    <row r="81" spans="2:6" ht="14.7" thickBot="1" x14ac:dyDescent="0.55000000000000004">
      <c r="B81" s="11" t="s">
        <v>46</v>
      </c>
      <c r="C81" s="14"/>
      <c r="D81" s="14">
        <f>D100*2.0865</f>
        <v>23812631.917158544</v>
      </c>
      <c r="E81" s="14">
        <f>D81</f>
        <v>23812631.917158544</v>
      </c>
      <c r="F81" s="4">
        <f>E81*25</f>
        <v>595315797.92896366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70045.10259244332</v>
      </c>
      <c r="D83" s="14">
        <v>3525561.343456876</v>
      </c>
      <c r="E83" s="14">
        <v>3595606.4460493191</v>
      </c>
      <c r="F83" s="4">
        <f>E83*25</f>
        <v>89890161.151232973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8</v>
      </c>
      <c r="D87" s="2">
        <v>800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8</v>
      </c>
      <c r="D91" s="4">
        <v>800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84</v>
      </c>
      <c r="D95" s="4">
        <v>1476.72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1164739.298715808</v>
      </c>
      <c r="D99" s="2">
        <f>C99*25</f>
        <v>29118482.467895199</v>
      </c>
      <c r="F99" s="2"/>
    </row>
    <row r="100" spans="2:6" x14ac:dyDescent="0.5">
      <c r="B100" s="10" t="s">
        <v>53</v>
      </c>
      <c r="C100" s="13">
        <v>456508.63967713481</v>
      </c>
      <c r="D100" s="2">
        <f>C100*25</f>
        <v>11412715.991928371</v>
      </c>
      <c r="F100" s="2"/>
    </row>
    <row r="101" spans="2:6" ht="14.7" thickBot="1" x14ac:dyDescent="0.55000000000000004">
      <c r="B101" s="11" t="s">
        <v>26</v>
      </c>
      <c r="C101" s="14">
        <f>C99+C100</f>
        <v>1621247.9383929428</v>
      </c>
      <c r="D101" s="4">
        <f>D99+D100</f>
        <v>40531198.459823571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3122083.6902077231</v>
      </c>
      <c r="D105" s="29">
        <f t="shared" si="4"/>
        <v>78052092.25519307</v>
      </c>
      <c r="F105" s="2"/>
    </row>
    <row r="106" spans="2:6" x14ac:dyDescent="0.5">
      <c r="B106" s="10" t="s">
        <v>53</v>
      </c>
      <c r="C106" s="13">
        <f t="shared" si="4"/>
        <v>1223671.4086545599</v>
      </c>
      <c r="D106" s="29">
        <f t="shared" si="4"/>
        <v>30591785.216363996</v>
      </c>
      <c r="F106" s="2"/>
    </row>
    <row r="107" spans="2:6" ht="14.7" thickBot="1" x14ac:dyDescent="0.55000000000000004">
      <c r="B107" s="11" t="s">
        <v>26</v>
      </c>
      <c r="C107" s="14">
        <f t="shared" si="4"/>
        <v>4345755.0988622829</v>
      </c>
      <c r="D107" s="30">
        <f t="shared" si="4"/>
        <v>108643877.47155708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2138194.872186664</v>
      </c>
      <c r="D8" s="13">
        <f>29*D27</f>
        <v>63800</v>
      </c>
      <c r="E8" s="13">
        <f>C8+D8</f>
        <v>2201994.872186664</v>
      </c>
      <c r="F8" s="2">
        <f>E8*25</f>
        <v>55049871.804666601</v>
      </c>
      <c r="H8" s="7" t="s">
        <v>9</v>
      </c>
      <c r="I8" s="16">
        <f>1615 * J27*((0.05*((1.05)^25))/((1.05^25)-1))</f>
        <v>263552.90263798845</v>
      </c>
      <c r="J8" s="13">
        <f>29*J27</f>
        <v>66700</v>
      </c>
      <c r="K8" s="13">
        <f>I8+J8</f>
        <v>330252.90263798845</v>
      </c>
      <c r="L8" s="2">
        <f>K8*25</f>
        <v>8256322.565949711</v>
      </c>
      <c r="N8" s="31"/>
    </row>
    <row r="9" spans="2:14" x14ac:dyDescent="0.5">
      <c r="B9" s="7" t="s">
        <v>10</v>
      </c>
      <c r="C9" s="10">
        <f>13698 * D28*((0.05*((1.05)^25))/((1.05^25)-1))</f>
        <v>0</v>
      </c>
      <c r="D9" s="13">
        <f>29*D28</f>
        <v>0</v>
      </c>
      <c r="E9" s="13">
        <f>C9+D9</f>
        <v>0</v>
      </c>
      <c r="F9" s="2">
        <f>E9*25</f>
        <v>0</v>
      </c>
      <c r="H9" s="7" t="s">
        <v>10</v>
      </c>
      <c r="I9" s="16">
        <f t="shared" ref="I9:I11" si="0">1615 * J28*((0.05*((1.05)^25))/((1.05^25)-1))</f>
        <v>0</v>
      </c>
      <c r="J9" s="13">
        <f>29*J28</f>
        <v>0</v>
      </c>
      <c r="K9" s="13">
        <f>I9+J9</f>
        <v>0</v>
      </c>
      <c r="L9" s="2">
        <f>K9*25</f>
        <v>0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644932.78332797438</v>
      </c>
      <c r="D13" s="13">
        <f>37.35*D38</f>
        <v>74700</v>
      </c>
      <c r="E13" s="13">
        <f>C13+D13</f>
        <v>719632.78332797438</v>
      </c>
      <c r="F13" s="2">
        <f>E13*25</f>
        <v>17990819.583199359</v>
      </c>
      <c r="H13" s="7" t="s">
        <v>14</v>
      </c>
      <c r="I13" s="16">
        <f>2490 * J38*((0.05*((1.05)^10))/((1.05^10)-1))</f>
        <v>644932.78332797438</v>
      </c>
      <c r="J13" s="13">
        <f>37.35*J38</f>
        <v>74700</v>
      </c>
      <c r="K13" s="13">
        <f>I13+J13</f>
        <v>719632.78332797438</v>
      </c>
      <c r="L13" s="2">
        <f>K13*25</f>
        <v>17990819.583199359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40504.319999999992</v>
      </c>
      <c r="E17" s="14">
        <f>D17+C17</f>
        <v>70071.851751746901</v>
      </c>
      <c r="F17" s="4">
        <f>E17*25</f>
        <v>1751796.2937936725</v>
      </c>
      <c r="H17" s="8" t="s">
        <v>18</v>
      </c>
      <c r="I17" s="17">
        <v>32501.714291996599</v>
      </c>
      <c r="J17" s="14">
        <v>40504.319999999992</v>
      </c>
      <c r="K17" s="14">
        <f>J17+I17</f>
        <v>73006.034291996591</v>
      </c>
      <c r="L17" s="4">
        <f>K17*25</f>
        <v>1825150.8572999148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481936.97866729205</v>
      </c>
      <c r="D19" s="14">
        <v>0</v>
      </c>
      <c r="E19" s="14">
        <f>C19</f>
        <v>481936.97866729205</v>
      </c>
      <c r="F19" s="4">
        <f>E19*25</f>
        <v>12048424.466682302</v>
      </c>
      <c r="H19" s="8"/>
      <c r="I19" s="17">
        <f>I48*300*((0.05*((1.05)^20))/((1.05^20)-1))</f>
        <v>319205.01184457005</v>
      </c>
      <c r="J19" s="14">
        <v>0</v>
      </c>
      <c r="K19" s="14">
        <f>I19</f>
        <v>319205.01184457005</v>
      </c>
      <c r="L19" s="4">
        <f>K19*25</f>
        <v>7980125.296114251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271.70140022768078</v>
      </c>
      <c r="J21" s="14">
        <f>19*I34</f>
        <v>38</v>
      </c>
      <c r="K21" s="14">
        <f>J21+I21</f>
        <v>309.70140022768078</v>
      </c>
      <c r="L21" s="4">
        <f>K21*25</f>
        <v>7742.5350056920197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3294903.8673339048</v>
      </c>
      <c r="D23" s="14">
        <f>D8+D9+D10+D11+D13+D14+D15+D17+D19+D21</f>
        <v>179042.32</v>
      </c>
      <c r="E23" s="14">
        <f>E8+E9+E10+E11+E13+E14+E15+E17+E19+E21</f>
        <v>3473946.1873339051</v>
      </c>
      <c r="F23" s="4">
        <f>E23*25</f>
        <v>86848654.683347628</v>
      </c>
      <c r="H23" s="36"/>
      <c r="I23" s="11">
        <f>I8+I9+I11+I10+I13+I14+I15+I17+I19+I21</f>
        <v>1260464.1135027569</v>
      </c>
      <c r="J23" s="14">
        <f>J8+J9+J10+J11+J13+J14+J15+J17+J19+J21</f>
        <v>181942.32</v>
      </c>
      <c r="K23" s="14">
        <f>K8+K9+K10+K11+K13+K14+K15+K17+K19+K21</f>
        <v>1442406.433502757</v>
      </c>
      <c r="L23" s="4">
        <f>K23*25</f>
        <v>36060160.837568924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22</v>
      </c>
      <c r="D27" s="2">
        <v>2200</v>
      </c>
      <c r="F27" s="2"/>
      <c r="H27" s="10" t="s">
        <v>9</v>
      </c>
      <c r="I27" s="13">
        <v>23</v>
      </c>
      <c r="J27" s="2">
        <v>2300</v>
      </c>
      <c r="L27" s="2"/>
    </row>
    <row r="28" spans="2:12" x14ac:dyDescent="0.5">
      <c r="B28" s="10" t="s">
        <v>10</v>
      </c>
      <c r="C28" s="13">
        <v>0</v>
      </c>
      <c r="D28" s="2">
        <v>0</v>
      </c>
      <c r="F28" s="2"/>
      <c r="H28" s="10" t="s">
        <v>10</v>
      </c>
      <c r="I28" s="13">
        <v>0</v>
      </c>
      <c r="J28" s="2">
        <v>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22</v>
      </c>
      <c r="D31" s="4">
        <v>2200</v>
      </c>
      <c r="F31" s="2"/>
      <c r="H31" s="11" t="s">
        <v>26</v>
      </c>
      <c r="I31" s="14">
        <v>23</v>
      </c>
      <c r="J31" s="4">
        <v>2300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2</v>
      </c>
      <c r="D38" s="2">
        <v>2000</v>
      </c>
      <c r="F38" s="2"/>
      <c r="H38" s="10" t="s">
        <v>14</v>
      </c>
      <c r="I38" s="13">
        <v>2</v>
      </c>
      <c r="J38" s="2">
        <v>2000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2</v>
      </c>
      <c r="D41" s="4">
        <v>2000</v>
      </c>
      <c r="F41" s="2"/>
      <c r="H41" s="11" t="s">
        <v>26</v>
      </c>
      <c r="I41" s="14">
        <v>2</v>
      </c>
      <c r="J41" s="4">
        <v>2000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144</v>
      </c>
      <c r="D45" s="4">
        <v>2531.52</v>
      </c>
      <c r="F45" s="2"/>
      <c r="H45" s="11" t="s">
        <v>18</v>
      </c>
      <c r="I45" s="14">
        <v>144</v>
      </c>
      <c r="J45" s="4">
        <v>2531.52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20020</v>
      </c>
      <c r="F48" s="2"/>
      <c r="H48" s="18" t="s">
        <v>29</v>
      </c>
      <c r="I48" s="4">
        <v>13260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2562611.9110738598</v>
      </c>
      <c r="D52" s="2">
        <f>C52*25</f>
        <v>64065297.776846498</v>
      </c>
      <c r="F52" s="2"/>
      <c r="H52" s="10" t="s">
        <v>35</v>
      </c>
      <c r="I52" s="13">
        <v>2468586.13</v>
      </c>
      <c r="J52" s="2">
        <f>I52*25</f>
        <v>61714653.25</v>
      </c>
      <c r="L52" s="2"/>
    </row>
    <row r="53" spans="2:12" ht="17.45" customHeight="1" thickBot="1" x14ac:dyDescent="0.55000000000000004">
      <c r="B53" s="11" t="s">
        <v>36</v>
      </c>
      <c r="C53" s="17">
        <v>459482.12921378901</v>
      </c>
      <c r="D53" s="4">
        <f>C53*25</f>
        <v>11487053.230344726</v>
      </c>
      <c r="F53" s="2"/>
      <c r="H53" s="11" t="s">
        <v>36</v>
      </c>
      <c r="I53" s="14">
        <v>121238.785991</v>
      </c>
      <c r="J53" s="4">
        <f>I53*25</f>
        <v>3030969.6497749998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696018.04992129502</v>
      </c>
      <c r="D57" s="2">
        <f>C57*25</f>
        <v>17400451.248032376</v>
      </c>
      <c r="F57" s="2"/>
      <c r="H57" s="10" t="s">
        <v>35</v>
      </c>
      <c r="I57" s="13">
        <v>670480.18220000004</v>
      </c>
      <c r="J57" s="2">
        <f>I57*25</f>
        <v>16762004.555000002</v>
      </c>
      <c r="L57" s="2"/>
    </row>
    <row r="58" spans="2:12" ht="21.45" customHeight="1" thickBot="1" x14ac:dyDescent="0.55000000000000004">
      <c r="B58" s="11" t="s">
        <v>36</v>
      </c>
      <c r="C58" s="17">
        <v>256038.07299219602</v>
      </c>
      <c r="D58" s="4">
        <f>C58*25</f>
        <v>6400951.8248049002</v>
      </c>
      <c r="F58" s="2"/>
      <c r="H58" s="11" t="s">
        <v>36</v>
      </c>
      <c r="I58" s="14">
        <v>119851.8198977</v>
      </c>
      <c r="J58" s="4">
        <f>I58*25</f>
        <v>2996295.4974425002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180177.577451941</v>
      </c>
      <c r="F61" s="2"/>
      <c r="H61" s="18" t="s">
        <v>38</v>
      </c>
      <c r="I61" s="4">
        <v>119334.6461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0.85157533445713374</v>
      </c>
      <c r="C64" s="41"/>
      <c r="D64" s="3"/>
      <c r="E64" s="3"/>
      <c r="F64" s="4"/>
      <c r="H64" s="40">
        <f>K23/B68</f>
        <v>0.35357995627903188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4079434.9563312479</v>
      </c>
      <c r="C68" s="4">
        <f>D107</f>
        <v>101985873.90828119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31928.605784653319</v>
      </c>
      <c r="D74" s="13">
        <v>74500</v>
      </c>
      <c r="E74" s="13">
        <f>C74+D74</f>
        <v>106428.60578465332</v>
      </c>
      <c r="F74" s="2">
        <f>E74*25</f>
        <v>2660715.1446163328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1495538.9577631543</v>
      </c>
      <c r="E78" s="13">
        <f>D78</f>
        <v>1495538.9577631543</v>
      </c>
      <c r="F78" s="2">
        <f>E78*25</f>
        <v>37388473.944078855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32501.714291996599</v>
      </c>
      <c r="D80" s="13">
        <v>40504.319999999992</v>
      </c>
      <c r="E80" s="13">
        <f>C80+D80</f>
        <v>73006.034291996591</v>
      </c>
      <c r="F80" s="2">
        <f>E80*25</f>
        <v>1825150.8572999148</v>
      </c>
    </row>
    <row r="81" spans="2:6" ht="14.7" thickBot="1" x14ac:dyDescent="0.55000000000000004">
      <c r="B81" s="11" t="s">
        <v>46</v>
      </c>
      <c r="C81" s="14"/>
      <c r="D81" s="14">
        <f>D100*2.0865</f>
        <v>41997284.649328612</v>
      </c>
      <c r="E81" s="14">
        <f>D81</f>
        <v>41997284.649328612</v>
      </c>
      <c r="F81" s="4">
        <f>E81*25</f>
        <v>1049932116.2332153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64430.320076649921</v>
      </c>
      <c r="D83" s="14">
        <v>3290434.6637362991</v>
      </c>
      <c r="E83" s="14">
        <v>3354864.9838129492</v>
      </c>
      <c r="F83" s="4">
        <f>E83*25</f>
        <v>83871624.595323727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5</v>
      </c>
      <c r="D87" s="2">
        <v>500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5</v>
      </c>
      <c r="D91" s="4">
        <v>500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144</v>
      </c>
      <c r="D95" s="4">
        <v>2531.52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716769.2105263141</v>
      </c>
      <c r="D99" s="2">
        <f>C99*25</f>
        <v>17919230.263157852</v>
      </c>
      <c r="F99" s="2"/>
    </row>
    <row r="100" spans="2:6" x14ac:dyDescent="0.5">
      <c r="B100" s="10" t="s">
        <v>53</v>
      </c>
      <c r="C100" s="13">
        <v>805124.07667057007</v>
      </c>
      <c r="D100" s="2">
        <f>C100*25</f>
        <v>20128101.916764252</v>
      </c>
      <c r="F100" s="2"/>
    </row>
    <row r="101" spans="2:6" ht="14.7" thickBot="1" x14ac:dyDescent="0.55000000000000004">
      <c r="B101" s="11" t="s">
        <v>26</v>
      </c>
      <c r="C101" s="14">
        <f>C99+C100</f>
        <v>1521893.2871968842</v>
      </c>
      <c r="D101" s="4">
        <f>D99+D100</f>
        <v>38047332.179922104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1921299.8688157848</v>
      </c>
      <c r="D105" s="29">
        <f t="shared" si="4"/>
        <v>48032496.720394619</v>
      </c>
      <c r="F105" s="2"/>
    </row>
    <row r="106" spans="2:6" x14ac:dyDescent="0.5">
      <c r="B106" s="10" t="s">
        <v>53</v>
      </c>
      <c r="C106" s="13">
        <f t="shared" si="4"/>
        <v>2158135.0875154631</v>
      </c>
      <c r="D106" s="29">
        <f t="shared" si="4"/>
        <v>53953377.187886573</v>
      </c>
      <c r="F106" s="2"/>
    </row>
    <row r="107" spans="2:6" ht="14.7" thickBot="1" x14ac:dyDescent="0.55000000000000004">
      <c r="B107" s="11" t="s">
        <v>26</v>
      </c>
      <c r="C107" s="14">
        <f t="shared" si="4"/>
        <v>4079434.9563312479</v>
      </c>
      <c r="D107" s="30">
        <f t="shared" si="4"/>
        <v>101985873.90828119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0</v>
      </c>
      <c r="D8" s="13">
        <f>29*D27</f>
        <v>0</v>
      </c>
      <c r="E8" s="13">
        <f>C8+D8</f>
        <v>0</v>
      </c>
      <c r="F8" s="2">
        <f>E8*25</f>
        <v>0</v>
      </c>
      <c r="H8" s="7" t="s">
        <v>9</v>
      </c>
      <c r="I8" s="16">
        <f>1615 * J27*((0.05*((1.05)^25))/((1.05^25)-1))</f>
        <v>11458.821853825584</v>
      </c>
      <c r="J8" s="13">
        <f>29*J27</f>
        <v>2900</v>
      </c>
      <c r="K8" s="13">
        <f>I8+J8</f>
        <v>14358.821853825584</v>
      </c>
      <c r="L8" s="2">
        <f>K8*25</f>
        <v>358970.54634563962</v>
      </c>
      <c r="N8" s="31"/>
    </row>
    <row r="9" spans="2:14" x14ac:dyDescent="0.5">
      <c r="B9" s="7" t="s">
        <v>10</v>
      </c>
      <c r="C9" s="10">
        <f>13698 * D28*((0.05*((1.05)^25))/((1.05^25)-1))</f>
        <v>17494321.681527253</v>
      </c>
      <c r="D9" s="13">
        <f>29*D28</f>
        <v>522000</v>
      </c>
      <c r="E9" s="13">
        <f>C9+D9</f>
        <v>18016321.681527253</v>
      </c>
      <c r="F9" s="2">
        <f>E9*25</f>
        <v>450408042.0381813</v>
      </c>
      <c r="H9" s="7" t="s">
        <v>10</v>
      </c>
      <c r="I9" s="16">
        <f t="shared" ref="I9:I11" si="0">1615 * J28*((0.05*((1.05)^25))/((1.05^25)-1))</f>
        <v>2062587.9336886052</v>
      </c>
      <c r="J9" s="13">
        <f>29*J28</f>
        <v>522000</v>
      </c>
      <c r="K9" s="13">
        <f>I9+J9</f>
        <v>2584587.9336886052</v>
      </c>
      <c r="L9" s="2">
        <f>K9*25</f>
        <v>64614698.342215128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0</v>
      </c>
      <c r="D13" s="13">
        <f>37.35*D38</f>
        <v>0</v>
      </c>
      <c r="E13" s="13">
        <f>C13+D13</f>
        <v>0</v>
      </c>
      <c r="F13" s="2">
        <f>E13*25</f>
        <v>0</v>
      </c>
      <c r="H13" s="7" t="s">
        <v>14</v>
      </c>
      <c r="I13" s="16">
        <f>2490 * J38*((0.05*((1.05)^10))/((1.05^10)-1))</f>
        <v>0</v>
      </c>
      <c r="J13" s="13">
        <f>37.35*J38</f>
        <v>0</v>
      </c>
      <c r="K13" s="13">
        <f>I13+J13</f>
        <v>0</v>
      </c>
      <c r="L13" s="2">
        <f>K13*25</f>
        <v>0</v>
      </c>
    </row>
    <row r="14" spans="2:14" x14ac:dyDescent="0.5">
      <c r="B14" s="7" t="s">
        <v>15</v>
      </c>
      <c r="C14" s="10">
        <f>1570 * D39*((0.05*((1.05)^10))/((1.05^10)-1))</f>
        <v>4066443.6539153405</v>
      </c>
      <c r="D14" s="13">
        <f>23.55*D39</f>
        <v>471000</v>
      </c>
      <c r="E14" s="13">
        <f>C14+D14</f>
        <v>4537443.6539153401</v>
      </c>
      <c r="F14" s="2">
        <f>E14*25</f>
        <v>113436091.34788351</v>
      </c>
      <c r="H14" s="7" t="s">
        <v>15</v>
      </c>
      <c r="I14" s="16">
        <f>1570 * J39*((0.05*((1.05)^10))/((1.05^10)-1))</f>
        <v>4066443.6539153405</v>
      </c>
      <c r="J14" s="13">
        <f>23.55*J39</f>
        <v>471000</v>
      </c>
      <c r="K14" s="13">
        <f>I14+J14</f>
        <v>4537443.6539153401</v>
      </c>
      <c r="L14" s="2">
        <f t="shared" ref="L14:L15" si="1">K14*25</f>
        <v>113436091.34788351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310814.40000000002</v>
      </c>
      <c r="E17" s="14">
        <f>D17+C17</f>
        <v>340381.93175174692</v>
      </c>
      <c r="F17" s="4">
        <f>E17*25</f>
        <v>8509548.2937936727</v>
      </c>
      <c r="H17" s="8" t="s">
        <v>18</v>
      </c>
      <c r="I17" s="17">
        <v>249405.51592122391</v>
      </c>
      <c r="J17" s="14">
        <v>310814.40000000002</v>
      </c>
      <c r="K17" s="14">
        <f>J17+I17</f>
        <v>560219.91592122393</v>
      </c>
      <c r="L17" s="4">
        <f>K17*25</f>
        <v>14005497.898030598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1364204.2248289431</v>
      </c>
      <c r="D19" s="14">
        <v>0</v>
      </c>
      <c r="E19" s="14">
        <f>C19</f>
        <v>1364204.2248289431</v>
      </c>
      <c r="F19" s="4">
        <f>E19*25</f>
        <v>34105105.620723575</v>
      </c>
      <c r="H19" s="8"/>
      <c r="I19" s="17">
        <f>I48*300*((0.05*((1.05)^20))/((1.05^20)-1))</f>
        <v>1336761.2600097265</v>
      </c>
      <c r="J19" s="14">
        <v>0</v>
      </c>
      <c r="K19" s="14">
        <f>I19</f>
        <v>1336761.2600097265</v>
      </c>
      <c r="L19" s="4">
        <f>K19*25</f>
        <v>33419031.500243165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271.70140022768078</v>
      </c>
      <c r="J21" s="14">
        <f>19*I34</f>
        <v>38</v>
      </c>
      <c r="K21" s="14">
        <f>J21+I21</f>
        <v>309.70140022768078</v>
      </c>
      <c r="L21" s="4">
        <f>K21*25</f>
        <v>7742.5350056920197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22954808.793423515</v>
      </c>
      <c r="D23" s="14">
        <f>D8+D9+D10+D11+D13+D14+D15+D17+D19+D21</f>
        <v>1303852.3999999999</v>
      </c>
      <c r="E23" s="14">
        <f>E8+E9+E10+E11+E13+E14+E15+E17+E19+E21</f>
        <v>24258661.193423513</v>
      </c>
      <c r="F23" s="4">
        <f>E23*25</f>
        <v>606466529.83558786</v>
      </c>
      <c r="H23" s="36"/>
      <c r="I23" s="11">
        <f>I8+I9+I11+I10+I13+I14+I15+I17+I19+I21</f>
        <v>7726928.8867889494</v>
      </c>
      <c r="J23" s="14">
        <f>J8+J9+J10+J11+J13+J14+J15+J17+J19+J21</f>
        <v>1306752.3999999999</v>
      </c>
      <c r="K23" s="14">
        <f>K8+K9+K10+K11+K13+K14+K15+K17+K19+K21</f>
        <v>9033681.2867889497</v>
      </c>
      <c r="L23" s="4">
        <f>K23*25</f>
        <v>225842032.16972375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0</v>
      </c>
      <c r="D27" s="2">
        <v>0</v>
      </c>
      <c r="F27" s="2"/>
      <c r="H27" s="10" t="s">
        <v>9</v>
      </c>
      <c r="I27" s="13">
        <v>1</v>
      </c>
      <c r="J27" s="2">
        <v>100</v>
      </c>
      <c r="L27" s="2"/>
    </row>
    <row r="28" spans="2:12" x14ac:dyDescent="0.5">
      <c r="B28" s="10" t="s">
        <v>10</v>
      </c>
      <c r="C28" s="13">
        <v>36</v>
      </c>
      <c r="D28" s="2">
        <v>18000</v>
      </c>
      <c r="F28" s="2"/>
      <c r="H28" s="10" t="s">
        <v>10</v>
      </c>
      <c r="I28" s="13">
        <v>36</v>
      </c>
      <c r="J28" s="2">
        <v>18000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36</v>
      </c>
      <c r="D31" s="4">
        <v>18000</v>
      </c>
      <c r="F31" s="2"/>
      <c r="H31" s="11" t="s">
        <v>26</v>
      </c>
      <c r="I31" s="14">
        <v>37</v>
      </c>
      <c r="J31" s="4">
        <v>18100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0</v>
      </c>
      <c r="D38" s="2">
        <v>0</v>
      </c>
      <c r="F38" s="2"/>
      <c r="H38" s="10" t="s">
        <v>14</v>
      </c>
      <c r="I38" s="13">
        <v>0</v>
      </c>
      <c r="J38" s="2">
        <v>0</v>
      </c>
      <c r="L38" s="2"/>
    </row>
    <row r="39" spans="2:12" x14ac:dyDescent="0.5">
      <c r="B39" s="10" t="s">
        <v>15</v>
      </c>
      <c r="C39" s="13">
        <v>1</v>
      </c>
      <c r="D39" s="2">
        <v>20000</v>
      </c>
      <c r="F39" s="2"/>
      <c r="H39" s="10" t="s">
        <v>15</v>
      </c>
      <c r="I39" s="13">
        <v>1</v>
      </c>
      <c r="J39" s="2">
        <v>20000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1</v>
      </c>
      <c r="D41" s="4">
        <v>20000</v>
      </c>
      <c r="F41" s="2"/>
      <c r="H41" s="11" t="s">
        <v>26</v>
      </c>
      <c r="I41" s="14">
        <v>1</v>
      </c>
      <c r="J41" s="4">
        <v>20000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1105</v>
      </c>
      <c r="D45" s="4">
        <v>19425.900000000001</v>
      </c>
      <c r="F45" s="2"/>
      <c r="H45" s="11" t="s">
        <v>18</v>
      </c>
      <c r="I45" s="14">
        <v>1105</v>
      </c>
      <c r="J45" s="4">
        <v>19425.900000000001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56670</v>
      </c>
      <c r="F48" s="2"/>
      <c r="H48" s="18" t="s">
        <v>29</v>
      </c>
      <c r="I48" s="4">
        <v>55530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19540090.422737502</v>
      </c>
      <c r="D52" s="2">
        <f>C52*25</f>
        <v>488502260.56843752</v>
      </c>
      <c r="F52" s="2"/>
      <c r="H52" s="10" t="s">
        <v>35</v>
      </c>
      <c r="I52" s="13">
        <v>20447955.100000001</v>
      </c>
      <c r="J52" s="2">
        <f>I52*25</f>
        <v>511198877.50000006</v>
      </c>
      <c r="L52" s="2"/>
    </row>
    <row r="53" spans="2:12" ht="17.45" customHeight="1" thickBot="1" x14ac:dyDescent="0.55000000000000004">
      <c r="B53" s="11" t="s">
        <v>36</v>
      </c>
      <c r="C53" s="17">
        <v>561520.90485662152</v>
      </c>
      <c r="D53" s="4">
        <f>C53*25</f>
        <v>14038022.621415539</v>
      </c>
      <c r="F53" s="2"/>
      <c r="H53" s="11" t="s">
        <v>36</v>
      </c>
      <c r="I53" s="14">
        <v>518217.39017000003</v>
      </c>
      <c r="J53" s="4">
        <f>I53*25</f>
        <v>12955434.754250001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5307185.0530892201</v>
      </c>
      <c r="D57" s="2">
        <f>C57*25</f>
        <v>132679626.3272305</v>
      </c>
      <c r="F57" s="2"/>
      <c r="H57" s="10" t="s">
        <v>35</v>
      </c>
      <c r="I57" s="13">
        <v>5553765.5839999998</v>
      </c>
      <c r="J57" s="2">
        <f>I57*25</f>
        <v>138844139.59999999</v>
      </c>
      <c r="L57" s="2"/>
    </row>
    <row r="58" spans="2:12" ht="21.45" customHeight="1" thickBot="1" x14ac:dyDescent="0.55000000000000004">
      <c r="B58" s="11" t="s">
        <v>36</v>
      </c>
      <c r="C58" s="17">
        <v>524012.76951136766</v>
      </c>
      <c r="D58" s="4">
        <f>C58*25</f>
        <v>13100319.237784192</v>
      </c>
      <c r="F58" s="2"/>
      <c r="H58" s="11" t="s">
        <v>36</v>
      </c>
      <c r="I58" s="14">
        <v>504780.40226800001</v>
      </c>
      <c r="J58" s="4">
        <f>I58*25</f>
        <v>12619510.056700001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510026.68514534098</v>
      </c>
      <c r="F61" s="2"/>
      <c r="H61" s="18" t="s">
        <v>38</v>
      </c>
      <c r="I61" s="4">
        <v>499770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0.77304540947517897</v>
      </c>
      <c r="C64" s="41"/>
      <c r="D64" s="3"/>
      <c r="E64" s="3"/>
      <c r="F64" s="4"/>
      <c r="H64" s="40">
        <f>K23/B68</f>
        <v>0.28787433048066258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31380641.933948919</v>
      </c>
      <c r="C68" s="4">
        <f>D107</f>
        <v>784516048.34872293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19157.163470791991</v>
      </c>
      <c r="D74" s="13">
        <v>44700</v>
      </c>
      <c r="E74" s="13">
        <f>C74+D74</f>
        <v>63857.163470791987</v>
      </c>
      <c r="F74" s="2">
        <f>E74*25</f>
        <v>1596429.0867697997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70952.457299229587</v>
      </c>
      <c r="D76" s="13">
        <v>114000</v>
      </c>
      <c r="E76" s="13">
        <f t="shared" si="2"/>
        <v>184952.45729922957</v>
      </c>
      <c r="F76" s="2">
        <f t="shared" si="3"/>
        <v>4623811.4324807394</v>
      </c>
    </row>
    <row r="77" spans="2:12" x14ac:dyDescent="0.5">
      <c r="B77" s="10" t="s">
        <v>43</v>
      </c>
      <c r="C77" s="13">
        <v>141904.9145984592</v>
      </c>
      <c r="D77" s="13">
        <v>228000</v>
      </c>
      <c r="E77" s="13">
        <f t="shared" si="2"/>
        <v>369904.9145984592</v>
      </c>
      <c r="F77" s="2">
        <f t="shared" si="3"/>
        <v>9247622.8649614807</v>
      </c>
    </row>
    <row r="78" spans="2:12" ht="14.7" thickBot="1" x14ac:dyDescent="0.55000000000000004">
      <c r="B78" s="10" t="s">
        <v>44</v>
      </c>
      <c r="C78" s="13"/>
      <c r="D78" s="13">
        <f>C99*2.0865</f>
        <v>11164422.23684231</v>
      </c>
      <c r="E78" s="13">
        <f>D78</f>
        <v>11164422.23684231</v>
      </c>
      <c r="F78" s="2">
        <f>E78*25</f>
        <v>279110555.92105776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249405.51592122391</v>
      </c>
      <c r="D80" s="13">
        <v>310814.40000000002</v>
      </c>
      <c r="E80" s="13">
        <f>C80+D80</f>
        <v>560219.91592122393</v>
      </c>
      <c r="F80" s="2">
        <f>E80*25</f>
        <v>14005497.898030598</v>
      </c>
    </row>
    <row r="81" spans="2:6" ht="14.7" thickBot="1" x14ac:dyDescent="0.55000000000000004">
      <c r="B81" s="11" t="s">
        <v>46</v>
      </c>
      <c r="C81" s="14"/>
      <c r="D81" s="14">
        <f>D100*2.0865</f>
        <v>331556384.90326995</v>
      </c>
      <c r="E81" s="14">
        <f>D81</f>
        <v>331556384.90326995</v>
      </c>
      <c r="F81" s="4">
        <f>E81*25</f>
        <v>8288909622.581749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481420.05128970463</v>
      </c>
      <c r="D83" s="14">
        <v>25124192.032973111</v>
      </c>
      <c r="E83" s="14">
        <v>25605612.084262811</v>
      </c>
      <c r="F83" s="4">
        <f>E83*25</f>
        <v>640140302.10657024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3</v>
      </c>
      <c r="D87" s="2">
        <v>300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1</v>
      </c>
      <c r="D89" s="2">
        <v>1000</v>
      </c>
      <c r="F89" s="2"/>
    </row>
    <row r="90" spans="2:6" x14ac:dyDescent="0.5">
      <c r="B90" s="10" t="s">
        <v>43</v>
      </c>
      <c r="C90" s="13">
        <v>1</v>
      </c>
      <c r="D90" s="2">
        <v>2000</v>
      </c>
      <c r="F90" s="2"/>
    </row>
    <row r="91" spans="2:6" ht="14.7" thickBot="1" x14ac:dyDescent="0.55000000000000004">
      <c r="B91" s="11" t="s">
        <v>26</v>
      </c>
      <c r="C91" s="14">
        <v>5</v>
      </c>
      <c r="D91" s="4">
        <v>3300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1105</v>
      </c>
      <c r="D95" s="4">
        <v>19425.900000000001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5350789.4736843091</v>
      </c>
      <c r="D99" s="2">
        <f>C99*25</f>
        <v>133769736.84210773</v>
      </c>
      <c r="F99" s="2"/>
    </row>
    <row r="100" spans="2:6" x14ac:dyDescent="0.5">
      <c r="B100" s="10" t="s">
        <v>53</v>
      </c>
      <c r="C100" s="13">
        <v>6356221.134019075</v>
      </c>
      <c r="D100" s="2">
        <f>C100*25</f>
        <v>158905528.35047686</v>
      </c>
      <c r="F100" s="2"/>
    </row>
    <row r="101" spans="2:6" ht="14.7" thickBot="1" x14ac:dyDescent="0.55000000000000004">
      <c r="B101" s="11" t="s">
        <v>26</v>
      </c>
      <c r="C101" s="14">
        <f>C99+C100</f>
        <v>11707010.607703384</v>
      </c>
      <c r="D101" s="4">
        <f>D99+D100</f>
        <v>292675265.19258457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14342791.18421079</v>
      </c>
      <c r="D105" s="29">
        <f t="shared" si="4"/>
        <v>358569779.60526973</v>
      </c>
      <c r="F105" s="2"/>
    </row>
    <row r="106" spans="2:6" x14ac:dyDescent="0.5">
      <c r="B106" s="10" t="s">
        <v>53</v>
      </c>
      <c r="C106" s="13">
        <f t="shared" si="4"/>
        <v>17037850.749738131</v>
      </c>
      <c r="D106" s="29">
        <f t="shared" si="4"/>
        <v>425946268.7434532</v>
      </c>
      <c r="F106" s="2"/>
    </row>
    <row r="107" spans="2:6" ht="14.7" thickBot="1" x14ac:dyDescent="0.55000000000000004">
      <c r="B107" s="11" t="s">
        <v>26</v>
      </c>
      <c r="C107" s="14">
        <f t="shared" si="4"/>
        <v>31380641.933948919</v>
      </c>
      <c r="D107" s="30">
        <f t="shared" si="4"/>
        <v>784516048.34872293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1749432.1681527253</v>
      </c>
      <c r="D8" s="13">
        <f>29*D27</f>
        <v>52200</v>
      </c>
      <c r="E8" s="13">
        <f>C8+D8</f>
        <v>1801632.1681527253</v>
      </c>
      <c r="F8" s="2">
        <f>E8*25</f>
        <v>45040804.203818135</v>
      </c>
      <c r="H8" s="7" t="s">
        <v>9</v>
      </c>
      <c r="I8" s="16">
        <f>1615 * J27*((0.05*((1.05)^25))/((1.05^25)-1))</f>
        <v>435435.23044537217</v>
      </c>
      <c r="J8" s="13">
        <f>29*J27</f>
        <v>110200</v>
      </c>
      <c r="K8" s="13">
        <f>I8+J8</f>
        <v>545635.23044537217</v>
      </c>
      <c r="L8" s="2">
        <f>K8*25</f>
        <v>13640880.761134304</v>
      </c>
      <c r="N8" s="31"/>
    </row>
    <row r="9" spans="2:14" x14ac:dyDescent="0.5">
      <c r="B9" s="7" t="s">
        <v>10</v>
      </c>
      <c r="C9" s="10">
        <f>13698 * D28*((0.05*((1.05)^25))/((1.05^25)-1))</f>
        <v>485953.38004242367</v>
      </c>
      <c r="D9" s="13">
        <f>29*D28</f>
        <v>14500</v>
      </c>
      <c r="E9" s="13">
        <f>C9+D9</f>
        <v>500453.38004242367</v>
      </c>
      <c r="F9" s="2">
        <f>E9*25</f>
        <v>12511334.501060592</v>
      </c>
      <c r="H9" s="7" t="s">
        <v>10</v>
      </c>
      <c r="I9" s="16">
        <f t="shared" ref="I9:I11" si="0">1615 * J28*((0.05*((1.05)^25))/((1.05^25)-1))</f>
        <v>57294.109269127919</v>
      </c>
      <c r="J9" s="13">
        <f>29*J28</f>
        <v>14500</v>
      </c>
      <c r="K9" s="13">
        <f>I9+J9</f>
        <v>71794.109269127919</v>
      </c>
      <c r="L9" s="2">
        <f>K9*25</f>
        <v>1794852.731728198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644932.78332797438</v>
      </c>
      <c r="D13" s="13">
        <f>37.35*D38</f>
        <v>74700</v>
      </c>
      <c r="E13" s="13">
        <f>C13+D13</f>
        <v>719632.78332797438</v>
      </c>
      <c r="F13" s="2">
        <f>E13*25</f>
        <v>17990819.583199359</v>
      </c>
      <c r="H13" s="7" t="s">
        <v>14</v>
      </c>
      <c r="I13" s="16">
        <f>2490 * J38*((0.05*((1.05)^10))/((1.05^10)-1))</f>
        <v>1289865.5666559488</v>
      </c>
      <c r="J13" s="13">
        <f>37.35*J38</f>
        <v>149400</v>
      </c>
      <c r="K13" s="13">
        <f>I13+J13</f>
        <v>1439265.5666559488</v>
      </c>
      <c r="L13" s="2">
        <f>K13*25</f>
        <v>35981639.166398719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36847.679999999993</v>
      </c>
      <c r="E17" s="14">
        <f>D17+C17</f>
        <v>66415.211751746887</v>
      </c>
      <c r="F17" s="4">
        <f>E17*25</f>
        <v>1660380.2937936722</v>
      </c>
      <c r="H17" s="8" t="s">
        <v>18</v>
      </c>
      <c r="I17" s="17">
        <v>29567.531751746908</v>
      </c>
      <c r="J17" s="14">
        <v>36847.679999999993</v>
      </c>
      <c r="K17" s="14">
        <f>J17+I17</f>
        <v>66415.211751746901</v>
      </c>
      <c r="L17" s="4">
        <f>K17*25</f>
        <v>1660380.2937936725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2058222.3614412323</v>
      </c>
      <c r="D19" s="14">
        <v>0</v>
      </c>
      <c r="E19" s="14">
        <f>C19</f>
        <v>2058222.3614412323</v>
      </c>
      <c r="F19" s="4">
        <f>E19*25</f>
        <v>51455559.036030807</v>
      </c>
      <c r="H19" s="8"/>
      <c r="I19" s="17">
        <f>I48*300*((0.05*((1.05)^20))/((1.05^20)-1))</f>
        <v>354591.99279566493</v>
      </c>
      <c r="J19" s="14">
        <v>0</v>
      </c>
      <c r="K19" s="14">
        <f>I19</f>
        <v>354591.99279566493</v>
      </c>
      <c r="L19" s="4">
        <f>K19*25</f>
        <v>8864799.8198916242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255671.01761424763</v>
      </c>
      <c r="D21" s="14">
        <f>19*C34</f>
        <v>35758</v>
      </c>
      <c r="E21" s="14">
        <f>D21+C21</f>
        <v>291429.01761424763</v>
      </c>
      <c r="F21" s="4">
        <f>E21*25</f>
        <v>7285725.4403561903</v>
      </c>
      <c r="H21" s="7"/>
      <c r="I21" s="11">
        <f>1693 * I34*((0.05*((1.05)^20))/((1.05^20)-1))</f>
        <v>1630.2084013660847</v>
      </c>
      <c r="J21" s="14">
        <f>19*I34</f>
        <v>228</v>
      </c>
      <c r="K21" s="14">
        <f>J21+I21</f>
        <v>1858.2084013660847</v>
      </c>
      <c r="L21" s="4">
        <f>K21*25</f>
        <v>46455.210034152115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5223779.24233035</v>
      </c>
      <c r="D23" s="14">
        <f>D8+D9+D10+D11+D13+D14+D15+D17+D19+D21</f>
        <v>214005.68</v>
      </c>
      <c r="E23" s="14">
        <f>E8+E9+E10+E11+E13+E14+E15+E17+E19+E21</f>
        <v>5437784.9223303497</v>
      </c>
      <c r="F23" s="4">
        <f>E23*25</f>
        <v>135944623.05825874</v>
      </c>
      <c r="H23" s="36"/>
      <c r="I23" s="11">
        <f>I8+I9+I11+I10+I13+I14+I15+I17+I19+I21</f>
        <v>2168384.6393192271</v>
      </c>
      <c r="J23" s="14">
        <f>J8+J9+J10+J11+J13+J14+J15+J17+J19+J21</f>
        <v>311175.67999999999</v>
      </c>
      <c r="K23" s="14">
        <f>K8+K9+K10+K11+K13+K14+K15+K17+K19+K21</f>
        <v>2479560.3193192268</v>
      </c>
      <c r="L23" s="4">
        <f>K23*25</f>
        <v>61989007.982980669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18</v>
      </c>
      <c r="D27" s="2">
        <v>1800</v>
      </c>
      <c r="F27" s="2"/>
      <c r="H27" s="10" t="s">
        <v>9</v>
      </c>
      <c r="I27" s="13">
        <v>38</v>
      </c>
      <c r="J27" s="2">
        <v>3800</v>
      </c>
      <c r="L27" s="2"/>
    </row>
    <row r="28" spans="2:12" x14ac:dyDescent="0.5">
      <c r="B28" s="10" t="s">
        <v>10</v>
      </c>
      <c r="C28" s="13">
        <v>1</v>
      </c>
      <c r="D28" s="2">
        <v>500</v>
      </c>
      <c r="F28" s="2"/>
      <c r="H28" s="10" t="s">
        <v>10</v>
      </c>
      <c r="I28" s="13">
        <v>1</v>
      </c>
      <c r="J28" s="2">
        <v>500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19</v>
      </c>
      <c r="D31" s="4">
        <v>2300</v>
      </c>
      <c r="F31" s="2"/>
      <c r="H31" s="11" t="s">
        <v>26</v>
      </c>
      <c r="I31" s="14">
        <v>39</v>
      </c>
      <c r="J31" s="4">
        <v>4300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1882</v>
      </c>
      <c r="F34" s="2"/>
      <c r="H34" s="18" t="s">
        <v>25</v>
      </c>
      <c r="I34" s="4">
        <v>12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2</v>
      </c>
      <c r="D38" s="2">
        <v>2000</v>
      </c>
      <c r="F38" s="2"/>
      <c r="H38" s="10" t="s">
        <v>14</v>
      </c>
      <c r="I38" s="13">
        <v>4</v>
      </c>
      <c r="J38" s="2">
        <v>4000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2</v>
      </c>
      <c r="D41" s="4">
        <v>2000</v>
      </c>
      <c r="F41" s="2"/>
      <c r="H41" s="11" t="s">
        <v>26</v>
      </c>
      <c r="I41" s="14">
        <v>4</v>
      </c>
      <c r="J41" s="4">
        <v>4000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131</v>
      </c>
      <c r="D45" s="4">
        <v>2302.98</v>
      </c>
      <c r="F45" s="2"/>
      <c r="H45" s="11" t="s">
        <v>18</v>
      </c>
      <c r="I45" s="14">
        <v>131</v>
      </c>
      <c r="J45" s="4">
        <v>2302.98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85500</v>
      </c>
      <c r="F48" s="2"/>
      <c r="H48" s="18" t="s">
        <v>29</v>
      </c>
      <c r="I48" s="4">
        <v>14730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5180933.3557234202</v>
      </c>
      <c r="D52" s="2">
        <f>C52*25</f>
        <v>129523333.89308551</v>
      </c>
      <c r="F52" s="2"/>
      <c r="H52" s="10" t="s">
        <v>35</v>
      </c>
      <c r="I52" s="13">
        <v>6481896.3099999996</v>
      </c>
      <c r="J52" s="2">
        <f>I52*25</f>
        <v>162047407.75</v>
      </c>
      <c r="L52" s="2"/>
    </row>
    <row r="53" spans="2:12" ht="17.45" customHeight="1" thickBot="1" x14ac:dyDescent="0.55000000000000004">
      <c r="B53" s="11" t="s">
        <v>36</v>
      </c>
      <c r="C53" s="17">
        <v>3821722.8119771718</v>
      </c>
      <c r="D53" s="4">
        <f>C53*25</f>
        <v>95543070.299429297</v>
      </c>
      <c r="F53" s="2"/>
      <c r="H53" s="11" t="s">
        <v>36</v>
      </c>
      <c r="I53" s="14">
        <v>246275.27539999998</v>
      </c>
      <c r="J53" s="4">
        <f>I53*25</f>
        <v>6156881.8849999998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1407167.0842705499</v>
      </c>
      <c r="D57" s="2">
        <f>C57*25</f>
        <v>35179177.10676375</v>
      </c>
      <c r="F57" s="2"/>
      <c r="H57" s="10" t="s">
        <v>35</v>
      </c>
      <c r="I57" s="13">
        <v>1760515.0460000001</v>
      </c>
      <c r="J57" s="2">
        <f>I57*25</f>
        <v>44012876.150000006</v>
      </c>
      <c r="L57" s="2"/>
    </row>
    <row r="58" spans="2:12" ht="21.45" customHeight="1" thickBot="1" x14ac:dyDescent="0.55000000000000004">
      <c r="B58" s="11" t="s">
        <v>36</v>
      </c>
      <c r="C58" s="17">
        <v>1598497.3497355459</v>
      </c>
      <c r="D58" s="4">
        <f>C58*25</f>
        <v>39962433.743388645</v>
      </c>
      <c r="F58" s="2"/>
      <c r="H58" s="11" t="s">
        <v>36</v>
      </c>
      <c r="I58" s="14">
        <v>163452.45366999999</v>
      </c>
      <c r="J58" s="4">
        <f>I58*25</f>
        <v>4086311.3417499997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769498.02483189199</v>
      </c>
      <c r="F61" s="2"/>
      <c r="H61" s="18" t="s">
        <v>38</v>
      </c>
      <c r="I61" s="4">
        <v>132569.3676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1.312730936356725</v>
      </c>
      <c r="C64" s="41"/>
      <c r="D64" s="3"/>
      <c r="E64" s="3"/>
      <c r="F64" s="4"/>
      <c r="H64" s="40">
        <f>K23/B68</f>
        <v>0.59858850363246585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4142345.3746142779</v>
      </c>
      <c r="C68" s="4">
        <f>D107</f>
        <v>103558634.36535694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31928.605784653319</v>
      </c>
      <c r="D74" s="13">
        <v>74500</v>
      </c>
      <c r="E74" s="13">
        <f>C74+D74</f>
        <v>106428.60578465332</v>
      </c>
      <c r="F74" s="2">
        <f>E74*25</f>
        <v>2660715.1446163328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1626920.9210526322</v>
      </c>
      <c r="E78" s="13">
        <f>D78</f>
        <v>1626920.9210526322</v>
      </c>
      <c r="F78" s="2">
        <f>E78*25</f>
        <v>40673023.026315801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29567.531751746908</v>
      </c>
      <c r="D80" s="13">
        <v>36847.679999999993</v>
      </c>
      <c r="E80" s="13">
        <f>C80+D80</f>
        <v>66415.211751746901</v>
      </c>
      <c r="F80" s="2">
        <f>E80*25</f>
        <v>1660380.2937936725</v>
      </c>
    </row>
    <row r="81" spans="2:6" ht="14.7" thickBot="1" x14ac:dyDescent="0.55000000000000004">
      <c r="B81" s="11" t="s">
        <v>46</v>
      </c>
      <c r="C81" s="14"/>
      <c r="D81" s="14">
        <f>D100*2.0865</f>
        <v>39936971.602789685</v>
      </c>
      <c r="E81" s="14">
        <f>D81</f>
        <v>39936971.602789685</v>
      </c>
      <c r="F81" s="4">
        <f>E81*25</f>
        <v>998424290.06974208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61496.137536400231</v>
      </c>
      <c r="D83" s="14">
        <v>3335747.465164219</v>
      </c>
      <c r="E83" s="14">
        <v>3397243.60270062</v>
      </c>
      <c r="F83" s="4">
        <f>E83*25</f>
        <v>84931090.067515492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5</v>
      </c>
      <c r="D87" s="2">
        <v>500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5</v>
      </c>
      <c r="D91" s="4">
        <v>500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131</v>
      </c>
      <c r="D95" s="4">
        <v>2302.98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779736.84210526338</v>
      </c>
      <c r="D99" s="2">
        <f>C99*25</f>
        <v>19493421.052631583</v>
      </c>
      <c r="F99" s="2"/>
    </row>
    <row r="100" spans="2:6" x14ac:dyDescent="0.5">
      <c r="B100" s="10" t="s">
        <v>53</v>
      </c>
      <c r="C100" s="13">
        <v>765626.10309685476</v>
      </c>
      <c r="D100" s="2">
        <f>C100*25</f>
        <v>19140652.577421367</v>
      </c>
      <c r="F100" s="2"/>
    </row>
    <row r="101" spans="2:6" ht="14.7" thickBot="1" x14ac:dyDescent="0.55000000000000004">
      <c r="B101" s="11" t="s">
        <v>26</v>
      </c>
      <c r="C101" s="14">
        <f>C99+C100</f>
        <v>1545362.9452021183</v>
      </c>
      <c r="D101" s="4">
        <f>D99+D100</f>
        <v>38634073.630052954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2090084.6052631584</v>
      </c>
      <c r="D105" s="29">
        <f t="shared" si="4"/>
        <v>52252115.13157896</v>
      </c>
      <c r="F105" s="2"/>
    </row>
    <row r="106" spans="2:6" x14ac:dyDescent="0.5">
      <c r="B106" s="10" t="s">
        <v>53</v>
      </c>
      <c r="C106" s="13">
        <f t="shared" si="4"/>
        <v>2052260.7693511192</v>
      </c>
      <c r="D106" s="29">
        <f t="shared" si="4"/>
        <v>51306519.23377797</v>
      </c>
      <c r="F106" s="2"/>
    </row>
    <row r="107" spans="2:6" ht="14.7" thickBot="1" x14ac:dyDescent="0.55000000000000004">
      <c r="B107" s="11" t="s">
        <v>26</v>
      </c>
      <c r="C107" s="14">
        <f t="shared" si="4"/>
        <v>4142345.3746142779</v>
      </c>
      <c r="D107" s="30">
        <f t="shared" si="4"/>
        <v>103558634.36535694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97190.676008484734</v>
      </c>
      <c r="D8" s="13">
        <f>29*D27</f>
        <v>2900</v>
      </c>
      <c r="E8" s="13">
        <f>C8+D8</f>
        <v>100090.67600848473</v>
      </c>
      <c r="F8" s="2">
        <f>E8*25</f>
        <v>2502266.9002121184</v>
      </c>
      <c r="H8" s="7" t="s">
        <v>9</v>
      </c>
      <c r="I8" s="16">
        <f>1615 * J27*((0.05*((1.05)^25))/((1.05^25)-1))</f>
        <v>22917.643707651168</v>
      </c>
      <c r="J8" s="13">
        <f>29*J27</f>
        <v>5800</v>
      </c>
      <c r="K8" s="13">
        <f>I8+J8</f>
        <v>28717.643707651168</v>
      </c>
      <c r="L8" s="2">
        <f>K8*25</f>
        <v>717941.09269127925</v>
      </c>
      <c r="N8" s="31"/>
    </row>
    <row r="9" spans="2:14" x14ac:dyDescent="0.5">
      <c r="B9" s="7" t="s">
        <v>10</v>
      </c>
      <c r="C9" s="10">
        <f>13698 * D28*((0.05*((1.05)^25))/((1.05^25)-1))</f>
        <v>2429766.9002121184</v>
      </c>
      <c r="D9" s="13">
        <f>29*D28</f>
        <v>72500</v>
      </c>
      <c r="E9" s="13">
        <f>C9+D9</f>
        <v>2502266.9002121184</v>
      </c>
      <c r="F9" s="2">
        <f>E9*25</f>
        <v>62556672.505302958</v>
      </c>
      <c r="H9" s="7" t="s">
        <v>10</v>
      </c>
      <c r="I9" s="16">
        <f t="shared" ref="I9:I11" si="0">1615 * J28*((0.05*((1.05)^25))/((1.05^25)-1))</f>
        <v>286470.54634563962</v>
      </c>
      <c r="J9" s="13">
        <f>29*J28</f>
        <v>72500</v>
      </c>
      <c r="K9" s="13">
        <f>I9+J9</f>
        <v>358970.54634563962</v>
      </c>
      <c r="L9" s="2">
        <f>K9*25</f>
        <v>8974263.65864099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644932.78332797438</v>
      </c>
      <c r="D13" s="13">
        <f>37.35*D38</f>
        <v>74700</v>
      </c>
      <c r="E13" s="13">
        <f>C13+D13</f>
        <v>719632.78332797438</v>
      </c>
      <c r="F13" s="2">
        <f>E13*25</f>
        <v>17990819.583199359</v>
      </c>
      <c r="H13" s="7" t="s">
        <v>14</v>
      </c>
      <c r="I13" s="16">
        <f>2490 * J38*((0.05*((1.05)^10))/((1.05^10)-1))</f>
        <v>644932.78332797438</v>
      </c>
      <c r="J13" s="13">
        <f>37.35*J38</f>
        <v>74700</v>
      </c>
      <c r="K13" s="13">
        <f>I13+J13</f>
        <v>719632.78332797438</v>
      </c>
      <c r="L13" s="2">
        <f>K13*25</f>
        <v>17990819.583199359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46411.199999999997</v>
      </c>
      <c r="E17" s="14">
        <f>D17+C17</f>
        <v>75978.731751746906</v>
      </c>
      <c r="F17" s="4">
        <f>E17*25</f>
        <v>1899468.2937936727</v>
      </c>
      <c r="H17" s="8" t="s">
        <v>18</v>
      </c>
      <c r="I17" s="17">
        <v>37241.547626246109</v>
      </c>
      <c r="J17" s="14">
        <v>46411.199999999997</v>
      </c>
      <c r="K17" s="14">
        <f>J17+I17</f>
        <v>83652.747626246099</v>
      </c>
      <c r="L17" s="4">
        <f>K17*25</f>
        <v>2091318.6906561526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583042.63852756307</v>
      </c>
      <c r="D19" s="14">
        <v>0</v>
      </c>
      <c r="E19" s="14">
        <f>C19</f>
        <v>583042.63852756307</v>
      </c>
      <c r="F19" s="4">
        <f>E19*25</f>
        <v>14576065.963189077</v>
      </c>
      <c r="H19" s="8"/>
      <c r="I19" s="17">
        <f>I48*300*((0.05*((1.05)^20))/((1.05^20)-1))</f>
        <v>549822.20743061684</v>
      </c>
      <c r="J19" s="14">
        <v>0</v>
      </c>
      <c r="K19" s="14">
        <f>I19</f>
        <v>549822.20743061684</v>
      </c>
      <c r="L19" s="4">
        <f>K19*25</f>
        <v>13745555.185765421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271.70140022768078</v>
      </c>
      <c r="J21" s="14">
        <f>19*I34</f>
        <v>38</v>
      </c>
      <c r="K21" s="14">
        <f>J21+I21</f>
        <v>309.70140022768078</v>
      </c>
      <c r="L21" s="4">
        <f>K21*25</f>
        <v>7742.5350056920197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3784772.231228115</v>
      </c>
      <c r="D23" s="14">
        <f>D8+D9+D10+D11+D13+D14+D15+D17+D19+D21</f>
        <v>196549.2</v>
      </c>
      <c r="E23" s="14">
        <f>E8+E9+E10+E11+E13+E14+E15+E17+E19+E21</f>
        <v>3981321.4312281152</v>
      </c>
      <c r="F23" s="4">
        <f>E23*25</f>
        <v>99533035.780702874</v>
      </c>
      <c r="H23" s="36"/>
      <c r="I23" s="11">
        <f>I8+I9+I11+I10+I13+I14+I15+I17+I19+I21</f>
        <v>1541656.4298383559</v>
      </c>
      <c r="J23" s="14">
        <f>J8+J9+J10+J11+J13+J14+J15+J17+J19+J21</f>
        <v>199449.2</v>
      </c>
      <c r="K23" s="14">
        <f>K8+K9+K10+K11+K13+K14+K15+K17+K19+K21</f>
        <v>1741105.6298383556</v>
      </c>
      <c r="L23" s="4">
        <f>K23*25</f>
        <v>43527640.745958887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1</v>
      </c>
      <c r="D27" s="2">
        <v>100</v>
      </c>
      <c r="F27" s="2"/>
      <c r="H27" s="10" t="s">
        <v>9</v>
      </c>
      <c r="I27" s="13">
        <v>2</v>
      </c>
      <c r="J27" s="2">
        <v>200</v>
      </c>
      <c r="L27" s="2"/>
    </row>
    <row r="28" spans="2:12" x14ac:dyDescent="0.5">
      <c r="B28" s="10" t="s">
        <v>10</v>
      </c>
      <c r="C28" s="13">
        <v>5</v>
      </c>
      <c r="D28" s="2">
        <v>2500</v>
      </c>
      <c r="F28" s="2"/>
      <c r="H28" s="10" t="s">
        <v>10</v>
      </c>
      <c r="I28" s="13">
        <v>5</v>
      </c>
      <c r="J28" s="2">
        <v>2500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6</v>
      </c>
      <c r="D31" s="4">
        <v>2600</v>
      </c>
      <c r="F31" s="2"/>
      <c r="H31" s="11" t="s">
        <v>26</v>
      </c>
      <c r="I31" s="14">
        <v>7</v>
      </c>
      <c r="J31" s="4">
        <v>2700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2</v>
      </c>
      <c r="D38" s="2">
        <v>2000</v>
      </c>
      <c r="F38" s="2"/>
      <c r="H38" s="10" t="s">
        <v>14</v>
      </c>
      <c r="I38" s="13">
        <v>2</v>
      </c>
      <c r="J38" s="2">
        <v>2000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2</v>
      </c>
      <c r="D41" s="4">
        <v>2000</v>
      </c>
      <c r="F41" s="2"/>
      <c r="H41" s="11" t="s">
        <v>26</v>
      </c>
      <c r="I41" s="14">
        <v>2</v>
      </c>
      <c r="J41" s="4">
        <v>2000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165</v>
      </c>
      <c r="D45" s="4">
        <v>2900.7</v>
      </c>
      <c r="F45" s="2"/>
      <c r="H45" s="11" t="s">
        <v>18</v>
      </c>
      <c r="I45" s="14">
        <v>165</v>
      </c>
      <c r="J45" s="4">
        <v>2900.7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24220</v>
      </c>
      <c r="F48" s="2"/>
      <c r="H48" s="18" t="s">
        <v>29</v>
      </c>
      <c r="I48" s="4">
        <v>22840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2656097.55836508</v>
      </c>
      <c r="D52" s="2">
        <f>C52*25</f>
        <v>66402438.959127001</v>
      </c>
      <c r="F52" s="2"/>
      <c r="H52" s="10" t="s">
        <v>35</v>
      </c>
      <c r="I52" s="13">
        <v>3133203.68</v>
      </c>
      <c r="J52" s="2">
        <f>I52*25</f>
        <v>78330092</v>
      </c>
      <c r="L52" s="2"/>
    </row>
    <row r="53" spans="2:12" ht="17.45" customHeight="1" thickBot="1" x14ac:dyDescent="0.55000000000000004">
      <c r="B53" s="11" t="s">
        <v>36</v>
      </c>
      <c r="C53" s="17">
        <v>989886.11296303093</v>
      </c>
      <c r="D53" s="4">
        <f>C53*25</f>
        <v>24747152.824075773</v>
      </c>
      <c r="F53" s="2"/>
      <c r="H53" s="11" t="s">
        <v>36</v>
      </c>
      <c r="I53" s="14">
        <v>891214.95290000003</v>
      </c>
      <c r="J53" s="4">
        <f>I53*25</f>
        <v>22280373.822500002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721409.21338311001</v>
      </c>
      <c r="D57" s="2">
        <f>C57*25</f>
        <v>18035230.33457775</v>
      </c>
      <c r="F57" s="2"/>
      <c r="H57" s="10" t="s">
        <v>35</v>
      </c>
      <c r="I57" s="13">
        <v>850993.59160000004</v>
      </c>
      <c r="J57" s="2">
        <f>I57*25</f>
        <v>21274839.790000003</v>
      </c>
      <c r="L57" s="2"/>
    </row>
    <row r="58" spans="2:12" ht="21.45" customHeight="1" thickBot="1" x14ac:dyDescent="0.55000000000000004">
      <c r="B58" s="11" t="s">
        <v>36</v>
      </c>
      <c r="C58" s="17">
        <v>427631.17471747904</v>
      </c>
      <c r="D58" s="4">
        <f>C58*25</f>
        <v>10690779.367936976</v>
      </c>
      <c r="F58" s="2"/>
      <c r="H58" s="11" t="s">
        <v>36</v>
      </c>
      <c r="I58" s="14">
        <v>391791.05920000002</v>
      </c>
      <c r="J58" s="4">
        <f>I58*25</f>
        <v>9794776.4800000004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217976.79096490101</v>
      </c>
      <c r="F61" s="2"/>
      <c r="H61" s="18" t="s">
        <v>38</v>
      </c>
      <c r="I61" s="4">
        <v>205565.20060000001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0.7091916859301346</v>
      </c>
      <c r="C64" s="41"/>
      <c r="D64" s="3"/>
      <c r="E64" s="3"/>
      <c r="F64" s="4"/>
      <c r="H64" s="40">
        <f>K23/B68</f>
        <v>0.31014266452397976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5613886.2175272759</v>
      </c>
      <c r="C68" s="4">
        <f>D107</f>
        <v>140347155.43818191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51085.76925544531</v>
      </c>
      <c r="D74" s="13">
        <v>119200</v>
      </c>
      <c r="E74" s="13">
        <f>C74+D74</f>
        <v>170285.76925544531</v>
      </c>
      <c r="F74" s="2">
        <f>E74*25</f>
        <v>4257144.2313861325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2481836.8421052583</v>
      </c>
      <c r="E78" s="13">
        <f>D78</f>
        <v>2481836.8421052583</v>
      </c>
      <c r="F78" s="2">
        <f>E78*25</f>
        <v>62045921.052631453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37241.547626246109</v>
      </c>
      <c r="D80" s="13">
        <v>46411.199999999997</v>
      </c>
      <c r="E80" s="13">
        <f>C80+D80</f>
        <v>83652.747626246099</v>
      </c>
      <c r="F80" s="2">
        <f>E80*25</f>
        <v>2091318.6906561526</v>
      </c>
    </row>
    <row r="81" spans="2:6" ht="14.7" thickBot="1" x14ac:dyDescent="0.55000000000000004">
      <c r="B81" s="11" t="s">
        <v>46</v>
      </c>
      <c r="C81" s="14"/>
      <c r="D81" s="14">
        <f>D100*2.0865</f>
        <v>47200241.910161518</v>
      </c>
      <c r="E81" s="14">
        <f>D81</f>
        <v>47200241.910161518</v>
      </c>
      <c r="F81" s="4">
        <f>E81*25</f>
        <v>1180006047.7540379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88327.316881691426</v>
      </c>
      <c r="D83" s="14">
        <v>4535457.7185117202</v>
      </c>
      <c r="E83" s="14">
        <v>4623785.0353934113</v>
      </c>
      <c r="F83" s="4">
        <f>E83*25</f>
        <v>115594625.88483529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8</v>
      </c>
      <c r="D87" s="2">
        <v>800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8</v>
      </c>
      <c r="D91" s="4">
        <v>800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165</v>
      </c>
      <c r="D95" s="4">
        <v>2900.7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1189473.684210524</v>
      </c>
      <c r="D99" s="2">
        <f>C99*25</f>
        <v>29736842.105263099</v>
      </c>
      <c r="F99" s="2"/>
    </row>
    <row r="100" spans="2:6" x14ac:dyDescent="0.5">
      <c r="B100" s="10" t="s">
        <v>53</v>
      </c>
      <c r="C100" s="13">
        <v>904869.24342509499</v>
      </c>
      <c r="D100" s="2">
        <f>C100*25</f>
        <v>22621731.085627373</v>
      </c>
      <c r="F100" s="2"/>
    </row>
    <row r="101" spans="2:6" ht="14.7" thickBot="1" x14ac:dyDescent="0.55000000000000004">
      <c r="B101" s="11" t="s">
        <v>26</v>
      </c>
      <c r="C101" s="14">
        <f>C99+C100</f>
        <v>2094342.927635619</v>
      </c>
      <c r="D101" s="4">
        <f>D99+D100</f>
        <v>52358573.190890476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3188384.2105263094</v>
      </c>
      <c r="D105" s="29">
        <f t="shared" si="4"/>
        <v>79709605.26315774</v>
      </c>
      <c r="F105" s="2"/>
    </row>
    <row r="106" spans="2:6" x14ac:dyDescent="0.5">
      <c r="B106" s="10" t="s">
        <v>53</v>
      </c>
      <c r="C106" s="13">
        <f t="shared" si="4"/>
        <v>2425502.0070009669</v>
      </c>
      <c r="D106" s="29">
        <f t="shared" si="4"/>
        <v>60637550.175024174</v>
      </c>
      <c r="F106" s="2"/>
    </row>
    <row r="107" spans="2:6" ht="14.7" thickBot="1" x14ac:dyDescent="0.55000000000000004">
      <c r="B107" s="11" t="s">
        <v>26</v>
      </c>
      <c r="C107" s="14">
        <f t="shared" si="4"/>
        <v>5613886.2175272759</v>
      </c>
      <c r="D107" s="30">
        <f t="shared" si="4"/>
        <v>140347155.43818191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0</v>
      </c>
      <c r="D8" s="13">
        <f>29*D27</f>
        <v>0</v>
      </c>
      <c r="E8" s="13">
        <f>C8+D8</f>
        <v>0</v>
      </c>
      <c r="F8" s="2">
        <f>E8*25</f>
        <v>0</v>
      </c>
      <c r="H8" s="7" t="s">
        <v>9</v>
      </c>
      <c r="I8" s="16">
        <f>1615 * J27*((0.05*((1.05)^25))/((1.05^25)-1))</f>
        <v>0</v>
      </c>
      <c r="J8" s="13">
        <f>29*J27</f>
        <v>0</v>
      </c>
      <c r="K8" s="13">
        <f>I8+J8</f>
        <v>0</v>
      </c>
      <c r="L8" s="2">
        <f>K8*25</f>
        <v>0</v>
      </c>
      <c r="N8" s="31"/>
    </row>
    <row r="9" spans="2:14" x14ac:dyDescent="0.5">
      <c r="B9" s="7" t="s">
        <v>10</v>
      </c>
      <c r="C9" s="10">
        <f>13698 * D28*((0.05*((1.05)^25))/((1.05^25)-1))</f>
        <v>4373580.4203818133</v>
      </c>
      <c r="D9" s="13">
        <f>29*D28</f>
        <v>130500</v>
      </c>
      <c r="E9" s="13">
        <f>C9+D9</f>
        <v>4504080.4203818133</v>
      </c>
      <c r="F9" s="2">
        <f>E9*25</f>
        <v>112602010.50954533</v>
      </c>
      <c r="H9" s="7" t="s">
        <v>10</v>
      </c>
      <c r="I9" s="16">
        <f t="shared" ref="I9:I11" si="0">1615 * J28*((0.05*((1.05)^25))/((1.05^25)-1))</f>
        <v>630235.20196040708</v>
      </c>
      <c r="J9" s="13">
        <f>29*J28</f>
        <v>159500</v>
      </c>
      <c r="K9" s="13">
        <f>I9+J9</f>
        <v>789735.20196040708</v>
      </c>
      <c r="L9" s="2">
        <f>K9*25</f>
        <v>19743380.049010176</v>
      </c>
    </row>
    <row r="10" spans="2:14" x14ac:dyDescent="0.5">
      <c r="B10" s="7" t="s">
        <v>11</v>
      </c>
      <c r="C10" s="10">
        <f>13698 * D29*((0.05*((1.05)^25))/((1.05^25)-1))</f>
        <v>777525.40806787787</v>
      </c>
      <c r="D10" s="13">
        <f>29*D29</f>
        <v>23200</v>
      </c>
      <c r="E10" s="13">
        <f>C10+D10</f>
        <v>800725.40806787787</v>
      </c>
      <c r="F10" s="2">
        <f>E10*25</f>
        <v>20018135.201696947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1289865.5666559488</v>
      </c>
      <c r="D13" s="13">
        <f>37.35*D38</f>
        <v>149400</v>
      </c>
      <c r="E13" s="13">
        <f>C13+D13</f>
        <v>1439265.5666559488</v>
      </c>
      <c r="F13" s="2">
        <f>E13*25</f>
        <v>35981639.166398719</v>
      </c>
      <c r="H13" s="7" t="s">
        <v>14</v>
      </c>
      <c r="I13" s="16">
        <f>2490 * J38*((0.05*((1.05)^10))/((1.05^10)-1))</f>
        <v>1289865.5666559488</v>
      </c>
      <c r="J13" s="13">
        <f>37.35*J38</f>
        <v>149400</v>
      </c>
      <c r="K13" s="13">
        <f>I13+J13</f>
        <v>1439265.5666559488</v>
      </c>
      <c r="L13" s="2">
        <f>K13*25</f>
        <v>35981639.166398719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86071.679999999993</v>
      </c>
      <c r="E17" s="14">
        <f>D17+C17</f>
        <v>115639.21175174689</v>
      </c>
      <c r="F17" s="4">
        <f>E17*25</f>
        <v>2890980.2937936722</v>
      </c>
      <c r="H17" s="8" t="s">
        <v>18</v>
      </c>
      <c r="I17" s="17">
        <v>69066.142870492782</v>
      </c>
      <c r="J17" s="14">
        <v>86071.679999999993</v>
      </c>
      <c r="K17" s="14">
        <f>J17+I17</f>
        <v>155137.82287049276</v>
      </c>
      <c r="L17" s="4">
        <f>K17*25</f>
        <v>3878445.5717623192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653575.87266818073</v>
      </c>
      <c r="D19" s="14">
        <v>0</v>
      </c>
      <c r="E19" s="14">
        <f>C19</f>
        <v>653575.87266818073</v>
      </c>
      <c r="F19" s="4">
        <f>E19*25</f>
        <v>16339396.816704519</v>
      </c>
      <c r="H19" s="8"/>
      <c r="I19" s="17">
        <f>I48*300*((0.05*((1.05)^20))/((1.05^20)-1))</f>
        <v>584246.27733542351</v>
      </c>
      <c r="J19" s="14">
        <v>0</v>
      </c>
      <c r="K19" s="14">
        <f>I19</f>
        <v>584246.27733542351</v>
      </c>
      <c r="L19" s="4">
        <f>K19*25</f>
        <v>14606156.933385588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271.70140022768078</v>
      </c>
      <c r="J21" s="14">
        <f>19*I34</f>
        <v>38</v>
      </c>
      <c r="K21" s="14">
        <f>J21+I21</f>
        <v>309.70140022768078</v>
      </c>
      <c r="L21" s="4">
        <f>K21*25</f>
        <v>7742.5350056920197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7124386.5009257952</v>
      </c>
      <c r="D23" s="14">
        <f>D8+D9+D10+D11+D13+D14+D15+D17+D19+D21</f>
        <v>389209.68</v>
      </c>
      <c r="E23" s="14">
        <f>E8+E9+E10+E11+E13+E14+E15+E17+E19+E21</f>
        <v>7513596.1809257949</v>
      </c>
      <c r="F23" s="4">
        <f>E23*25</f>
        <v>187839904.52314487</v>
      </c>
      <c r="H23" s="36"/>
      <c r="I23" s="11">
        <f>I8+I9+I11+I10+I13+I14+I15+I17+I19+I21</f>
        <v>2573684.8902225001</v>
      </c>
      <c r="J23" s="14">
        <f>J8+J9+J10+J11+J13+J14+J15+J17+J19+J21</f>
        <v>395009.68</v>
      </c>
      <c r="K23" s="14">
        <f>K8+K9+K10+K11+K13+K14+K15+K17+K19+K21</f>
        <v>2968694.5702225002</v>
      </c>
      <c r="L23" s="4">
        <f>K23*25</f>
        <v>74217364.255562499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0</v>
      </c>
      <c r="D27" s="2">
        <v>0</v>
      </c>
      <c r="F27" s="2"/>
      <c r="H27" s="10" t="s">
        <v>9</v>
      </c>
      <c r="I27" s="13">
        <v>0</v>
      </c>
      <c r="J27" s="2">
        <v>0</v>
      </c>
      <c r="L27" s="2"/>
    </row>
    <row r="28" spans="2:12" x14ac:dyDescent="0.5">
      <c r="B28" s="10" t="s">
        <v>10</v>
      </c>
      <c r="C28" s="13">
        <v>9</v>
      </c>
      <c r="D28" s="2">
        <v>4500</v>
      </c>
      <c r="F28" s="2"/>
      <c r="H28" s="10" t="s">
        <v>10</v>
      </c>
      <c r="I28" s="13">
        <v>11</v>
      </c>
      <c r="J28" s="2">
        <v>5500</v>
      </c>
      <c r="L28" s="2"/>
    </row>
    <row r="29" spans="2:12" x14ac:dyDescent="0.5">
      <c r="B29" s="10" t="s">
        <v>11</v>
      </c>
      <c r="C29" s="13">
        <v>1</v>
      </c>
      <c r="D29" s="2">
        <v>800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10</v>
      </c>
      <c r="D31" s="4">
        <v>5300</v>
      </c>
      <c r="F31" s="2"/>
      <c r="H31" s="11" t="s">
        <v>26</v>
      </c>
      <c r="I31" s="14">
        <v>11</v>
      </c>
      <c r="J31" s="4">
        <v>5500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4</v>
      </c>
      <c r="D38" s="2">
        <v>4000</v>
      </c>
      <c r="F38" s="2"/>
      <c r="H38" s="10" t="s">
        <v>14</v>
      </c>
      <c r="I38" s="13">
        <v>4</v>
      </c>
      <c r="J38" s="2">
        <v>4000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4</v>
      </c>
      <c r="D41" s="4">
        <v>4000</v>
      </c>
      <c r="F41" s="2"/>
      <c r="H41" s="11" t="s">
        <v>26</v>
      </c>
      <c r="I41" s="14">
        <v>4</v>
      </c>
      <c r="J41" s="4">
        <v>4000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306</v>
      </c>
      <c r="D45" s="4">
        <v>5379.48</v>
      </c>
      <c r="F45" s="2"/>
      <c r="H45" s="11" t="s">
        <v>18</v>
      </c>
      <c r="I45" s="14">
        <v>306</v>
      </c>
      <c r="J45" s="4">
        <v>5379.48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27150</v>
      </c>
      <c r="F48" s="2"/>
      <c r="H48" s="18" t="s">
        <v>29</v>
      </c>
      <c r="I48" s="4">
        <v>24270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4573226.9846427804</v>
      </c>
      <c r="D52" s="2">
        <f>C52*25</f>
        <v>114330674.61606951</v>
      </c>
      <c r="F52" s="2"/>
      <c r="H52" s="10" t="s">
        <v>35</v>
      </c>
      <c r="I52" s="13">
        <v>5559740.2000000002</v>
      </c>
      <c r="J52" s="2">
        <f>I52*25</f>
        <v>138993505</v>
      </c>
      <c r="L52" s="2"/>
    </row>
    <row r="53" spans="2:12" ht="17.45" customHeight="1" thickBot="1" x14ac:dyDescent="0.55000000000000004">
      <c r="B53" s="11" t="s">
        <v>36</v>
      </c>
      <c r="C53" s="17">
        <v>788075.59968194494</v>
      </c>
      <c r="D53" s="4">
        <f>C53*25</f>
        <v>19701889.992048625</v>
      </c>
      <c r="F53" s="2"/>
      <c r="H53" s="11" t="s">
        <v>36</v>
      </c>
      <c r="I53" s="14">
        <v>627315.14179999998</v>
      </c>
      <c r="J53" s="4">
        <f>I53*25</f>
        <v>15682878.545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1242111.0328659301</v>
      </c>
      <c r="D57" s="2">
        <f>C57*25</f>
        <v>31052775.821648251</v>
      </c>
      <c r="F57" s="2"/>
      <c r="H57" s="10" t="s">
        <v>35</v>
      </c>
      <c r="I57" s="13">
        <v>1510052.8929999999</v>
      </c>
      <c r="J57" s="2">
        <f>I57*25</f>
        <v>37751322.324999996</v>
      </c>
      <c r="L57" s="2"/>
    </row>
    <row r="58" spans="2:12" ht="21.45" customHeight="1" thickBot="1" x14ac:dyDescent="0.55000000000000004">
      <c r="B58" s="11" t="s">
        <v>36</v>
      </c>
      <c r="C58" s="17">
        <v>392027.88867256697</v>
      </c>
      <c r="D58" s="4">
        <f>C58*25</f>
        <v>9800697.2168141752</v>
      </c>
      <c r="F58" s="2"/>
      <c r="H58" s="11" t="s">
        <v>36</v>
      </c>
      <c r="I58" s="14">
        <v>329484.52500000002</v>
      </c>
      <c r="J58" s="4">
        <f>I58*25</f>
        <v>8237113.1250000009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244349.08117754399</v>
      </c>
      <c r="F61" s="2"/>
      <c r="H61" s="18" t="s">
        <v>38</v>
      </c>
      <c r="I61" s="4">
        <v>218429.04079999999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0.67022045990272516</v>
      </c>
      <c r="C64" s="41"/>
      <c r="D64" s="3"/>
      <c r="E64" s="3"/>
      <c r="F64" s="4"/>
      <c r="H64" s="40">
        <f>K23/B68</f>
        <v>0.26481059032907556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11210633.859217469</v>
      </c>
      <c r="C68" s="4">
        <f>D107</f>
        <v>280265846.48043668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38314.326941583982</v>
      </c>
      <c r="D74" s="13">
        <v>89400</v>
      </c>
      <c r="E74" s="13">
        <f>C74+D74</f>
        <v>127714.32694158397</v>
      </c>
      <c r="F74" s="2">
        <f>E74*25</f>
        <v>3192858.1735395994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70952.457299229587</v>
      </c>
      <c r="D76" s="13">
        <v>114000</v>
      </c>
      <c r="E76" s="13">
        <f t="shared" si="2"/>
        <v>184952.45729922957</v>
      </c>
      <c r="F76" s="2">
        <f t="shared" si="3"/>
        <v>4623811.4324807394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5172323.6842106357</v>
      </c>
      <c r="E78" s="13">
        <f>D78</f>
        <v>5172323.6842106357</v>
      </c>
      <c r="F78" s="2">
        <f>E78*25</f>
        <v>129308092.10526589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69066.142870492782</v>
      </c>
      <c r="D80" s="13">
        <v>86071.679999999993</v>
      </c>
      <c r="E80" s="13">
        <f>C80+D80</f>
        <v>155137.82287049276</v>
      </c>
      <c r="F80" s="2">
        <f>E80*25</f>
        <v>3878445.5717623192</v>
      </c>
    </row>
    <row r="81" spans="2:6" ht="14.7" thickBot="1" x14ac:dyDescent="0.55000000000000004">
      <c r="B81" s="11" t="s">
        <v>46</v>
      </c>
      <c r="C81" s="14"/>
      <c r="D81" s="14">
        <f>D100*2.0865</f>
        <v>88850717.326344326</v>
      </c>
      <c r="E81" s="14">
        <f>D81</f>
        <v>88850717.326344326</v>
      </c>
      <c r="F81" s="4">
        <f>E81*25</f>
        <v>2221267933.158608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178332.92711130629</v>
      </c>
      <c r="D83" s="14">
        <v>9015824.0572644081</v>
      </c>
      <c r="E83" s="14">
        <v>9194156.9843757153</v>
      </c>
      <c r="F83" s="4">
        <f>E83*25</f>
        <v>229853924.60939288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6</v>
      </c>
      <c r="D87" s="2">
        <v>600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1</v>
      </c>
      <c r="D89" s="2">
        <v>1000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7</v>
      </c>
      <c r="D91" s="4">
        <v>1600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306</v>
      </c>
      <c r="D95" s="4">
        <v>5379.48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2478947.3684211052</v>
      </c>
      <c r="D99" s="2">
        <f>C99*25</f>
        <v>61973684.210527629</v>
      </c>
      <c r="F99" s="2"/>
    </row>
    <row r="100" spans="2:6" x14ac:dyDescent="0.5">
      <c r="B100" s="10" t="s">
        <v>53</v>
      </c>
      <c r="C100" s="13">
        <v>1703344.6887389279</v>
      </c>
      <c r="D100" s="2">
        <f>C100*25</f>
        <v>42583617.218473196</v>
      </c>
      <c r="F100" s="2"/>
    </row>
    <row r="101" spans="2:6" ht="14.7" thickBot="1" x14ac:dyDescent="0.55000000000000004">
      <c r="B101" s="11" t="s">
        <v>26</v>
      </c>
      <c r="C101" s="14">
        <f>C99+C100</f>
        <v>4182292.0571600329</v>
      </c>
      <c r="D101" s="4">
        <f>D99+D100</f>
        <v>104557301.42900082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6644818.4210527726</v>
      </c>
      <c r="D105" s="29">
        <f t="shared" si="4"/>
        <v>166120460.5263193</v>
      </c>
      <c r="F105" s="2"/>
    </row>
    <row r="106" spans="2:6" x14ac:dyDescent="0.5">
      <c r="B106" s="10" t="s">
        <v>53</v>
      </c>
      <c r="C106" s="13">
        <f t="shared" si="4"/>
        <v>4565815.4381646961</v>
      </c>
      <c r="D106" s="29">
        <f t="shared" si="4"/>
        <v>114145385.9541174</v>
      </c>
      <c r="F106" s="2"/>
    </row>
    <row r="107" spans="2:6" ht="14.7" thickBot="1" x14ac:dyDescent="0.55000000000000004">
      <c r="B107" s="11" t="s">
        <v>26</v>
      </c>
      <c r="C107" s="14">
        <f t="shared" si="4"/>
        <v>11210633.859217469</v>
      </c>
      <c r="D107" s="30">
        <f t="shared" si="4"/>
        <v>280265846.48043668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4276389.7443733281</v>
      </c>
      <c r="D8" s="13">
        <f>29*D27</f>
        <v>127600</v>
      </c>
      <c r="E8" s="13">
        <f>C8+D8</f>
        <v>4403989.7443733281</v>
      </c>
      <c r="F8" s="2">
        <f>E8*25</f>
        <v>110099743.6093332</v>
      </c>
      <c r="H8" s="7" t="s">
        <v>9</v>
      </c>
      <c r="I8" s="16">
        <f>1615 * J27*((0.05*((1.05)^25))/((1.05^25)-1))</f>
        <v>630235.20196040708</v>
      </c>
      <c r="J8" s="13">
        <f>29*J27</f>
        <v>159500</v>
      </c>
      <c r="K8" s="13">
        <f>I8+J8</f>
        <v>789735.20196040708</v>
      </c>
      <c r="L8" s="2">
        <f>K8*25</f>
        <v>19743380.049010176</v>
      </c>
      <c r="N8" s="31"/>
    </row>
    <row r="9" spans="2:14" x14ac:dyDescent="0.5">
      <c r="B9" s="7" t="s">
        <v>10</v>
      </c>
      <c r="C9" s="10">
        <f>13698 * D28*((0.05*((1.05)^25))/((1.05^25)-1))</f>
        <v>971906.76008484734</v>
      </c>
      <c r="D9" s="13">
        <f>29*D28</f>
        <v>29000</v>
      </c>
      <c r="E9" s="13">
        <f>C9+D9</f>
        <v>1000906.7600848473</v>
      </c>
      <c r="F9" s="2">
        <f>E9*25</f>
        <v>25022669.002121184</v>
      </c>
      <c r="H9" s="7" t="s">
        <v>10</v>
      </c>
      <c r="I9" s="16">
        <f t="shared" ref="I9:I11" si="0">1615 * J28*((0.05*((1.05)^25))/((1.05^25)-1))</f>
        <v>0</v>
      </c>
      <c r="J9" s="13">
        <f>29*J28</f>
        <v>0</v>
      </c>
      <c r="K9" s="13">
        <f>I9+J9</f>
        <v>0</v>
      </c>
      <c r="L9" s="2">
        <f>K9*25</f>
        <v>0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1612331.9583199359</v>
      </c>
      <c r="D13" s="13">
        <f>37.35*D38</f>
        <v>186750</v>
      </c>
      <c r="E13" s="13">
        <f>C13+D13</f>
        <v>1799081.9583199359</v>
      </c>
      <c r="F13" s="2">
        <f>E13*25</f>
        <v>44977048.957998395</v>
      </c>
      <c r="H13" s="7" t="s">
        <v>14</v>
      </c>
      <c r="I13" s="16">
        <f>2490 * J38*((0.05*((1.05)^10))/((1.05^10)-1))</f>
        <v>1612331.9583199359</v>
      </c>
      <c r="J13" s="13">
        <f>37.35*J38</f>
        <v>186750</v>
      </c>
      <c r="K13" s="13">
        <f>I13+J13</f>
        <v>1799081.9583199359</v>
      </c>
      <c r="L13" s="2">
        <f>K13*25</f>
        <v>44977048.957998395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90009.599999999991</v>
      </c>
      <c r="E17" s="14">
        <f>D17+C17</f>
        <v>119577.1317517469</v>
      </c>
      <c r="F17" s="4">
        <f>E17*25</f>
        <v>2989428.2937936727</v>
      </c>
      <c r="H17" s="8" t="s">
        <v>18</v>
      </c>
      <c r="I17" s="17">
        <v>72226.03175999246</v>
      </c>
      <c r="J17" s="14">
        <v>90009.600000000006</v>
      </c>
      <c r="K17" s="14">
        <f>J17+I17</f>
        <v>162235.63175999245</v>
      </c>
      <c r="L17" s="4">
        <f>K17*25</f>
        <v>4055890.7939998112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934023.71489964693</v>
      </c>
      <c r="D19" s="14">
        <v>0</v>
      </c>
      <c r="E19" s="14">
        <f>C19</f>
        <v>934023.71489964693</v>
      </c>
      <c r="F19" s="4">
        <f>E19*25</f>
        <v>23350592.872491173</v>
      </c>
      <c r="H19" s="8"/>
      <c r="I19" s="17">
        <f>I48*300*((0.05*((1.05)^20))/((1.05^20)-1))</f>
        <v>827862.77204636228</v>
      </c>
      <c r="J19" s="14">
        <v>0</v>
      </c>
      <c r="K19" s="14">
        <f>I19</f>
        <v>827862.77204636228</v>
      </c>
      <c r="L19" s="4">
        <f>K19*25</f>
        <v>20696569.301159058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0</v>
      </c>
      <c r="J21" s="14">
        <f>19*I34</f>
        <v>0</v>
      </c>
      <c r="K21" s="14">
        <f>J21+I21</f>
        <v>0</v>
      </c>
      <c r="L21" s="4">
        <f>K21*25</f>
        <v>0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7824491.4108297331</v>
      </c>
      <c r="D23" s="14">
        <f>D8+D9+D10+D11+D13+D14+D15+D17+D19+D21</f>
        <v>433397.6</v>
      </c>
      <c r="E23" s="14">
        <f>E8+E9+E10+E11+E13+E14+E15+E17+E19+E21</f>
        <v>8257889.0108297328</v>
      </c>
      <c r="F23" s="4">
        <f>E23*25</f>
        <v>206447225.27074331</v>
      </c>
      <c r="H23" s="36"/>
      <c r="I23" s="11">
        <f>I8+I9+I11+I10+I13+I14+I15+I17+I19+I21</f>
        <v>3142655.9640866974</v>
      </c>
      <c r="J23" s="14">
        <f>J8+J9+J10+J11+J13+J14+J15+J17+J19+J21</f>
        <v>436259.6</v>
      </c>
      <c r="K23" s="14">
        <f>K8+K9+K10+K11+K13+K14+K15+K17+K19+K21</f>
        <v>3578915.564086698</v>
      </c>
      <c r="L23" s="4">
        <f>K23*25</f>
        <v>89472889.102167457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44</v>
      </c>
      <c r="D27" s="2">
        <v>4400</v>
      </c>
      <c r="F27" s="2"/>
      <c r="H27" s="10" t="s">
        <v>9</v>
      </c>
      <c r="I27" s="13">
        <v>55</v>
      </c>
      <c r="J27" s="2">
        <v>5500</v>
      </c>
      <c r="L27" s="2"/>
    </row>
    <row r="28" spans="2:12" x14ac:dyDescent="0.5">
      <c r="B28" s="10" t="s">
        <v>10</v>
      </c>
      <c r="C28" s="13">
        <v>2</v>
      </c>
      <c r="D28" s="2">
        <v>1000</v>
      </c>
      <c r="F28" s="2"/>
      <c r="H28" s="10" t="s">
        <v>10</v>
      </c>
      <c r="I28" s="13">
        <v>0</v>
      </c>
      <c r="J28" s="2">
        <v>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46</v>
      </c>
      <c r="D31" s="4">
        <v>5400</v>
      </c>
      <c r="F31" s="2"/>
      <c r="H31" s="11" t="s">
        <v>26</v>
      </c>
      <c r="I31" s="14">
        <v>55</v>
      </c>
      <c r="J31" s="4">
        <v>5500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0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5</v>
      </c>
      <c r="D38" s="2">
        <v>5000</v>
      </c>
      <c r="F38" s="2"/>
      <c r="H38" s="10" t="s">
        <v>14</v>
      </c>
      <c r="I38" s="13">
        <v>5</v>
      </c>
      <c r="J38" s="2">
        <v>5000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5</v>
      </c>
      <c r="D41" s="4">
        <v>5000</v>
      </c>
      <c r="F41" s="2"/>
      <c r="H41" s="11" t="s">
        <v>26</v>
      </c>
      <c r="I41" s="14">
        <v>5</v>
      </c>
      <c r="J41" s="4">
        <v>5000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320</v>
      </c>
      <c r="D45" s="4">
        <v>5625.5999999999995</v>
      </c>
      <c r="F45" s="2"/>
      <c r="H45" s="11" t="s">
        <v>18</v>
      </c>
      <c r="I45" s="14">
        <v>320</v>
      </c>
      <c r="J45" s="4">
        <v>5625.6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38800</v>
      </c>
      <c r="F48" s="2"/>
      <c r="H48" s="18" t="s">
        <v>29</v>
      </c>
      <c r="I48" s="4">
        <v>34390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5856479.4858682798</v>
      </c>
      <c r="D52" s="2">
        <f>C52*25</f>
        <v>146411987.146707</v>
      </c>
      <c r="F52" s="2"/>
      <c r="H52" s="10" t="s">
        <v>35</v>
      </c>
      <c r="I52" s="13">
        <v>7145664.0700000003</v>
      </c>
      <c r="J52" s="2">
        <f>I52*25</f>
        <v>178641601.75</v>
      </c>
      <c r="L52" s="2"/>
    </row>
    <row r="53" spans="2:12" ht="17.45" customHeight="1" thickBot="1" x14ac:dyDescent="0.55000000000000004">
      <c r="B53" s="11" t="s">
        <v>36</v>
      </c>
      <c r="C53" s="17">
        <v>530254.98399304005</v>
      </c>
      <c r="D53" s="4">
        <f>C53*25</f>
        <v>13256374.599826001</v>
      </c>
      <c r="F53" s="2"/>
      <c r="H53" s="11" t="s">
        <v>36</v>
      </c>
      <c r="I53" s="14">
        <v>309840.56576149998</v>
      </c>
      <c r="J53" s="4">
        <f>I53*25</f>
        <v>7746014.1440374991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1590648.7492481701</v>
      </c>
      <c r="D57" s="2">
        <f>C57*25</f>
        <v>39766218.731204249</v>
      </c>
      <c r="F57" s="2"/>
      <c r="H57" s="10" t="s">
        <v>35</v>
      </c>
      <c r="I57" s="13">
        <v>1940797.6470000001</v>
      </c>
      <c r="J57" s="2">
        <f>I57*25</f>
        <v>48519941.175000004</v>
      </c>
      <c r="L57" s="2"/>
    </row>
    <row r="58" spans="2:12" ht="21.45" customHeight="1" thickBot="1" x14ac:dyDescent="0.55000000000000004">
      <c r="B58" s="11" t="s">
        <v>36</v>
      </c>
      <c r="C58" s="17">
        <v>398374.91773960501</v>
      </c>
      <c r="D58" s="4">
        <f>C58*25</f>
        <v>9959372.9434901252</v>
      </c>
      <c r="F58" s="2"/>
      <c r="H58" s="11" t="s">
        <v>36</v>
      </c>
      <c r="I58" s="14">
        <v>309599.78329325002</v>
      </c>
      <c r="J58" s="4">
        <f>I58*25</f>
        <v>7739994.5823312504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349199.29981459503</v>
      </c>
      <c r="F61" s="2"/>
      <c r="H61" s="18" t="s">
        <v>38</v>
      </c>
      <c r="I61" s="4">
        <v>309510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0.98606204963671085</v>
      </c>
      <c r="C64" s="41"/>
      <c r="D64" s="3"/>
      <c r="E64" s="3"/>
      <c r="F64" s="4"/>
      <c r="H64" s="40">
        <f>K23/B68</f>
        <v>0.42735289999319886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8374613.9645797536</v>
      </c>
      <c r="C68" s="4">
        <f>D107</f>
        <v>209365349.11449385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12771.442313861329</v>
      </c>
      <c r="D74" s="13">
        <v>29800</v>
      </c>
      <c r="E74" s="13">
        <f>C74+D74</f>
        <v>42571.442313861327</v>
      </c>
      <c r="F74" s="2">
        <f>E74*25</f>
        <v>1064286.0578465331</v>
      </c>
    </row>
    <row r="75" spans="2:12" x14ac:dyDescent="0.5">
      <c r="B75" s="10" t="s">
        <v>10</v>
      </c>
      <c r="C75" s="13">
        <v>31928.605784653319</v>
      </c>
      <c r="D75" s="13">
        <v>74500</v>
      </c>
      <c r="E75" s="13">
        <f t="shared" ref="E75:E77" si="2">C75+D75</f>
        <v>106428.60578465332</v>
      </c>
      <c r="F75" s="2">
        <f t="shared" ref="F75:F77" si="3">E75*25</f>
        <v>2660715.1446163328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2259459.8684210042</v>
      </c>
      <c r="E78" s="13">
        <f>D78</f>
        <v>2259459.8684210042</v>
      </c>
      <c r="F78" s="2">
        <f>E78*25</f>
        <v>56486496.710525103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72226.03175999246</v>
      </c>
      <c r="D80" s="13">
        <v>90009.599999999991</v>
      </c>
      <c r="E80" s="13">
        <f>C80+D80</f>
        <v>162235.63175999245</v>
      </c>
      <c r="F80" s="2">
        <f>E80*25</f>
        <v>4055890.7939998112</v>
      </c>
    </row>
    <row r="81" spans="2:6" ht="14.7" thickBot="1" x14ac:dyDescent="0.55000000000000004">
      <c r="B81" s="11" t="s">
        <v>46</v>
      </c>
      <c r="C81" s="14"/>
      <c r="D81" s="14">
        <f>D100*2.0865</f>
        <v>106483397.3120048</v>
      </c>
      <c r="E81" s="14">
        <f>D81</f>
        <v>106483397.3120048</v>
      </c>
      <c r="F81" s="4">
        <f>E81*25</f>
        <v>2662084932.8001204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116926.0798585071</v>
      </c>
      <c r="D83" s="14">
        <v>6713105.3609011956</v>
      </c>
      <c r="E83" s="14">
        <v>6830031.4407597026</v>
      </c>
      <c r="F83" s="4">
        <f>E83*25</f>
        <v>170750786.01899257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2</v>
      </c>
      <c r="D87" s="2">
        <v>200</v>
      </c>
      <c r="F87" s="2"/>
    </row>
    <row r="88" spans="2:6" x14ac:dyDescent="0.5">
      <c r="B88" s="10" t="s">
        <v>10</v>
      </c>
      <c r="C88" s="13">
        <v>1</v>
      </c>
      <c r="D88" s="2">
        <v>500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3</v>
      </c>
      <c r="D91" s="4">
        <v>700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320</v>
      </c>
      <c r="D95" s="4">
        <v>5625.5999999999995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1082894.7368420821</v>
      </c>
      <c r="D99" s="2">
        <f>C99*25</f>
        <v>27072368.421052054</v>
      </c>
      <c r="F99" s="2"/>
    </row>
    <row r="100" spans="2:6" x14ac:dyDescent="0.5">
      <c r="B100" s="10" t="s">
        <v>53</v>
      </c>
      <c r="C100" s="13">
        <v>2041378.3333238401</v>
      </c>
      <c r="D100" s="2">
        <f>C100*25</f>
        <v>51034458.333095998</v>
      </c>
      <c r="F100" s="2"/>
    </row>
    <row r="101" spans="2:6" ht="14.7" thickBot="1" x14ac:dyDescent="0.55000000000000004">
      <c r="B101" s="11" t="s">
        <v>26</v>
      </c>
      <c r="C101" s="14">
        <f>C99+C100</f>
        <v>3124273.0701659219</v>
      </c>
      <c r="D101" s="4">
        <f>D99+D100</f>
        <v>78106826.754148051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2902699.342105201</v>
      </c>
      <c r="D105" s="29">
        <f t="shared" si="4"/>
        <v>72567483.552630022</v>
      </c>
      <c r="F105" s="2"/>
    </row>
    <row r="106" spans="2:6" x14ac:dyDescent="0.5">
      <c r="B106" s="10" t="s">
        <v>53</v>
      </c>
      <c r="C106" s="13">
        <f t="shared" si="4"/>
        <v>5471914.6224745531</v>
      </c>
      <c r="D106" s="29">
        <f t="shared" si="4"/>
        <v>136797865.56186381</v>
      </c>
      <c r="F106" s="2"/>
    </row>
    <row r="107" spans="2:6" ht="14.7" thickBot="1" x14ac:dyDescent="0.55000000000000004">
      <c r="B107" s="11" t="s">
        <v>26</v>
      </c>
      <c r="C107" s="14">
        <f t="shared" si="4"/>
        <v>8374613.9645797536</v>
      </c>
      <c r="D107" s="30">
        <f t="shared" si="4"/>
        <v>209365349.11449385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777525.40806787787</v>
      </c>
      <c r="D8" s="13">
        <f>29*D27</f>
        <v>23200</v>
      </c>
      <c r="E8" s="13">
        <f>C8+D8</f>
        <v>800725.40806787787</v>
      </c>
      <c r="F8" s="2">
        <f>E8*25</f>
        <v>20018135.201696947</v>
      </c>
      <c r="H8" s="7" t="s">
        <v>9</v>
      </c>
      <c r="I8" s="16">
        <f>1615 * J27*((0.05*((1.05)^25))/((1.05^25)-1))</f>
        <v>22917.643707651168</v>
      </c>
      <c r="J8" s="13">
        <f>29*J27</f>
        <v>5800</v>
      </c>
      <c r="K8" s="13">
        <f>I8+J8</f>
        <v>28717.643707651168</v>
      </c>
      <c r="L8" s="2">
        <f>K8*25</f>
        <v>717941.09269127925</v>
      </c>
      <c r="N8" s="31"/>
    </row>
    <row r="9" spans="2:14" x14ac:dyDescent="0.5">
      <c r="B9" s="7" t="s">
        <v>10</v>
      </c>
      <c r="C9" s="10">
        <f>13698 * D28*((0.05*((1.05)^25))/((1.05^25)-1))</f>
        <v>1457860.1401272712</v>
      </c>
      <c r="D9" s="13">
        <f>29*D28</f>
        <v>43500</v>
      </c>
      <c r="E9" s="13">
        <f>C9+D9</f>
        <v>1501360.1401272712</v>
      </c>
      <c r="F9" s="2">
        <f>E9*25</f>
        <v>37534003.503181778</v>
      </c>
      <c r="H9" s="7" t="s">
        <v>10</v>
      </c>
      <c r="I9" s="16">
        <f t="shared" ref="I9:I11" si="0">1615 * J28*((0.05*((1.05)^25))/((1.05^25)-1))</f>
        <v>286470.54634563962</v>
      </c>
      <c r="J9" s="13">
        <f>29*J28</f>
        <v>72500</v>
      </c>
      <c r="K9" s="13">
        <f>I9+J9</f>
        <v>358970.54634563962</v>
      </c>
      <c r="L9" s="2">
        <f>K9*25</f>
        <v>8974263.65864099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644932.78332797438</v>
      </c>
      <c r="D13" s="13">
        <f>37.35*D38</f>
        <v>74700</v>
      </c>
      <c r="E13" s="13">
        <f>C13+D13</f>
        <v>719632.78332797438</v>
      </c>
      <c r="F13" s="2">
        <f>E13*25</f>
        <v>17990819.583199359</v>
      </c>
      <c r="H13" s="7" t="s">
        <v>14</v>
      </c>
      <c r="I13" s="16">
        <f>2490 * J38*((0.05*((1.05)^10))/((1.05^10)-1))</f>
        <v>967399.17499196157</v>
      </c>
      <c r="J13" s="13">
        <f>37.35*J38</f>
        <v>112050</v>
      </c>
      <c r="K13" s="13">
        <f>I13+J13</f>
        <v>1079449.1749919616</v>
      </c>
      <c r="L13" s="2">
        <f>K13*25</f>
        <v>26986229.374799039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42191.999999999993</v>
      </c>
      <c r="E17" s="14">
        <f>D17+C17</f>
        <v>71759.531751746894</v>
      </c>
      <c r="F17" s="4">
        <f>E17*25</f>
        <v>1793988.2937936722</v>
      </c>
      <c r="H17" s="8" t="s">
        <v>18</v>
      </c>
      <c r="I17" s="17">
        <v>33855.952387496458</v>
      </c>
      <c r="J17" s="14">
        <v>42192</v>
      </c>
      <c r="K17" s="14">
        <f>J17+I17</f>
        <v>76047.952387496451</v>
      </c>
      <c r="L17" s="4">
        <f>K17*25</f>
        <v>1901198.8096874112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957855.76329528226</v>
      </c>
      <c r="D19" s="14">
        <v>0</v>
      </c>
      <c r="E19" s="14">
        <f>C19</f>
        <v>957855.76329528226</v>
      </c>
      <c r="F19" s="4">
        <f>E19*25</f>
        <v>23946394.082382057</v>
      </c>
      <c r="H19" s="8"/>
      <c r="I19" s="17">
        <f>I48*300*((0.05*((1.05)^20))/((1.05^20)-1))</f>
        <v>364221.1032585479</v>
      </c>
      <c r="J19" s="14">
        <v>0</v>
      </c>
      <c r="K19" s="14">
        <f>I19</f>
        <v>364221.1032585479</v>
      </c>
      <c r="L19" s="4">
        <f>K19*25</f>
        <v>9105527.5814636983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271.70140022768078</v>
      </c>
      <c r="J21" s="14">
        <f>19*I34</f>
        <v>38</v>
      </c>
      <c r="K21" s="14">
        <f>J21+I21</f>
        <v>309.70140022768078</v>
      </c>
      <c r="L21" s="4">
        <f>K21*25</f>
        <v>7742.5350056920197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3868013.32797038</v>
      </c>
      <c r="D23" s="14">
        <f>D8+D9+D10+D11+D13+D14+D15+D17+D19+D21</f>
        <v>183630</v>
      </c>
      <c r="E23" s="14">
        <f>E8+E9+E10+E11+E13+E14+E15+E17+E19+E21</f>
        <v>4051643.32797038</v>
      </c>
      <c r="F23" s="4">
        <f>E23*25</f>
        <v>101291083.1992595</v>
      </c>
      <c r="H23" s="36"/>
      <c r="I23" s="11">
        <f>I8+I9+I11+I10+I13+I14+I15+I17+I19+I21</f>
        <v>1675136.1220915241</v>
      </c>
      <c r="J23" s="14">
        <f>J8+J9+J10+J11+J13+J14+J15+J17+J19+J21</f>
        <v>232580</v>
      </c>
      <c r="K23" s="14">
        <f>K8+K9+K10+K11+K13+K14+K15+K17+K19+K21</f>
        <v>1907716.1220915241</v>
      </c>
      <c r="L23" s="4">
        <f>K23*25</f>
        <v>47692903.0522881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8</v>
      </c>
      <c r="D27" s="2">
        <v>800</v>
      </c>
      <c r="F27" s="2"/>
      <c r="H27" s="10" t="s">
        <v>9</v>
      </c>
      <c r="I27" s="13">
        <v>2</v>
      </c>
      <c r="J27" s="2">
        <v>200</v>
      </c>
      <c r="L27" s="2"/>
    </row>
    <row r="28" spans="2:12" x14ac:dyDescent="0.5">
      <c r="B28" s="10" t="s">
        <v>10</v>
      </c>
      <c r="C28" s="13">
        <v>3</v>
      </c>
      <c r="D28" s="2">
        <v>1500</v>
      </c>
      <c r="F28" s="2"/>
      <c r="H28" s="10" t="s">
        <v>10</v>
      </c>
      <c r="I28" s="13">
        <v>5</v>
      </c>
      <c r="J28" s="2">
        <v>2500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11</v>
      </c>
      <c r="D31" s="4">
        <v>2300</v>
      </c>
      <c r="F31" s="2"/>
      <c r="H31" s="11" t="s">
        <v>26</v>
      </c>
      <c r="I31" s="14">
        <v>7</v>
      </c>
      <c r="J31" s="4">
        <v>2700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2</v>
      </c>
      <c r="D38" s="2">
        <v>2000</v>
      </c>
      <c r="F38" s="2"/>
      <c r="H38" s="10" t="s">
        <v>14</v>
      </c>
      <c r="I38" s="13">
        <v>3</v>
      </c>
      <c r="J38" s="2">
        <v>3000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2</v>
      </c>
      <c r="D41" s="4">
        <v>2000</v>
      </c>
      <c r="F41" s="2"/>
      <c r="H41" s="11" t="s">
        <v>26</v>
      </c>
      <c r="I41" s="14">
        <v>3</v>
      </c>
      <c r="J41" s="4">
        <v>3000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150</v>
      </c>
      <c r="D45" s="4">
        <v>2637</v>
      </c>
      <c r="F45" s="2"/>
      <c r="H45" s="11" t="s">
        <v>18</v>
      </c>
      <c r="I45" s="14">
        <v>150</v>
      </c>
      <c r="J45" s="4">
        <v>2637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39790</v>
      </c>
      <c r="F48" s="2"/>
      <c r="H48" s="18" t="s">
        <v>29</v>
      </c>
      <c r="I48" s="4">
        <v>15130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2867509.3462060899</v>
      </c>
      <c r="D52" s="2">
        <f>C52*25</f>
        <v>71687733.655152246</v>
      </c>
      <c r="F52" s="2"/>
      <c r="H52" s="10" t="s">
        <v>35</v>
      </c>
      <c r="I52" s="13">
        <v>3515227.82</v>
      </c>
      <c r="J52" s="2">
        <f>I52*25</f>
        <v>87880695.5</v>
      </c>
      <c r="L52" s="2"/>
    </row>
    <row r="53" spans="2:12" ht="17.45" customHeight="1" thickBot="1" x14ac:dyDescent="0.55000000000000004">
      <c r="B53" s="11" t="s">
        <v>36</v>
      </c>
      <c r="C53" s="17">
        <v>1392911.5641486901</v>
      </c>
      <c r="D53" s="4">
        <f>C53*25</f>
        <v>34822789.103717253</v>
      </c>
      <c r="F53" s="2"/>
      <c r="H53" s="11" t="s">
        <v>36</v>
      </c>
      <c r="I53" s="14">
        <v>151248.58059000003</v>
      </c>
      <c r="J53" s="4">
        <f>I53*25</f>
        <v>3781214.5147500006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778829.69896955194</v>
      </c>
      <c r="D57" s="2">
        <f>C57*25</f>
        <v>19470742.474238798</v>
      </c>
      <c r="F57" s="2"/>
      <c r="H57" s="10" t="s">
        <v>35</v>
      </c>
      <c r="I57" s="13">
        <v>954753.23380000005</v>
      </c>
      <c r="J57" s="2">
        <f>I57*25</f>
        <v>23868830.845000003</v>
      </c>
      <c r="L57" s="2"/>
    </row>
    <row r="58" spans="2:12" ht="21.45" customHeight="1" thickBot="1" x14ac:dyDescent="0.55000000000000004">
      <c r="B58" s="11" t="s">
        <v>36</v>
      </c>
      <c r="C58" s="17">
        <v>639166.59699949599</v>
      </c>
      <c r="D58" s="4">
        <f>C58*25</f>
        <v>15979164.9249874</v>
      </c>
      <c r="F58" s="2"/>
      <c r="H58" s="11" t="s">
        <v>36</v>
      </c>
      <c r="I58" s="14">
        <v>140245.14928400001</v>
      </c>
      <c r="J58" s="4">
        <f>I58*25</f>
        <v>3506128.7321000001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358109.15162183001</v>
      </c>
      <c r="F61" s="2"/>
      <c r="H61" s="18" t="s">
        <v>38</v>
      </c>
      <c r="I61" s="4">
        <v>136142.17490000001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0.97429817899842874</v>
      </c>
      <c r="C64" s="41"/>
      <c r="D64" s="3"/>
      <c r="E64" s="3"/>
      <c r="F64" s="4"/>
      <c r="H64" s="40">
        <f>K23/B68</f>
        <v>0.45874826418415282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4158524.9929702622</v>
      </c>
      <c r="C68" s="4">
        <f>D107</f>
        <v>103963124.82425655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25542.884627722651</v>
      </c>
      <c r="D74" s="13">
        <v>59600</v>
      </c>
      <c r="E74" s="13">
        <f>C74+D74</f>
        <v>85142.884627722655</v>
      </c>
      <c r="F74" s="2">
        <f>E74*25</f>
        <v>2128572.1156930663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1290335.5263157859</v>
      </c>
      <c r="E78" s="13">
        <f>D78</f>
        <v>1290335.5263157859</v>
      </c>
      <c r="F78" s="2">
        <f>E78*25</f>
        <v>32258388.157894649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33855.952387496458</v>
      </c>
      <c r="D80" s="13">
        <v>42191.999999999993</v>
      </c>
      <c r="E80" s="13">
        <f>C80+D80</f>
        <v>76047.952387496451</v>
      </c>
      <c r="F80" s="2">
        <f>E80*25</f>
        <v>1901198.8096874112</v>
      </c>
    </row>
    <row r="81" spans="2:6" ht="14.7" thickBot="1" x14ac:dyDescent="0.55000000000000004">
      <c r="B81" s="11" t="s">
        <v>46</v>
      </c>
      <c r="C81" s="14"/>
      <c r="D81" s="14">
        <f>D100*2.0865</f>
        <v>48666461.663336955</v>
      </c>
      <c r="E81" s="14">
        <f>D81</f>
        <v>48666461.663336955</v>
      </c>
      <c r="F81" s="4">
        <f>E81*25</f>
        <v>1216661541.5834239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59398.837015219113</v>
      </c>
      <c r="D83" s="14">
        <v>3338785.9928492638</v>
      </c>
      <c r="E83" s="14">
        <v>3398184.8298644829</v>
      </c>
      <c r="F83" s="4">
        <f>E83*25</f>
        <v>84954620.746612072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4</v>
      </c>
      <c r="D87" s="2">
        <v>400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4</v>
      </c>
      <c r="D91" s="4">
        <v>400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150</v>
      </c>
      <c r="D95" s="4">
        <v>2637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618421.05263157724</v>
      </c>
      <c r="D99" s="2">
        <f>C99*25</f>
        <v>15460526.315789431</v>
      </c>
      <c r="F99" s="2"/>
    </row>
    <row r="100" spans="2:6" x14ac:dyDescent="0.5">
      <c r="B100" s="10" t="s">
        <v>53</v>
      </c>
      <c r="C100" s="13">
        <v>932977.93747111352</v>
      </c>
      <c r="D100" s="2">
        <f>C100*25</f>
        <v>23324448.436777838</v>
      </c>
      <c r="F100" s="2"/>
    </row>
    <row r="101" spans="2:6" ht="14.7" thickBot="1" x14ac:dyDescent="0.55000000000000004">
      <c r="B101" s="11" t="s">
        <v>26</v>
      </c>
      <c r="C101" s="14">
        <f>C99+C100</f>
        <v>1551398.9901026906</v>
      </c>
      <c r="D101" s="4">
        <f>D99+D100</f>
        <v>38784974.752567269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1657677.6315789428</v>
      </c>
      <c r="D105" s="29">
        <f t="shared" si="4"/>
        <v>41441940.789473571</v>
      </c>
      <c r="F105" s="2"/>
    </row>
    <row r="106" spans="2:6" x14ac:dyDescent="0.5">
      <c r="B106" s="10" t="s">
        <v>53</v>
      </c>
      <c r="C106" s="13">
        <f t="shared" si="4"/>
        <v>2500847.3613913199</v>
      </c>
      <c r="D106" s="29">
        <f t="shared" si="4"/>
        <v>62521184.034782991</v>
      </c>
      <c r="F106" s="2"/>
    </row>
    <row r="107" spans="2:6" ht="14.7" thickBot="1" x14ac:dyDescent="0.55000000000000004">
      <c r="B107" s="11" t="s">
        <v>26</v>
      </c>
      <c r="C107" s="14">
        <f t="shared" si="4"/>
        <v>4158524.9929702622</v>
      </c>
      <c r="D107" s="30">
        <f t="shared" si="4"/>
        <v>103963124.82425655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0</v>
      </c>
      <c r="D8" s="13">
        <f>29*D27</f>
        <v>0</v>
      </c>
      <c r="E8" s="13">
        <f>C8+D8</f>
        <v>0</v>
      </c>
      <c r="F8" s="2">
        <f>E8*25</f>
        <v>0</v>
      </c>
      <c r="H8" s="7" t="s">
        <v>9</v>
      </c>
      <c r="I8" s="16">
        <f>1615 * J27*((0.05*((1.05)^25))/((1.05^25)-1))</f>
        <v>985458.67942900024</v>
      </c>
      <c r="J8" s="13">
        <f>29*J27</f>
        <v>249400</v>
      </c>
      <c r="K8" s="13">
        <f>I8+J8</f>
        <v>1234858.6794290002</v>
      </c>
      <c r="L8" s="2">
        <f>K8*25</f>
        <v>30871466.985725008</v>
      </c>
      <c r="N8" s="31"/>
    </row>
    <row r="9" spans="2:14" x14ac:dyDescent="0.5">
      <c r="B9" s="7" t="s">
        <v>10</v>
      </c>
      <c r="C9" s="10">
        <f>13698 * D28*((0.05*((1.05)^25))/((1.05^25)-1))</f>
        <v>7775254.0806787787</v>
      </c>
      <c r="D9" s="13">
        <f>29*D28</f>
        <v>232000</v>
      </c>
      <c r="E9" s="13">
        <f>C9+D9</f>
        <v>8007254.0806787787</v>
      </c>
      <c r="F9" s="2">
        <f>E9*25</f>
        <v>200181352.01696947</v>
      </c>
      <c r="H9" s="7" t="s">
        <v>10</v>
      </c>
      <c r="I9" s="16">
        <f t="shared" ref="I9:I11" si="0">1615 * J28*((0.05*((1.05)^25))/((1.05^25)-1))</f>
        <v>0</v>
      </c>
      <c r="J9" s="13">
        <f>29*J28</f>
        <v>0</v>
      </c>
      <c r="K9" s="13">
        <f>I9+J9</f>
        <v>0</v>
      </c>
      <c r="L9" s="2">
        <f>K9*25</f>
        <v>0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1612331.9583199359</v>
      </c>
      <c r="D13" s="13">
        <f>37.35*D38</f>
        <v>186750</v>
      </c>
      <c r="E13" s="13">
        <f>C13+D13</f>
        <v>1799081.9583199359</v>
      </c>
      <c r="F13" s="2">
        <f>E13*25</f>
        <v>44977048.957998395</v>
      </c>
      <c r="H13" s="7" t="s">
        <v>14</v>
      </c>
      <c r="I13" s="16">
        <f>2490 * J38*((0.05*((1.05)^10))/((1.05^10)-1))</f>
        <v>1612331.9583199359</v>
      </c>
      <c r="J13" s="13">
        <f>37.35*J38</f>
        <v>186750</v>
      </c>
      <c r="K13" s="13">
        <f>I13+J13</f>
        <v>1799081.9583199359</v>
      </c>
      <c r="L13" s="2">
        <f>K13*25</f>
        <v>44977048.957998395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91978.559999999998</v>
      </c>
      <c r="E17" s="14">
        <f>D17+C17</f>
        <v>121546.09175174689</v>
      </c>
      <c r="F17" s="4">
        <f>E17*25</f>
        <v>3038652.2937936722</v>
      </c>
      <c r="H17" s="8" t="s">
        <v>18</v>
      </c>
      <c r="I17" s="17">
        <v>73805.976204742299</v>
      </c>
      <c r="J17" s="14">
        <v>91978.559999999998</v>
      </c>
      <c r="K17" s="14">
        <f>J17+I17</f>
        <v>165784.5362047423</v>
      </c>
      <c r="L17" s="4">
        <f>K17*25</f>
        <v>4144613.4051185576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971336.51794331835</v>
      </c>
      <c r="D19" s="14">
        <v>0</v>
      </c>
      <c r="E19" s="14">
        <f>C19</f>
        <v>971336.51794331835</v>
      </c>
      <c r="F19" s="4">
        <f>E19*25</f>
        <v>24283412.948582958</v>
      </c>
      <c r="H19" s="8"/>
      <c r="I19" s="17">
        <f>I48*300*((0.05*((1.05)^20))/((1.05^20)-1))</f>
        <v>533693.44740528788</v>
      </c>
      <c r="J19" s="14">
        <v>0</v>
      </c>
      <c r="K19" s="14">
        <f>I19</f>
        <v>533693.44740528788</v>
      </c>
      <c r="L19" s="4">
        <f>K19*25</f>
        <v>13342336.185132196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271.70140022768078</v>
      </c>
      <c r="J21" s="14">
        <f>19*I34</f>
        <v>38</v>
      </c>
      <c r="K21" s="14">
        <f>J21+I21</f>
        <v>309.70140022768078</v>
      </c>
      <c r="L21" s="4">
        <f>K21*25</f>
        <v>7742.5350056920197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10388761.790094009</v>
      </c>
      <c r="D23" s="14">
        <f>D8+D9+D10+D11+D13+D14+D15+D17+D19+D21</f>
        <v>510766.56</v>
      </c>
      <c r="E23" s="14">
        <f>E8+E9+E10+E11+E13+E14+E15+E17+E19+E21</f>
        <v>10899528.350094009</v>
      </c>
      <c r="F23" s="4">
        <f>E23*25</f>
        <v>272488208.75235021</v>
      </c>
      <c r="H23" s="36"/>
      <c r="I23" s="11">
        <f>I8+I9+I11+I10+I13+I14+I15+I17+I19+I21</f>
        <v>3205561.7627591942</v>
      </c>
      <c r="J23" s="14">
        <f>J8+J9+J10+J11+J13+J14+J15+J17+J19+J21</f>
        <v>528166.56000000006</v>
      </c>
      <c r="K23" s="14">
        <f>K8+K9+K10+K11+K13+K14+K15+K17+K19+K21</f>
        <v>3733728.3227591943</v>
      </c>
      <c r="L23" s="4">
        <f>K23*25</f>
        <v>93343208.068979859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0</v>
      </c>
      <c r="D27" s="2">
        <v>0</v>
      </c>
      <c r="F27" s="2"/>
      <c r="H27" s="10" t="s">
        <v>9</v>
      </c>
      <c r="I27" s="13">
        <v>86</v>
      </c>
      <c r="J27" s="2">
        <v>8600</v>
      </c>
      <c r="L27" s="2"/>
    </row>
    <row r="28" spans="2:12" x14ac:dyDescent="0.5">
      <c r="B28" s="10" t="s">
        <v>10</v>
      </c>
      <c r="C28" s="13">
        <v>16</v>
      </c>
      <c r="D28" s="2">
        <v>8000</v>
      </c>
      <c r="F28" s="2"/>
      <c r="H28" s="10" t="s">
        <v>10</v>
      </c>
      <c r="I28" s="13">
        <v>0</v>
      </c>
      <c r="J28" s="2">
        <v>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16</v>
      </c>
      <c r="D31" s="4">
        <v>8000</v>
      </c>
      <c r="F31" s="2"/>
      <c r="H31" s="11" t="s">
        <v>26</v>
      </c>
      <c r="I31" s="14">
        <v>86</v>
      </c>
      <c r="J31" s="4">
        <v>8600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5</v>
      </c>
      <c r="D38" s="2">
        <v>5000</v>
      </c>
      <c r="F38" s="2"/>
      <c r="H38" s="10" t="s">
        <v>14</v>
      </c>
      <c r="I38" s="13">
        <v>5</v>
      </c>
      <c r="J38" s="2">
        <v>5000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5</v>
      </c>
      <c r="D41" s="4">
        <v>5000</v>
      </c>
      <c r="F41" s="2"/>
      <c r="H41" s="11" t="s">
        <v>26</v>
      </c>
      <c r="I41" s="14">
        <v>5</v>
      </c>
      <c r="J41" s="4">
        <v>5000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327</v>
      </c>
      <c r="D45" s="4">
        <v>5748.66</v>
      </c>
      <c r="F45" s="2"/>
      <c r="H45" s="11" t="s">
        <v>18</v>
      </c>
      <c r="I45" s="14">
        <v>327</v>
      </c>
      <c r="J45" s="4">
        <v>5748.66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40350</v>
      </c>
      <c r="F48" s="2"/>
      <c r="H48" s="18" t="s">
        <v>29</v>
      </c>
      <c r="I48" s="4">
        <v>22170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8550824.2173350696</v>
      </c>
      <c r="D52" s="2">
        <f>C52*25</f>
        <v>213770605.43337673</v>
      </c>
      <c r="F52" s="2"/>
      <c r="H52" s="10" t="s">
        <v>35</v>
      </c>
      <c r="I52" s="13">
        <v>8689133.8699999992</v>
      </c>
      <c r="J52" s="2">
        <f>I52*25</f>
        <v>217228346.74999997</v>
      </c>
      <c r="L52" s="2"/>
    </row>
    <row r="53" spans="2:12" ht="17.45" customHeight="1" thickBot="1" x14ac:dyDescent="0.55000000000000004">
      <c r="B53" s="11" t="s">
        <v>36</v>
      </c>
      <c r="C53" s="17">
        <v>1811490.2398063641</v>
      </c>
      <c r="D53" s="4">
        <f>C53*25</f>
        <v>45287255.995159104</v>
      </c>
      <c r="F53" s="2"/>
      <c r="H53" s="11" t="s">
        <v>36</v>
      </c>
      <c r="I53" s="14">
        <v>608595.14170000004</v>
      </c>
      <c r="J53" s="4">
        <f>I53*25</f>
        <v>15214878.5425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2322446.08372063</v>
      </c>
      <c r="D57" s="2">
        <f>C57*25</f>
        <v>58061152.093015753</v>
      </c>
      <c r="F57" s="2"/>
      <c r="H57" s="10" t="s">
        <v>35</v>
      </c>
      <c r="I57" s="13">
        <v>2360011.6690000002</v>
      </c>
      <c r="J57" s="2">
        <f>I57*25</f>
        <v>59000291.725000009</v>
      </c>
      <c r="L57" s="2"/>
    </row>
    <row r="58" spans="2:12" ht="21.45" customHeight="1" thickBot="1" x14ac:dyDescent="0.55000000000000004">
      <c r="B58" s="11" t="s">
        <v>36</v>
      </c>
      <c r="C58" s="17">
        <v>756514.90288983297</v>
      </c>
      <c r="D58" s="4">
        <f>C58*25</f>
        <v>18912872.572245825</v>
      </c>
      <c r="F58" s="2"/>
      <c r="H58" s="11" t="s">
        <v>36</v>
      </c>
      <c r="I58" s="14">
        <v>310631.36080000002</v>
      </c>
      <c r="J58" s="4">
        <f>I58*25</f>
        <v>7765784.0200000005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363134.26878536399</v>
      </c>
      <c r="F61" s="2"/>
      <c r="H61" s="18" t="s">
        <v>38</v>
      </c>
      <c r="I61" s="4">
        <v>199526.22219999999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0.45882049248698031</v>
      </c>
      <c r="C64" s="41"/>
      <c r="D64" s="3"/>
      <c r="E64" s="3"/>
      <c r="F64" s="4"/>
      <c r="H64" s="40">
        <f>K23/B68</f>
        <v>0.15717295398806727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23755539.53794533</v>
      </c>
      <c r="C68" s="4">
        <f>D107</f>
        <v>593888488.44863331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19157.163470791991</v>
      </c>
      <c r="D74" s="13">
        <v>44700</v>
      </c>
      <c r="E74" s="13">
        <f>C74+D74</f>
        <v>63857.163470791987</v>
      </c>
      <c r="F74" s="2">
        <f>E74*25</f>
        <v>1596429.0867697997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283809.82919691829</v>
      </c>
      <c r="D76" s="13">
        <v>456000</v>
      </c>
      <c r="E76" s="13">
        <f t="shared" si="2"/>
        <v>739809.82919691829</v>
      </c>
      <c r="F76" s="2">
        <f t="shared" si="3"/>
        <v>18495245.729922958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14513803.815789461</v>
      </c>
      <c r="E78" s="13">
        <f>D78</f>
        <v>14513803.815789461</v>
      </c>
      <c r="F78" s="2">
        <f>E78*25</f>
        <v>362845095.39473653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73805.976204742299</v>
      </c>
      <c r="D80" s="13">
        <v>91978.559999999998</v>
      </c>
      <c r="E80" s="13">
        <f>C80+D80</f>
        <v>165784.5362047423</v>
      </c>
      <c r="F80" s="2">
        <f>E80*25</f>
        <v>4144613.4051185576</v>
      </c>
    </row>
    <row r="81" spans="2:6" ht="14.7" thickBot="1" x14ac:dyDescent="0.55000000000000004">
      <c r="B81" s="11" t="s">
        <v>46</v>
      </c>
      <c r="C81" s="14"/>
      <c r="D81" s="14">
        <f>D100*2.0865</f>
        <v>99437438.14306365</v>
      </c>
      <c r="E81" s="14">
        <f>D81</f>
        <v>99437438.14306365</v>
      </c>
      <c r="F81" s="4">
        <f>E81*25</f>
        <v>2485935953.576591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376772.96887245262</v>
      </c>
      <c r="D83" s="14">
        <v>19083979.901512001</v>
      </c>
      <c r="E83" s="14">
        <v>19460752.870384458</v>
      </c>
      <c r="F83" s="4">
        <f>E83*25</f>
        <v>486518821.75961149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3</v>
      </c>
      <c r="D87" s="2">
        <v>300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4</v>
      </c>
      <c r="D89" s="2">
        <v>4000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7</v>
      </c>
      <c r="D91" s="4">
        <v>4300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327</v>
      </c>
      <c r="D95" s="4">
        <v>5748.66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6956052.6315789409</v>
      </c>
      <c r="D99" s="2">
        <f>C99*25</f>
        <v>173901315.78947353</v>
      </c>
      <c r="F99" s="2"/>
    </row>
    <row r="100" spans="2:6" x14ac:dyDescent="0.5">
      <c r="B100" s="10" t="s">
        <v>53</v>
      </c>
      <c r="C100" s="13">
        <v>1906301.234470427</v>
      </c>
      <c r="D100" s="2">
        <f>C100*25</f>
        <v>47657530.861760676</v>
      </c>
      <c r="F100" s="2"/>
    </row>
    <row r="101" spans="2:6" ht="14.7" thickBot="1" x14ac:dyDescent="0.55000000000000004">
      <c r="B101" s="11" t="s">
        <v>26</v>
      </c>
      <c r="C101" s="14">
        <f>C99+C100</f>
        <v>8862353.8660493679</v>
      </c>
      <c r="D101" s="4">
        <f>D99+D100</f>
        <v>221558846.65123421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18645699.07894735</v>
      </c>
      <c r="D105" s="29">
        <f t="shared" si="4"/>
        <v>466142476.97368377</v>
      </c>
      <c r="F105" s="2"/>
    </row>
    <row r="106" spans="2:6" x14ac:dyDescent="0.5">
      <c r="B106" s="10" t="s">
        <v>53</v>
      </c>
      <c r="C106" s="13">
        <f t="shared" si="4"/>
        <v>5109840.4589979798</v>
      </c>
      <c r="D106" s="29">
        <f t="shared" si="4"/>
        <v>127746011.47494948</v>
      </c>
      <c r="F106" s="2"/>
    </row>
    <row r="107" spans="2:6" ht="14.7" thickBot="1" x14ac:dyDescent="0.55000000000000004">
      <c r="B107" s="11" t="s">
        <v>26</v>
      </c>
      <c r="C107" s="14">
        <f t="shared" si="4"/>
        <v>23755539.53794533</v>
      </c>
      <c r="D107" s="30">
        <f t="shared" si="4"/>
        <v>593888488.44863331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291572.0280254542</v>
      </c>
      <c r="D8" s="13">
        <f>29*D27</f>
        <v>8700</v>
      </c>
      <c r="E8" s="13">
        <f>C8+D8</f>
        <v>300272.0280254542</v>
      </c>
      <c r="F8" s="2">
        <f>E8*25</f>
        <v>7506800.7006363552</v>
      </c>
      <c r="H8" s="7" t="s">
        <v>9</v>
      </c>
      <c r="I8" s="16">
        <f>1615 * J27*((0.05*((1.05)^25))/((1.05^25)-1))</f>
        <v>11458.821853825584</v>
      </c>
      <c r="J8" s="13">
        <f>29*J27</f>
        <v>2900</v>
      </c>
      <c r="K8" s="13">
        <f>I8+J8</f>
        <v>14358.821853825584</v>
      </c>
      <c r="L8" s="2">
        <f>K8*25</f>
        <v>358970.54634563962</v>
      </c>
      <c r="N8" s="31"/>
    </row>
    <row r="9" spans="2:14" x14ac:dyDescent="0.5">
      <c r="B9" s="7" t="s">
        <v>10</v>
      </c>
      <c r="C9" s="10">
        <f>13698 * D28*((0.05*((1.05)^25))/((1.05^25)-1))</f>
        <v>971906.76008484734</v>
      </c>
      <c r="D9" s="13">
        <f>29*D28</f>
        <v>29000</v>
      </c>
      <c r="E9" s="13">
        <f>C9+D9</f>
        <v>1000906.7600848473</v>
      </c>
      <c r="F9" s="2">
        <f>E9*25</f>
        <v>25022669.002121184</v>
      </c>
      <c r="H9" s="7" t="s">
        <v>10</v>
      </c>
      <c r="I9" s="16">
        <f t="shared" ref="I9:I11" si="0">1615 * J28*((0.05*((1.05)^25))/((1.05^25)-1))</f>
        <v>171882.32780738376</v>
      </c>
      <c r="J9" s="13">
        <f>29*J28</f>
        <v>43500</v>
      </c>
      <c r="K9" s="13">
        <f>I9+J9</f>
        <v>215382.32780738376</v>
      </c>
      <c r="L9" s="2">
        <f>K9*25</f>
        <v>5384558.195184594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322466.39166398719</v>
      </c>
      <c r="D13" s="13">
        <f>37.35*D38</f>
        <v>37350</v>
      </c>
      <c r="E13" s="13">
        <f>C13+D13</f>
        <v>359816.39166398719</v>
      </c>
      <c r="F13" s="2">
        <f>E13*25</f>
        <v>8995409.7915996797</v>
      </c>
      <c r="H13" s="7" t="s">
        <v>14</v>
      </c>
      <c r="I13" s="16">
        <f>2490 * J38*((0.05*((1.05)^10))/((1.05^10)-1))</f>
        <v>644932.78332797438</v>
      </c>
      <c r="J13" s="13">
        <f>37.35*J38</f>
        <v>74700</v>
      </c>
      <c r="K13" s="13">
        <f>I13+J13</f>
        <v>719632.78332797438</v>
      </c>
      <c r="L13" s="2">
        <f>K13*25</f>
        <v>17990819.583199359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24471.360000000001</v>
      </c>
      <c r="E17" s="14">
        <f>D17+C17</f>
        <v>54038.891751746902</v>
      </c>
      <c r="F17" s="4">
        <f>E17*25</f>
        <v>1350972.2937936725</v>
      </c>
      <c r="H17" s="8" t="s">
        <v>18</v>
      </c>
      <c r="I17" s="17">
        <v>19636.45238474795</v>
      </c>
      <c r="J17" s="14">
        <v>24471.360000000001</v>
      </c>
      <c r="K17" s="14">
        <f>J17+I17</f>
        <v>44107.812384747951</v>
      </c>
      <c r="L17" s="4">
        <f>K17*25</f>
        <v>1102695.3096186987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633354.7406961266</v>
      </c>
      <c r="D19" s="14">
        <v>0</v>
      </c>
      <c r="E19" s="14">
        <f>C19</f>
        <v>633354.7406961266</v>
      </c>
      <c r="F19" s="4">
        <f>E19*25</f>
        <v>15833868.517403165</v>
      </c>
      <c r="H19" s="8"/>
      <c r="I19" s="17">
        <f>I48*300*((0.05*((1.05)^20))/((1.05^20)-1))</f>
        <v>127344.98587162711</v>
      </c>
      <c r="J19" s="14">
        <v>0</v>
      </c>
      <c r="K19" s="14">
        <f>I19</f>
        <v>127344.98587162711</v>
      </c>
      <c r="L19" s="4">
        <f>K19*25</f>
        <v>3183624.6467906777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0</v>
      </c>
      <c r="J21" s="14">
        <f>19*I34</f>
        <v>0</v>
      </c>
      <c r="K21" s="14">
        <f>J21+I21</f>
        <v>0</v>
      </c>
      <c r="L21" s="4">
        <f>K21*25</f>
        <v>0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2249139.1536223902</v>
      </c>
      <c r="D23" s="14">
        <f>D8+D9+D10+D11+D13+D14+D15+D17+D19+D21</f>
        <v>99559.360000000001</v>
      </c>
      <c r="E23" s="14">
        <f>E8+E9+E10+E11+E13+E14+E15+E17+E19+E21</f>
        <v>2348698.5136223901</v>
      </c>
      <c r="F23" s="4">
        <f>E23*25</f>
        <v>58717462.840559751</v>
      </c>
      <c r="H23" s="36"/>
      <c r="I23" s="11">
        <f>I8+I9+I11+I10+I13+I14+I15+I17+I19+I21</f>
        <v>975255.37124555872</v>
      </c>
      <c r="J23" s="14">
        <f>J8+J9+J10+J11+J13+J14+J15+J17+J19+J21</f>
        <v>145571.35999999999</v>
      </c>
      <c r="K23" s="14">
        <f>K8+K9+K10+K11+K13+K14+K15+K17+K19+K21</f>
        <v>1120826.7312455587</v>
      </c>
      <c r="L23" s="4">
        <f>K23*25</f>
        <v>28020668.281138968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3</v>
      </c>
      <c r="D27" s="2">
        <v>300</v>
      </c>
      <c r="F27" s="2"/>
      <c r="H27" s="10" t="s">
        <v>9</v>
      </c>
      <c r="I27" s="13">
        <v>1</v>
      </c>
      <c r="J27" s="2">
        <v>100</v>
      </c>
      <c r="L27" s="2"/>
    </row>
    <row r="28" spans="2:12" x14ac:dyDescent="0.5">
      <c r="B28" s="10" t="s">
        <v>10</v>
      </c>
      <c r="C28" s="13">
        <v>2</v>
      </c>
      <c r="D28" s="2">
        <v>1000</v>
      </c>
      <c r="F28" s="2"/>
      <c r="H28" s="10" t="s">
        <v>10</v>
      </c>
      <c r="I28" s="13">
        <v>3</v>
      </c>
      <c r="J28" s="2">
        <v>1500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5</v>
      </c>
      <c r="D31" s="4">
        <v>1300</v>
      </c>
      <c r="F31" s="2"/>
      <c r="H31" s="11" t="s">
        <v>26</v>
      </c>
      <c r="I31" s="14">
        <v>4</v>
      </c>
      <c r="J31" s="4">
        <v>1600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0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1</v>
      </c>
      <c r="D38" s="2">
        <v>1000</v>
      </c>
      <c r="F38" s="2"/>
      <c r="H38" s="10" t="s">
        <v>14</v>
      </c>
      <c r="I38" s="13">
        <v>2</v>
      </c>
      <c r="J38" s="2">
        <v>2000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1</v>
      </c>
      <c r="D41" s="4">
        <v>1000</v>
      </c>
      <c r="F41" s="2"/>
      <c r="H41" s="11" t="s">
        <v>26</v>
      </c>
      <c r="I41" s="14">
        <v>2</v>
      </c>
      <c r="J41" s="4">
        <v>2000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87</v>
      </c>
      <c r="D45" s="4">
        <v>1529.46</v>
      </c>
      <c r="F45" s="2"/>
      <c r="H45" s="11" t="s">
        <v>18</v>
      </c>
      <c r="I45" s="14">
        <v>87</v>
      </c>
      <c r="J45" s="4">
        <v>1529.46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26310</v>
      </c>
      <c r="F48" s="2"/>
      <c r="H48" s="18" t="s">
        <v>29</v>
      </c>
      <c r="I48" s="4">
        <v>5290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1603757.63063178</v>
      </c>
      <c r="D52" s="2">
        <f>C52*25</f>
        <v>40093940.765794501</v>
      </c>
      <c r="F52" s="2"/>
      <c r="H52" s="10" t="s">
        <v>35</v>
      </c>
      <c r="I52" s="13">
        <v>1986461.54</v>
      </c>
      <c r="J52" s="2">
        <f>I52*25</f>
        <v>49661538.5</v>
      </c>
      <c r="L52" s="2"/>
    </row>
    <row r="53" spans="2:12" ht="17.45" customHeight="1" thickBot="1" x14ac:dyDescent="0.55000000000000004">
      <c r="B53" s="11" t="s">
        <v>36</v>
      </c>
      <c r="C53" s="17">
        <v>1142823.4099170119</v>
      </c>
      <c r="D53" s="4">
        <f>C53*25</f>
        <v>28570585.247925296</v>
      </c>
      <c r="F53" s="2"/>
      <c r="H53" s="11" t="s">
        <v>36</v>
      </c>
      <c r="I53" s="14">
        <v>48096.299415300004</v>
      </c>
      <c r="J53" s="4">
        <f>I53*25</f>
        <v>1202407.4853825001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435588.49227036</v>
      </c>
      <c r="D57" s="2">
        <f>C57*25</f>
        <v>10889712.306759</v>
      </c>
      <c r="F57" s="2"/>
      <c r="H57" s="10" t="s">
        <v>35</v>
      </c>
      <c r="I57" s="13">
        <v>539532.76329999999</v>
      </c>
      <c r="J57" s="2">
        <f>I57*25</f>
        <v>13488319.0825</v>
      </c>
      <c r="L57" s="2"/>
    </row>
    <row r="58" spans="2:12" ht="21.45" customHeight="1" thickBot="1" x14ac:dyDescent="0.55000000000000004">
      <c r="B58" s="11" t="s">
        <v>36</v>
      </c>
      <c r="C58" s="17">
        <v>482872.273007421</v>
      </c>
      <c r="D58" s="4">
        <f>C58*25</f>
        <v>12071806.825185524</v>
      </c>
      <c r="F58" s="2"/>
      <c r="H58" s="11" t="s">
        <v>36</v>
      </c>
      <c r="I58" s="14">
        <v>47742.081322700004</v>
      </c>
      <c r="J58" s="4">
        <f>I58*25</f>
        <v>1193552.0330675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236788.798227575</v>
      </c>
      <c r="F61" s="2"/>
      <c r="H61" s="18" t="s">
        <v>38</v>
      </c>
      <c r="I61" s="4">
        <v>47610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0.72543464332405261</v>
      </c>
      <c r="C64" s="41"/>
      <c r="D64" s="3"/>
      <c r="E64" s="3"/>
      <c r="F64" s="4"/>
      <c r="H64" s="40">
        <f>K23/B68</f>
        <v>0.34618599845544451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3237643.1636353815</v>
      </c>
      <c r="C68" s="4">
        <f>D107</f>
        <v>80941079.090884537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31928.605784653319</v>
      </c>
      <c r="D74" s="13">
        <v>74500</v>
      </c>
      <c r="E74" s="13">
        <f>C74+D74</f>
        <v>106428.60578465332</v>
      </c>
      <c r="F74" s="2">
        <f>E74*25</f>
        <v>2660715.1446163328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1460232.2846434123</v>
      </c>
      <c r="E78" s="13">
        <f>D78</f>
        <v>1460232.2846434123</v>
      </c>
      <c r="F78" s="2">
        <f>E78*25</f>
        <v>36505807.116085306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19636.45238474795</v>
      </c>
      <c r="D80" s="13">
        <v>24471.360000000001</v>
      </c>
      <c r="E80" s="13">
        <f>C80+D80</f>
        <v>44107.812384747951</v>
      </c>
      <c r="F80" s="2">
        <f>E80*25</f>
        <v>1102695.3096186987</v>
      </c>
    </row>
    <row r="81" spans="2:6" ht="14.7" thickBot="1" x14ac:dyDescent="0.55000000000000004">
      <c r="B81" s="11" t="s">
        <v>46</v>
      </c>
      <c r="C81" s="14"/>
      <c r="D81" s="14">
        <f>D100*2.0865</f>
        <v>26498692.612745363</v>
      </c>
      <c r="E81" s="14">
        <f>D81</f>
        <v>26498692.612745363</v>
      </c>
      <c r="F81" s="4">
        <f>E81*25</f>
        <v>662467315.31863403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51565.058169401273</v>
      </c>
      <c r="D83" s="14">
        <v>2619151.3491532272</v>
      </c>
      <c r="E83" s="14">
        <v>2670716.407322628</v>
      </c>
      <c r="F83" s="4">
        <f>E83*25</f>
        <v>66767910.183065698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5</v>
      </c>
      <c r="D87" s="2">
        <v>500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5</v>
      </c>
      <c r="D91" s="4">
        <v>500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87</v>
      </c>
      <c r="D95" s="4">
        <v>1529.46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699847.72808215301</v>
      </c>
      <c r="D99" s="2">
        <f>C99*25</f>
        <v>17496193.202053826</v>
      </c>
      <c r="F99" s="2"/>
    </row>
    <row r="100" spans="2:6" x14ac:dyDescent="0.5">
      <c r="B100" s="10" t="s">
        <v>53</v>
      </c>
      <c r="C100" s="13">
        <v>508002.73400901729</v>
      </c>
      <c r="D100" s="2">
        <f>C100*25</f>
        <v>12700068.350225432</v>
      </c>
      <c r="F100" s="2"/>
    </row>
    <row r="101" spans="2:6" ht="14.7" thickBot="1" x14ac:dyDescent="0.55000000000000004">
      <c r="B101" s="11" t="s">
        <v>26</v>
      </c>
      <c r="C101" s="14">
        <f>C99+C100</f>
        <v>1207850.4620911703</v>
      </c>
      <c r="D101" s="4">
        <f>D99+D100</f>
        <v>30196261.552279256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1875941.8351242112</v>
      </c>
      <c r="D105" s="29">
        <f t="shared" si="4"/>
        <v>46898545.878105283</v>
      </c>
      <c r="F105" s="2"/>
    </row>
    <row r="106" spans="2:6" x14ac:dyDescent="0.5">
      <c r="B106" s="10" t="s">
        <v>53</v>
      </c>
      <c r="C106" s="13">
        <f t="shared" si="4"/>
        <v>1361701.3285111708</v>
      </c>
      <c r="D106" s="29">
        <f t="shared" si="4"/>
        <v>34042533.212779269</v>
      </c>
      <c r="F106" s="2"/>
    </row>
    <row r="107" spans="2:6" ht="14.7" thickBot="1" x14ac:dyDescent="0.55000000000000004">
      <c r="B107" s="11" t="s">
        <v>26</v>
      </c>
      <c r="C107" s="14">
        <f t="shared" si="4"/>
        <v>3237643.1636353815</v>
      </c>
      <c r="D107" s="30">
        <f t="shared" si="4"/>
        <v>80941079.090884537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5345487.1804666603</v>
      </c>
      <c r="D8" s="13">
        <f>29*D27</f>
        <v>159500</v>
      </c>
      <c r="E8" s="13">
        <f>C8+D8</f>
        <v>5504987.1804666603</v>
      </c>
      <c r="F8" s="2">
        <f>E8*25</f>
        <v>137624679.51166651</v>
      </c>
      <c r="H8" s="7" t="s">
        <v>9</v>
      </c>
      <c r="I8" s="16">
        <f>1615 * J27*((0.05*((1.05)^25))/((1.05^25)-1))</f>
        <v>1249011.5820669886</v>
      </c>
      <c r="J8" s="13">
        <f>29*J27</f>
        <v>316100</v>
      </c>
      <c r="K8" s="13">
        <f>I8+J8</f>
        <v>1565111.5820669886</v>
      </c>
      <c r="L8" s="2">
        <f>K8*25</f>
        <v>39127789.551674716</v>
      </c>
      <c r="N8" s="31"/>
    </row>
    <row r="9" spans="2:14" x14ac:dyDescent="0.5">
      <c r="B9" s="7" t="s">
        <v>10</v>
      </c>
      <c r="C9" s="10">
        <f>13698 * D28*((0.05*((1.05)^25))/((1.05^25)-1))</f>
        <v>4859533.8004242368</v>
      </c>
      <c r="D9" s="13">
        <f>29*D28</f>
        <v>145000</v>
      </c>
      <c r="E9" s="13">
        <f>C9+D9</f>
        <v>5004533.8004242368</v>
      </c>
      <c r="F9" s="2">
        <f>E9*25</f>
        <v>125113345.01060592</v>
      </c>
      <c r="H9" s="7" t="s">
        <v>10</v>
      </c>
      <c r="I9" s="16">
        <f t="shared" ref="I9:I11" si="0">1615 * J28*((0.05*((1.05)^25))/((1.05^25)-1))</f>
        <v>0</v>
      </c>
      <c r="J9" s="13">
        <f>29*J28</f>
        <v>0</v>
      </c>
      <c r="K9" s="13">
        <f>I9+J9</f>
        <v>0</v>
      </c>
      <c r="L9" s="2">
        <f>K9*25</f>
        <v>0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3224663.9166398719</v>
      </c>
      <c r="D13" s="13">
        <f>37.35*D38</f>
        <v>373500</v>
      </c>
      <c r="E13" s="13">
        <f>C13+D13</f>
        <v>3598163.9166398719</v>
      </c>
      <c r="F13" s="2">
        <f>E13*25</f>
        <v>89954097.91599679</v>
      </c>
      <c r="H13" s="7" t="s">
        <v>14</v>
      </c>
      <c r="I13" s="16">
        <f>2490 * J38*((0.05*((1.05)^10))/((1.05^10)-1))</f>
        <v>3224663.9166398719</v>
      </c>
      <c r="J13" s="13">
        <f>37.35*J38</f>
        <v>373500</v>
      </c>
      <c r="K13" s="13">
        <f>I13+J13</f>
        <v>3598163.9166398719</v>
      </c>
      <c r="L13" s="2">
        <f>K13*25</f>
        <v>89954097.91599679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135014.39999999999</v>
      </c>
      <c r="E17" s="14">
        <f>D17+C17</f>
        <v>164581.93175174689</v>
      </c>
      <c r="F17" s="4">
        <f>E17*25</f>
        <v>4114548.2937936722</v>
      </c>
      <c r="H17" s="8" t="s">
        <v>18</v>
      </c>
      <c r="I17" s="17">
        <v>108339.0476399887</v>
      </c>
      <c r="J17" s="14">
        <v>135014.39999999999</v>
      </c>
      <c r="K17" s="14">
        <f>J17+I17</f>
        <v>243353.44763998868</v>
      </c>
      <c r="L17" s="4">
        <f>K17*25</f>
        <v>6083836.1909997165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935708.80923065136</v>
      </c>
      <c r="D19" s="14">
        <v>0</v>
      </c>
      <c r="E19" s="14">
        <f>C19</f>
        <v>935708.80923065136</v>
      </c>
      <c r="F19" s="4">
        <f>E19*25</f>
        <v>23392720.230766285</v>
      </c>
      <c r="H19" s="8"/>
      <c r="I19" s="17">
        <f>I48*300*((0.05*((1.05)^20))/((1.05^20)-1))</f>
        <v>676685.73777909984</v>
      </c>
      <c r="J19" s="14">
        <v>0</v>
      </c>
      <c r="K19" s="14">
        <f>I19</f>
        <v>676685.73777909984</v>
      </c>
      <c r="L19" s="4">
        <f>K19*25</f>
        <v>16917143.444477495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0</v>
      </c>
      <c r="J21" s="14">
        <f>19*I34</f>
        <v>0</v>
      </c>
      <c r="K21" s="14">
        <f>J21+I21</f>
        <v>0</v>
      </c>
      <c r="L21" s="4">
        <f>K21*25</f>
        <v>0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14395232.939913394</v>
      </c>
      <c r="D23" s="14">
        <f>D8+D9+D10+D11+D13+D14+D15+D17+D19+D21</f>
        <v>813052.4</v>
      </c>
      <c r="E23" s="14">
        <f>E8+E9+E10+E11+E13+E14+E15+E17+E19+E21</f>
        <v>15208285.339913394</v>
      </c>
      <c r="F23" s="4">
        <f>E23*25</f>
        <v>380207133.49783486</v>
      </c>
      <c r="H23" s="36"/>
      <c r="I23" s="11">
        <f>I8+I9+I11+I10+I13+I14+I15+I17+I19+I21</f>
        <v>5258700.2841259483</v>
      </c>
      <c r="J23" s="14">
        <f>J8+J9+J10+J11+J13+J14+J15+J17+J19+J21</f>
        <v>824614.40000000002</v>
      </c>
      <c r="K23" s="14">
        <f>K8+K9+K10+K11+K13+K14+K15+K17+K19+K21</f>
        <v>6083314.6841259487</v>
      </c>
      <c r="L23" s="4">
        <f>K23*25</f>
        <v>152082867.10314873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55</v>
      </c>
      <c r="D27" s="2">
        <v>5500</v>
      </c>
      <c r="F27" s="2"/>
      <c r="H27" s="10" t="s">
        <v>9</v>
      </c>
      <c r="I27" s="13">
        <v>109</v>
      </c>
      <c r="J27" s="2">
        <v>10900</v>
      </c>
      <c r="L27" s="2"/>
    </row>
    <row r="28" spans="2:12" x14ac:dyDescent="0.5">
      <c r="B28" s="10" t="s">
        <v>10</v>
      </c>
      <c r="C28" s="13">
        <v>10</v>
      </c>
      <c r="D28" s="2">
        <v>5000</v>
      </c>
      <c r="F28" s="2"/>
      <c r="H28" s="10" t="s">
        <v>10</v>
      </c>
      <c r="I28" s="13">
        <v>0</v>
      </c>
      <c r="J28" s="2">
        <v>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65</v>
      </c>
      <c r="D31" s="4">
        <v>10500</v>
      </c>
      <c r="F31" s="2"/>
      <c r="H31" s="11" t="s">
        <v>26</v>
      </c>
      <c r="I31" s="14">
        <v>109</v>
      </c>
      <c r="J31" s="4">
        <v>10900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0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10</v>
      </c>
      <c r="D38" s="2">
        <v>10000</v>
      </c>
      <c r="F38" s="2"/>
      <c r="H38" s="10" t="s">
        <v>14</v>
      </c>
      <c r="I38" s="13">
        <v>10</v>
      </c>
      <c r="J38" s="2">
        <v>10000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10</v>
      </c>
      <c r="D41" s="4">
        <v>10000</v>
      </c>
      <c r="F41" s="2"/>
      <c r="H41" s="11" t="s">
        <v>26</v>
      </c>
      <c r="I41" s="14">
        <v>10</v>
      </c>
      <c r="J41" s="4">
        <v>10000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480</v>
      </c>
      <c r="D45" s="4">
        <v>8438.4</v>
      </c>
      <c r="F45" s="2"/>
      <c r="H45" s="11" t="s">
        <v>18</v>
      </c>
      <c r="I45" s="14">
        <v>480</v>
      </c>
      <c r="J45" s="4">
        <v>8438.4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38870</v>
      </c>
      <c r="F48" s="2"/>
      <c r="H48" s="18" t="s">
        <v>29</v>
      </c>
      <c r="I48" s="4">
        <v>28110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14681589.635007899</v>
      </c>
      <c r="D52" s="2">
        <f>C52*25</f>
        <v>367039740.87519747</v>
      </c>
      <c r="F52" s="2"/>
      <c r="H52" s="10" t="s">
        <v>35</v>
      </c>
      <c r="I52" s="13">
        <v>14048209.09</v>
      </c>
      <c r="J52" s="2">
        <f>I52*25</f>
        <v>351205227.25</v>
      </c>
      <c r="L52" s="2"/>
    </row>
    <row r="53" spans="2:12" ht="17.45" customHeight="1" thickBot="1" x14ac:dyDescent="0.55000000000000004">
      <c r="B53" s="11" t="s">
        <v>36</v>
      </c>
      <c r="C53" s="17">
        <v>869361.69139995193</v>
      </c>
      <c r="D53" s="4">
        <f>C53*25</f>
        <v>21734042.284998797</v>
      </c>
      <c r="F53" s="2"/>
      <c r="H53" s="11" t="s">
        <v>36</v>
      </c>
      <c r="I53" s="14">
        <v>325799.95347000001</v>
      </c>
      <c r="J53" s="4">
        <f>I53*25</f>
        <v>8144998.8367499998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3987592.24654536</v>
      </c>
      <c r="D57" s="2">
        <f>C57*25</f>
        <v>99689806.163634002</v>
      </c>
      <c r="F57" s="2"/>
      <c r="H57" s="10" t="s">
        <v>35</v>
      </c>
      <c r="I57" s="13">
        <v>3815562.9640000002</v>
      </c>
      <c r="J57" s="2">
        <f>I57*25</f>
        <v>95389074.100000009</v>
      </c>
      <c r="L57" s="2"/>
    </row>
    <row r="58" spans="2:12" ht="21.45" customHeight="1" thickBot="1" x14ac:dyDescent="0.55000000000000004">
      <c r="B58" s="11" t="s">
        <v>36</v>
      </c>
      <c r="C58" s="17">
        <v>490774.13284223597</v>
      </c>
      <c r="D58" s="4">
        <f>C58*25</f>
        <v>12269353.321055898</v>
      </c>
      <c r="F58" s="2"/>
      <c r="H58" s="11" t="s">
        <v>36</v>
      </c>
      <c r="I58" s="14">
        <v>272770.10070000001</v>
      </c>
      <c r="J58" s="4">
        <f>I58*25</f>
        <v>6819252.5175000001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349605.89066817198</v>
      </c>
      <c r="F61" s="2"/>
      <c r="H61" s="18" t="s">
        <v>38</v>
      </c>
      <c r="I61" s="4">
        <v>252996.2573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1.1560848160503434</v>
      </c>
      <c r="C64" s="41"/>
      <c r="D64" s="3"/>
      <c r="E64" s="3"/>
      <c r="F64" s="4"/>
      <c r="H64" s="40">
        <f>K23/B68</f>
        <v>0.46243396808953807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13154990.990947438</v>
      </c>
      <c r="C68" s="4">
        <f>D107</f>
        <v>328874774.77368599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6385.7211569306637</v>
      </c>
      <c r="D74" s="13">
        <v>14900</v>
      </c>
      <c r="E74" s="13">
        <f>C74+D74</f>
        <v>21285.721156930664</v>
      </c>
      <c r="F74" s="2">
        <f>E74*25</f>
        <v>532143.02892326657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70952.457299229587</v>
      </c>
      <c r="D76" s="13">
        <v>114000</v>
      </c>
      <c r="E76" s="13">
        <f t="shared" si="2"/>
        <v>184952.45729922957</v>
      </c>
      <c r="F76" s="2">
        <f t="shared" si="3"/>
        <v>4623811.4324807394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3489396.7105263127</v>
      </c>
      <c r="E78" s="13">
        <f>D78</f>
        <v>3489396.7105263127</v>
      </c>
      <c r="F78" s="2">
        <f>E78*25</f>
        <v>87234917.763157815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108339.0476399887</v>
      </c>
      <c r="D80" s="13">
        <v>135014.39999999999</v>
      </c>
      <c r="E80" s="13">
        <f>C80+D80</f>
        <v>243353.44763998868</v>
      </c>
      <c r="F80" s="2">
        <f>E80*25</f>
        <v>6083836.1909997165</v>
      </c>
    </row>
    <row r="81" spans="2:6" ht="14.7" thickBot="1" x14ac:dyDescent="0.55000000000000004">
      <c r="B81" s="11" t="s">
        <v>46</v>
      </c>
      <c r="C81" s="14"/>
      <c r="D81" s="14">
        <f>D100*2.0865</f>
        <v>168761059.69078583</v>
      </c>
      <c r="E81" s="14">
        <f>D81</f>
        <v>168761059.69078583</v>
      </c>
      <c r="F81" s="4">
        <f>E81*25</f>
        <v>4219026492.2696457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185677.22609614901</v>
      </c>
      <c r="D83" s="14">
        <v>10503753.498157751</v>
      </c>
      <c r="E83" s="14">
        <v>10689430.724253889</v>
      </c>
      <c r="F83" s="4">
        <f>E83*25</f>
        <v>267235768.10634723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1</v>
      </c>
      <c r="D87" s="2">
        <v>100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1</v>
      </c>
      <c r="D89" s="2">
        <v>1000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2</v>
      </c>
      <c r="D91" s="4">
        <v>1100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480</v>
      </c>
      <c r="D95" s="4">
        <v>8438.4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1672368.4210526301</v>
      </c>
      <c r="D99" s="2">
        <f>C99*25</f>
        <v>41809210.526315749</v>
      </c>
      <c r="F99" s="2"/>
    </row>
    <row r="100" spans="2:6" x14ac:dyDescent="0.5">
      <c r="B100" s="10" t="s">
        <v>53</v>
      </c>
      <c r="C100" s="13">
        <v>3235294.6981219421</v>
      </c>
      <c r="D100" s="2">
        <f>C100*25</f>
        <v>80882367.453048557</v>
      </c>
      <c r="F100" s="2"/>
    </row>
    <row r="101" spans="2:6" ht="14.7" thickBot="1" x14ac:dyDescent="0.55000000000000004">
      <c r="B101" s="11" t="s">
        <v>26</v>
      </c>
      <c r="C101" s="14">
        <f>C99+C100</f>
        <v>4907663.1191745717</v>
      </c>
      <c r="D101" s="4">
        <f>D99+D100</f>
        <v>122691577.97936431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4482783.5526315747</v>
      </c>
      <c r="D105" s="29">
        <f t="shared" si="4"/>
        <v>112069588.81578936</v>
      </c>
      <c r="F105" s="2"/>
    </row>
    <row r="106" spans="2:6" x14ac:dyDescent="0.5">
      <c r="B106" s="10" t="s">
        <v>53</v>
      </c>
      <c r="C106" s="13">
        <f t="shared" si="4"/>
        <v>8672207.4383158647</v>
      </c>
      <c r="D106" s="29">
        <f t="shared" si="4"/>
        <v>216805185.95789665</v>
      </c>
      <c r="F106" s="2"/>
    </row>
    <row r="107" spans="2:6" ht="14.7" thickBot="1" x14ac:dyDescent="0.55000000000000004">
      <c r="B107" s="11" t="s">
        <v>26</v>
      </c>
      <c r="C107" s="14">
        <f t="shared" si="4"/>
        <v>13154990.990947438</v>
      </c>
      <c r="D107" s="30">
        <f t="shared" si="4"/>
        <v>328874774.77368599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3498864.3363054506</v>
      </c>
      <c r="D8" s="13">
        <f>29*D27</f>
        <v>104400</v>
      </c>
      <c r="E8" s="13">
        <f>C8+D8</f>
        <v>3603264.3363054506</v>
      </c>
      <c r="F8" s="2">
        <f>E8*25</f>
        <v>90081608.40763627</v>
      </c>
      <c r="H8" s="7" t="s">
        <v>9</v>
      </c>
      <c r="I8" s="16">
        <f>1615 * J27*((0.05*((1.05)^25))/((1.05^25)-1))</f>
        <v>252094.08078416286</v>
      </c>
      <c r="J8" s="13">
        <f>29*J27</f>
        <v>63800</v>
      </c>
      <c r="K8" s="13">
        <f>I8+J8</f>
        <v>315894.08078416286</v>
      </c>
      <c r="L8" s="2">
        <f>K8*25</f>
        <v>7897352.019604071</v>
      </c>
      <c r="N8" s="31"/>
    </row>
    <row r="9" spans="2:14" x14ac:dyDescent="0.5">
      <c r="B9" s="7" t="s">
        <v>10</v>
      </c>
      <c r="C9" s="10">
        <f>13698 * D28*((0.05*((1.05)^25))/((1.05^25)-1))</f>
        <v>0</v>
      </c>
      <c r="D9" s="13">
        <f>29*D28</f>
        <v>0</v>
      </c>
      <c r="E9" s="13">
        <f>C9+D9</f>
        <v>0</v>
      </c>
      <c r="F9" s="2">
        <f>E9*25</f>
        <v>0</v>
      </c>
      <c r="H9" s="7" t="s">
        <v>10</v>
      </c>
      <c r="I9" s="16">
        <f t="shared" ref="I9:I11" si="0">1615 * J28*((0.05*((1.05)^25))/((1.05^25)-1))</f>
        <v>229176.43707651168</v>
      </c>
      <c r="J9" s="13">
        <f>29*J28</f>
        <v>58000</v>
      </c>
      <c r="K9" s="13">
        <f>I9+J9</f>
        <v>287176.43707651168</v>
      </c>
      <c r="L9" s="2">
        <f>K9*25</f>
        <v>7179410.926912792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967399.17499196157</v>
      </c>
      <c r="D13" s="13">
        <f>37.35*D38</f>
        <v>112050</v>
      </c>
      <c r="E13" s="13">
        <f>C13+D13</f>
        <v>1079449.1749919616</v>
      </c>
      <c r="F13" s="2">
        <f>E13*25</f>
        <v>26986229.374799039</v>
      </c>
      <c r="H13" s="7" t="s">
        <v>14</v>
      </c>
      <c r="I13" s="16">
        <f>2490 * J38*((0.05*((1.05)^10))/((1.05^10)-1))</f>
        <v>1289865.5666559488</v>
      </c>
      <c r="J13" s="13">
        <f>37.35*J38</f>
        <v>149400</v>
      </c>
      <c r="K13" s="13">
        <f>I13+J13</f>
        <v>1439265.5666559488</v>
      </c>
      <c r="L13" s="2">
        <f>K13*25</f>
        <v>35981639.166398719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66382.079999999987</v>
      </c>
      <c r="E17" s="14">
        <f>D17+C17</f>
        <v>95949.611751746881</v>
      </c>
      <c r="F17" s="4">
        <f>E17*25</f>
        <v>2398740.2937936722</v>
      </c>
      <c r="H17" s="8" t="s">
        <v>18</v>
      </c>
      <c r="I17" s="17">
        <v>53266.698422994428</v>
      </c>
      <c r="J17" s="14">
        <v>66382.079999999987</v>
      </c>
      <c r="K17" s="14">
        <f>J17+I17</f>
        <v>119648.77842299442</v>
      </c>
      <c r="L17" s="4">
        <f>K17*25</f>
        <v>2991219.4605748607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905617.83903414221</v>
      </c>
      <c r="D19" s="14">
        <v>0</v>
      </c>
      <c r="E19" s="14">
        <f>C19</f>
        <v>905617.83903414221</v>
      </c>
      <c r="F19" s="4">
        <f>E19*25</f>
        <v>22640445.975853555</v>
      </c>
      <c r="H19" s="8"/>
      <c r="I19" s="17">
        <f>I48*300*((0.05*((1.05)^20))/((1.05^20)-1))</f>
        <v>216414.25765329448</v>
      </c>
      <c r="J19" s="14">
        <v>0</v>
      </c>
      <c r="K19" s="14">
        <f>I19</f>
        <v>216414.25765329448</v>
      </c>
      <c r="L19" s="4">
        <f>K19*25</f>
        <v>5410356.4413323617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271.70140022768078</v>
      </c>
      <c r="J21" s="14">
        <f>19*I34</f>
        <v>38</v>
      </c>
      <c r="K21" s="14">
        <f>J21+I21</f>
        <v>309.70140022768078</v>
      </c>
      <c r="L21" s="4">
        <f>K21*25</f>
        <v>7742.5350056920197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5401720.5834835293</v>
      </c>
      <c r="D23" s="14">
        <f>D8+D9+D10+D11+D13+D14+D15+D17+D19+D21</f>
        <v>282870.07999999996</v>
      </c>
      <c r="E23" s="14">
        <f>E8+E9+E10+E11+E13+E14+E15+E17+E19+E21</f>
        <v>5684590.6634835294</v>
      </c>
      <c r="F23" s="4">
        <f>E23*25</f>
        <v>142114766.58708823</v>
      </c>
      <c r="H23" s="36"/>
      <c r="I23" s="11">
        <f>I8+I9+I11+I10+I13+I14+I15+I17+I19+I21</f>
        <v>2041088.7419931397</v>
      </c>
      <c r="J23" s="14">
        <f>J8+J9+J10+J11+J13+J14+J15+J17+J19+J21</f>
        <v>337620.07999999996</v>
      </c>
      <c r="K23" s="14">
        <f>K8+K9+K10+K11+K13+K14+K15+K17+K19+K21</f>
        <v>2378708.82199314</v>
      </c>
      <c r="L23" s="4">
        <f>K23*25</f>
        <v>59467720.5498285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36</v>
      </c>
      <c r="D27" s="2">
        <v>3600</v>
      </c>
      <c r="F27" s="2"/>
      <c r="H27" s="10" t="s">
        <v>9</v>
      </c>
      <c r="I27" s="13">
        <v>22</v>
      </c>
      <c r="J27" s="2">
        <v>2200</v>
      </c>
      <c r="L27" s="2"/>
    </row>
    <row r="28" spans="2:12" x14ac:dyDescent="0.5">
      <c r="B28" s="10" t="s">
        <v>10</v>
      </c>
      <c r="C28" s="13">
        <v>0</v>
      </c>
      <c r="D28" s="2">
        <v>0</v>
      </c>
      <c r="F28" s="2"/>
      <c r="H28" s="10" t="s">
        <v>10</v>
      </c>
      <c r="I28" s="13">
        <v>4</v>
      </c>
      <c r="J28" s="2">
        <v>2000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36</v>
      </c>
      <c r="D31" s="4">
        <v>3600</v>
      </c>
      <c r="F31" s="2"/>
      <c r="H31" s="11" t="s">
        <v>26</v>
      </c>
      <c r="I31" s="14">
        <v>26</v>
      </c>
      <c r="J31" s="4">
        <v>4200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3</v>
      </c>
      <c r="D38" s="2">
        <v>3000</v>
      </c>
      <c r="F38" s="2"/>
      <c r="H38" s="10" t="s">
        <v>14</v>
      </c>
      <c r="I38" s="13">
        <v>4</v>
      </c>
      <c r="J38" s="2">
        <v>4000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3</v>
      </c>
      <c r="D41" s="4">
        <v>3000</v>
      </c>
      <c r="F41" s="2"/>
      <c r="H41" s="11" t="s">
        <v>26</v>
      </c>
      <c r="I41" s="14">
        <v>4</v>
      </c>
      <c r="J41" s="4">
        <v>4000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236</v>
      </c>
      <c r="D45" s="4">
        <v>4148.8799999999992</v>
      </c>
      <c r="F45" s="2"/>
      <c r="H45" s="11" t="s">
        <v>18</v>
      </c>
      <c r="I45" s="14">
        <v>236</v>
      </c>
      <c r="J45" s="4">
        <v>4148.8799999999992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37620</v>
      </c>
      <c r="F48" s="2"/>
      <c r="H48" s="18" t="s">
        <v>29</v>
      </c>
      <c r="I48" s="4">
        <v>8990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3752484.4241098198</v>
      </c>
      <c r="D52" s="2">
        <f>C52*25</f>
        <v>93812110.602745488</v>
      </c>
      <c r="F52" s="2"/>
      <c r="H52" s="10" t="s">
        <v>35</v>
      </c>
      <c r="I52" s="13">
        <v>5259403.33</v>
      </c>
      <c r="J52" s="2">
        <f>I52*25</f>
        <v>131485083.25</v>
      </c>
      <c r="L52" s="2"/>
    </row>
    <row r="53" spans="2:12" ht="17.45" customHeight="1" thickBot="1" x14ac:dyDescent="0.55000000000000004">
      <c r="B53" s="11" t="s">
        <v>36</v>
      </c>
      <c r="C53" s="17">
        <v>1640328.012480106</v>
      </c>
      <c r="D53" s="4">
        <f>C53*25</f>
        <v>41008200.312002651</v>
      </c>
      <c r="F53" s="2"/>
      <c r="H53" s="11" t="s">
        <v>36</v>
      </c>
      <c r="I53" s="14">
        <v>82920.238268000001</v>
      </c>
      <c r="J53" s="4">
        <f>I53*25</f>
        <v>2073005.9567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1019193.3003755</v>
      </c>
      <c r="D57" s="2">
        <f>C57*25</f>
        <v>25479832.509387501</v>
      </c>
      <c r="F57" s="2"/>
      <c r="H57" s="10" t="s">
        <v>35</v>
      </c>
      <c r="I57" s="13">
        <v>1428479.916</v>
      </c>
      <c r="J57" s="2">
        <f>I57*25</f>
        <v>35711997.899999999</v>
      </c>
      <c r="L57" s="2"/>
    </row>
    <row r="58" spans="2:12" ht="21.45" customHeight="1" thickBot="1" x14ac:dyDescent="0.55000000000000004">
      <c r="B58" s="11" t="s">
        <v>36</v>
      </c>
      <c r="C58" s="17">
        <v>692137.75921116094</v>
      </c>
      <c r="D58" s="4">
        <f>C58*25</f>
        <v>17303443.980279025</v>
      </c>
      <c r="F58" s="2"/>
      <c r="H58" s="11" t="s">
        <v>36</v>
      </c>
      <c r="I58" s="14">
        <v>81436.323973999999</v>
      </c>
      <c r="J58" s="4">
        <f>I58*25</f>
        <v>2035908.09935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338575.29189053603</v>
      </c>
      <c r="F61" s="2"/>
      <c r="H61" s="18" t="s">
        <v>38</v>
      </c>
      <c r="I61" s="4">
        <v>80883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0.85409602794632744</v>
      </c>
      <c r="C64" s="41"/>
      <c r="D64" s="3"/>
      <c r="E64" s="3"/>
      <c r="F64" s="4"/>
      <c r="H64" s="40">
        <f>K23/B68</f>
        <v>0.35739525970727182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6655680.9509489452</v>
      </c>
      <c r="C68" s="4">
        <f>D107</f>
        <v>166392023.77372363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12771.442313861329</v>
      </c>
      <c r="D74" s="13">
        <v>29800</v>
      </c>
      <c r="E74" s="13">
        <f>C74+D74</f>
        <v>42571.442313861327</v>
      </c>
      <c r="F74" s="2">
        <f>E74*25</f>
        <v>1064286.0578465331</v>
      </c>
    </row>
    <row r="75" spans="2:12" x14ac:dyDescent="0.5">
      <c r="B75" s="10" t="s">
        <v>10</v>
      </c>
      <c r="C75" s="13">
        <v>31928.605784653319</v>
      </c>
      <c r="D75" s="13">
        <v>74500</v>
      </c>
      <c r="E75" s="13">
        <f t="shared" ref="E75:E77" si="2">C75+D75</f>
        <v>106428.60578465332</v>
      </c>
      <c r="F75" s="2">
        <f t="shared" ref="F75:F77" si="3">E75*25</f>
        <v>2660715.1446163328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2366268.140129996</v>
      </c>
      <c r="E78" s="13">
        <f>D78</f>
        <v>2366268.140129996</v>
      </c>
      <c r="F78" s="2">
        <f>E78*25</f>
        <v>59156703.503249899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53266.698422994428</v>
      </c>
      <c r="D80" s="13">
        <v>66382.079999999987</v>
      </c>
      <c r="E80" s="13">
        <f>C80+D80</f>
        <v>119648.77842299442</v>
      </c>
      <c r="F80" s="2">
        <f>E80*25</f>
        <v>2991219.4605748607</v>
      </c>
    </row>
    <row r="81" spans="2:6" ht="14.7" thickBot="1" x14ac:dyDescent="0.55000000000000004">
      <c r="B81" s="11" t="s">
        <v>46</v>
      </c>
      <c r="C81" s="14"/>
      <c r="D81" s="14">
        <f>D100*2.0865</f>
        <v>70362773.312222704</v>
      </c>
      <c r="E81" s="14">
        <f>D81</f>
        <v>70362773.312222704</v>
      </c>
      <c r="F81" s="4">
        <f>E81*25</f>
        <v>1759069332.8055675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97966.746521509078</v>
      </c>
      <c r="D83" s="14">
        <v>5351461.1526189037</v>
      </c>
      <c r="E83" s="14">
        <v>5449427.8991404129</v>
      </c>
      <c r="F83" s="4">
        <f>E83*25</f>
        <v>136235697.47851032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2</v>
      </c>
      <c r="D87" s="2">
        <v>200</v>
      </c>
      <c r="F87" s="2"/>
    </row>
    <row r="88" spans="2:6" x14ac:dyDescent="0.5">
      <c r="B88" s="10" t="s">
        <v>10</v>
      </c>
      <c r="C88" s="13">
        <v>1</v>
      </c>
      <c r="D88" s="2">
        <v>500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3</v>
      </c>
      <c r="D91" s="4">
        <v>700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236</v>
      </c>
      <c r="D95" s="4">
        <v>4148.8799999999992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1134084.8982171081</v>
      </c>
      <c r="D99" s="2">
        <f>C99*25</f>
        <v>28352122.455427703</v>
      </c>
      <c r="F99" s="2"/>
    </row>
    <row r="100" spans="2:6" x14ac:dyDescent="0.5">
      <c r="B100" s="10" t="s">
        <v>53</v>
      </c>
      <c r="C100" s="13">
        <v>1348914.8969513101</v>
      </c>
      <c r="D100" s="2">
        <f>C100*25</f>
        <v>33722872.423782751</v>
      </c>
      <c r="F100" s="2"/>
    </row>
    <row r="101" spans="2:6" ht="14.7" thickBot="1" x14ac:dyDescent="0.55000000000000004">
      <c r="B101" s="11" t="s">
        <v>26</v>
      </c>
      <c r="C101" s="14">
        <f>C99+C100</f>
        <v>2482999.7951684184</v>
      </c>
      <c r="D101" s="4">
        <f>D99+D100</f>
        <v>62074994.879210457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3039914.569670958</v>
      </c>
      <c r="D105" s="29">
        <f t="shared" si="4"/>
        <v>75997864.241773948</v>
      </c>
      <c r="F105" s="2"/>
    </row>
    <row r="106" spans="2:6" x14ac:dyDescent="0.5">
      <c r="B106" s="10" t="s">
        <v>53</v>
      </c>
      <c r="C106" s="13">
        <f t="shared" si="4"/>
        <v>3615766.3812779868</v>
      </c>
      <c r="D106" s="29">
        <f t="shared" si="4"/>
        <v>90394159.531949654</v>
      </c>
      <c r="F106" s="2"/>
    </row>
    <row r="107" spans="2:6" ht="14.7" thickBot="1" x14ac:dyDescent="0.55000000000000004">
      <c r="B107" s="11" t="s">
        <v>26</v>
      </c>
      <c r="C107" s="14">
        <f t="shared" si="4"/>
        <v>6655680.9509489452</v>
      </c>
      <c r="D107" s="30">
        <f t="shared" si="4"/>
        <v>166392023.77372363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388762.70403393894</v>
      </c>
      <c r="D8" s="13">
        <f>29*D27</f>
        <v>11600</v>
      </c>
      <c r="E8" s="13">
        <f>C8+D8</f>
        <v>400362.70403393894</v>
      </c>
      <c r="F8" s="2">
        <f>E8*25</f>
        <v>10009067.600848474</v>
      </c>
      <c r="H8" s="7" t="s">
        <v>9</v>
      </c>
      <c r="I8" s="16">
        <f>1615 * J27*((0.05*((1.05)^25))/((1.05^25)-1))</f>
        <v>0</v>
      </c>
      <c r="J8" s="13">
        <f>29*J27</f>
        <v>0</v>
      </c>
      <c r="K8" s="13">
        <f>I8+J8</f>
        <v>0</v>
      </c>
      <c r="L8" s="2">
        <f>K8*25</f>
        <v>0</v>
      </c>
      <c r="N8" s="31"/>
    </row>
    <row r="9" spans="2:14" x14ac:dyDescent="0.5">
      <c r="B9" s="7" t="s">
        <v>10</v>
      </c>
      <c r="C9" s="10">
        <f>13698 * D28*((0.05*((1.05)^25))/((1.05^25)-1))</f>
        <v>3887627.0403393894</v>
      </c>
      <c r="D9" s="13">
        <f>29*D28</f>
        <v>116000</v>
      </c>
      <c r="E9" s="13">
        <f>C9+D9</f>
        <v>4003627.0403393894</v>
      </c>
      <c r="F9" s="2">
        <f>E9*25</f>
        <v>100090676.00848474</v>
      </c>
      <c r="H9" s="7" t="s">
        <v>10</v>
      </c>
      <c r="I9" s="16">
        <f t="shared" ref="I9:I11" si="0">1615 * J28*((0.05*((1.05)^25))/((1.05^25)-1))</f>
        <v>515646.9834221513</v>
      </c>
      <c r="J9" s="13">
        <f>29*J28</f>
        <v>130500</v>
      </c>
      <c r="K9" s="13">
        <f>I9+J9</f>
        <v>646146.9834221513</v>
      </c>
      <c r="L9" s="2">
        <f>K9*25</f>
        <v>16153674.585553782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1289865.5666559488</v>
      </c>
      <c r="D13" s="13">
        <f>37.35*D38</f>
        <v>149400</v>
      </c>
      <c r="E13" s="13">
        <f>C13+D13</f>
        <v>1439265.5666559488</v>
      </c>
      <c r="F13" s="2">
        <f>E13*25</f>
        <v>35981639.166398719</v>
      </c>
      <c r="H13" s="7" t="s">
        <v>14</v>
      </c>
      <c r="I13" s="16">
        <f>2490 * J38*((0.05*((1.05)^10))/((1.05^10)-1))</f>
        <v>1289865.5666559488</v>
      </c>
      <c r="J13" s="13">
        <f>37.35*J38</f>
        <v>149400</v>
      </c>
      <c r="K13" s="13">
        <f>I13+J13</f>
        <v>1439265.5666559488</v>
      </c>
      <c r="L13" s="2">
        <f>K13*25</f>
        <v>35981639.166398719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84946.559999999998</v>
      </c>
      <c r="E17" s="14">
        <f>D17+C17</f>
        <v>114514.09175174689</v>
      </c>
      <c r="F17" s="4">
        <f>E17*25</f>
        <v>2862852.2937936722</v>
      </c>
      <c r="H17" s="8" t="s">
        <v>18</v>
      </c>
      <c r="I17" s="17">
        <v>68163.317473492891</v>
      </c>
      <c r="J17" s="14">
        <v>84946.559999999998</v>
      </c>
      <c r="K17" s="14">
        <f>J17+I17</f>
        <v>153109.87747349287</v>
      </c>
      <c r="L17" s="4">
        <f>K17*25</f>
        <v>3827746.9368373221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440291.07591532322</v>
      </c>
      <c r="D19" s="14">
        <v>0</v>
      </c>
      <c r="E19" s="14">
        <f>C19</f>
        <v>440291.07591532322</v>
      </c>
      <c r="F19" s="4">
        <f>E19*25</f>
        <v>11007276.89788308</v>
      </c>
      <c r="H19" s="8"/>
      <c r="I19" s="17">
        <f>I48*300*((0.05*((1.05)^20))/((1.05^20)-1))</f>
        <v>373368.7581982867</v>
      </c>
      <c r="J19" s="14">
        <v>0</v>
      </c>
      <c r="K19" s="14">
        <f>I19</f>
        <v>373368.7581982867</v>
      </c>
      <c r="L19" s="4">
        <f>K19*25</f>
        <v>9334218.9549571667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0</v>
      </c>
      <c r="D21" s="14">
        <f>19*C34</f>
        <v>0</v>
      </c>
      <c r="E21" s="14">
        <f>D21+C21</f>
        <v>0</v>
      </c>
      <c r="F21" s="4">
        <f>E21*25</f>
        <v>0</v>
      </c>
      <c r="H21" s="7"/>
      <c r="I21" s="11">
        <f>1693 * I34*((0.05*((1.05)^20))/((1.05^20)-1))</f>
        <v>271.70140022768078</v>
      </c>
      <c r="J21" s="14">
        <f>19*I34</f>
        <v>38</v>
      </c>
      <c r="K21" s="14">
        <f>J21+I21</f>
        <v>309.70140022768078</v>
      </c>
      <c r="L21" s="4">
        <f>K21*25</f>
        <v>7742.5350056920197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6036113.9186963476</v>
      </c>
      <c r="D23" s="14">
        <f>D8+D9+D10+D11+D13+D14+D15+D17+D19+D21</f>
        <v>361946.56</v>
      </c>
      <c r="E23" s="14">
        <f>E8+E9+E10+E11+E13+E14+E15+E17+E19+E21</f>
        <v>6398060.4786963472</v>
      </c>
      <c r="F23" s="4">
        <f>E23*25</f>
        <v>159951511.96740869</v>
      </c>
      <c r="H23" s="36"/>
      <c r="I23" s="11">
        <f>I8+I9+I11+I10+I13+I14+I15+I17+I19+I21</f>
        <v>2247316.3271501074</v>
      </c>
      <c r="J23" s="14">
        <f>J8+J9+J10+J11+J13+J14+J15+J17+J19+J21</f>
        <v>364884.56</v>
      </c>
      <c r="K23" s="14">
        <f>K8+K9+K10+K11+K13+K14+K15+K17+K19+K21</f>
        <v>2612200.8871501074</v>
      </c>
      <c r="L23" s="4">
        <f>K23*25</f>
        <v>65305022.178752683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4</v>
      </c>
      <c r="D27" s="2">
        <v>400</v>
      </c>
      <c r="F27" s="2"/>
      <c r="H27" s="10" t="s">
        <v>9</v>
      </c>
      <c r="I27" s="13">
        <v>0</v>
      </c>
      <c r="J27" s="2">
        <v>0</v>
      </c>
      <c r="L27" s="2"/>
    </row>
    <row r="28" spans="2:12" x14ac:dyDescent="0.5">
      <c r="B28" s="10" t="s">
        <v>10</v>
      </c>
      <c r="C28" s="13">
        <v>8</v>
      </c>
      <c r="D28" s="2">
        <v>4000</v>
      </c>
      <c r="F28" s="2"/>
      <c r="H28" s="10" t="s">
        <v>10</v>
      </c>
      <c r="I28" s="13">
        <v>9</v>
      </c>
      <c r="J28" s="2">
        <v>4500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12</v>
      </c>
      <c r="D31" s="4">
        <v>4400</v>
      </c>
      <c r="F31" s="2"/>
      <c r="H31" s="11" t="s">
        <v>26</v>
      </c>
      <c r="I31" s="14">
        <v>9</v>
      </c>
      <c r="J31" s="4">
        <v>4500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0</v>
      </c>
      <c r="F34" s="2"/>
      <c r="H34" s="18" t="s">
        <v>25</v>
      </c>
      <c r="I34" s="4">
        <v>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4</v>
      </c>
      <c r="D38" s="2">
        <v>4000</v>
      </c>
      <c r="F38" s="2"/>
      <c r="H38" s="10" t="s">
        <v>14</v>
      </c>
      <c r="I38" s="13">
        <v>4</v>
      </c>
      <c r="J38" s="2">
        <v>4000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4</v>
      </c>
      <c r="D41" s="4">
        <v>4000</v>
      </c>
      <c r="F41" s="2"/>
      <c r="H41" s="11" t="s">
        <v>26</v>
      </c>
      <c r="I41" s="14">
        <v>4</v>
      </c>
      <c r="J41" s="4">
        <v>4000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302</v>
      </c>
      <c r="D45" s="4">
        <v>5309.16</v>
      </c>
      <c r="F45" s="2"/>
      <c r="H45" s="11" t="s">
        <v>18</v>
      </c>
      <c r="I45" s="14">
        <v>302</v>
      </c>
      <c r="J45" s="4">
        <v>5309.16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18290</v>
      </c>
      <c r="F48" s="2"/>
      <c r="H48" s="18" t="s">
        <v>29</v>
      </c>
      <c r="I48" s="4">
        <v>15510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4689299.5556622203</v>
      </c>
      <c r="D52" s="2">
        <f>C52*25</f>
        <v>117232488.8915555</v>
      </c>
      <c r="F52" s="2"/>
      <c r="H52" s="10" t="s">
        <v>35</v>
      </c>
      <c r="I52" s="13">
        <v>5807090.9500000002</v>
      </c>
      <c r="J52" s="2">
        <f>I52*25</f>
        <v>145177273.75</v>
      </c>
      <c r="L52" s="2"/>
    </row>
    <row r="53" spans="2:12" ht="17.45" customHeight="1" thickBot="1" x14ac:dyDescent="0.55000000000000004">
      <c r="B53" s="11" t="s">
        <v>36</v>
      </c>
      <c r="C53" s="17">
        <v>380192.37368612504</v>
      </c>
      <c r="D53" s="4">
        <f>C53*25</f>
        <v>9504809.3421531264</v>
      </c>
      <c r="F53" s="2"/>
      <c r="H53" s="11" t="s">
        <v>36</v>
      </c>
      <c r="I53" s="14">
        <v>255427.3774</v>
      </c>
      <c r="J53" s="4">
        <f>I53*25</f>
        <v>6385684.4349999996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1273636.9163527</v>
      </c>
      <c r="D57" s="2">
        <f>C57*25</f>
        <v>31840922.9088175</v>
      </c>
      <c r="F57" s="2"/>
      <c r="H57" s="10" t="s">
        <v>35</v>
      </c>
      <c r="I57" s="13">
        <v>1577234.5789999999</v>
      </c>
      <c r="J57" s="2">
        <f>I57*25</f>
        <v>39430864.474999994</v>
      </c>
      <c r="L57" s="2"/>
    </row>
    <row r="58" spans="2:12" ht="21.45" customHeight="1" thickBot="1" x14ac:dyDescent="0.55000000000000004">
      <c r="B58" s="11" t="s">
        <v>36</v>
      </c>
      <c r="C58" s="17">
        <v>223146.0277543437</v>
      </c>
      <c r="D58" s="4">
        <f>C58*25</f>
        <v>5578650.6938585928</v>
      </c>
      <c r="F58" s="2"/>
      <c r="H58" s="11" t="s">
        <v>36</v>
      </c>
      <c r="I58" s="14">
        <v>171052.00373</v>
      </c>
      <c r="J58" s="4">
        <f>I58*25</f>
        <v>4276300.0932499999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164586.37333910301</v>
      </c>
      <c r="F61" s="2"/>
      <c r="H61" s="18" t="s">
        <v>38</v>
      </c>
      <c r="I61" s="4">
        <v>139590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0.93124032075324226</v>
      </c>
      <c r="C64" s="41"/>
      <c r="D64" s="3"/>
      <c r="E64" s="3"/>
      <c r="F64" s="4"/>
      <c r="H64" s="40">
        <f>K23/B68</f>
        <v>0.38020690803429663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6870471.924498735</v>
      </c>
      <c r="C68" s="4">
        <f>D107</f>
        <v>171761798.11246839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38314.326941583982</v>
      </c>
      <c r="D74" s="13">
        <v>89400</v>
      </c>
      <c r="E74" s="13">
        <f>C74+D74</f>
        <v>127714.32694158397</v>
      </c>
      <c r="F74" s="2">
        <f>E74*25</f>
        <v>3192858.1735395994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1923972.6315789486</v>
      </c>
      <c r="E78" s="13">
        <f>D78</f>
        <v>1923972.6315789486</v>
      </c>
      <c r="F78" s="2">
        <f>E78*25</f>
        <v>48099315.789473712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68163.317473492891</v>
      </c>
      <c r="D80" s="13">
        <v>84946.559999999998</v>
      </c>
      <c r="E80" s="13">
        <f>C80+D80</f>
        <v>153109.87747349287</v>
      </c>
      <c r="F80" s="2">
        <f>E80*25</f>
        <v>3827746.9368373221</v>
      </c>
    </row>
    <row r="81" spans="2:6" ht="14.7" thickBot="1" x14ac:dyDescent="0.55000000000000004">
      <c r="B81" s="11" t="s">
        <v>46</v>
      </c>
      <c r="C81" s="14"/>
      <c r="D81" s="14">
        <f>D100*2.0865</f>
        <v>85599990.967349753</v>
      </c>
      <c r="E81" s="14">
        <f>D81</f>
        <v>85599990.967349753</v>
      </c>
      <c r="F81" s="4">
        <f>E81*25</f>
        <v>2139999774.1837437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106477.64441507689</v>
      </c>
      <c r="D83" s="14">
        <v>5522318.8302729381</v>
      </c>
      <c r="E83" s="14">
        <v>5628796.4746880149</v>
      </c>
      <c r="F83" s="4">
        <f>E83*25</f>
        <v>140719911.86720037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6</v>
      </c>
      <c r="D87" s="2">
        <v>600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6</v>
      </c>
      <c r="D91" s="4">
        <v>600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302</v>
      </c>
      <c r="D95" s="4">
        <v>5309.16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922105.2631578953</v>
      </c>
      <c r="D99" s="2">
        <f>C99*25</f>
        <v>23052631.578947384</v>
      </c>
      <c r="F99" s="2"/>
    </row>
    <row r="100" spans="2:6" x14ac:dyDescent="0.5">
      <c r="B100" s="10" t="s">
        <v>53</v>
      </c>
      <c r="C100" s="13">
        <v>1641025.4678619651</v>
      </c>
      <c r="D100" s="2">
        <f>C100*25</f>
        <v>41025636.696549125</v>
      </c>
      <c r="F100" s="2"/>
    </row>
    <row r="101" spans="2:6" ht="14.7" thickBot="1" x14ac:dyDescent="0.55000000000000004">
      <c r="B101" s="11" t="s">
        <v>26</v>
      </c>
      <c r="C101" s="14">
        <f>C99+C100</f>
        <v>2563130.7310198601</v>
      </c>
      <c r="D101" s="4">
        <f>D99+D100</f>
        <v>64078268.275496513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2471703.157894738</v>
      </c>
      <c r="D105" s="29">
        <f t="shared" si="4"/>
        <v>61792578.947368458</v>
      </c>
      <c r="F105" s="2"/>
    </row>
    <row r="106" spans="2:6" x14ac:dyDescent="0.5">
      <c r="B106" s="10" t="s">
        <v>53</v>
      </c>
      <c r="C106" s="13">
        <f t="shared" si="4"/>
        <v>4398768.766603997</v>
      </c>
      <c r="D106" s="29">
        <f t="shared" si="4"/>
        <v>109969219.16509992</v>
      </c>
      <c r="F106" s="2"/>
    </row>
    <row r="107" spans="2:6" ht="14.7" thickBot="1" x14ac:dyDescent="0.55000000000000004">
      <c r="B107" s="11" t="s">
        <v>26</v>
      </c>
      <c r="C107" s="14">
        <f t="shared" si="4"/>
        <v>6870471.924498735</v>
      </c>
      <c r="D107" s="30">
        <f t="shared" si="4"/>
        <v>171761798.11246839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485953.38004242367</v>
      </c>
      <c r="D8" s="13">
        <f>29*D27</f>
        <v>14500</v>
      </c>
      <c r="E8" s="13">
        <f>C8+D8</f>
        <v>500453.38004242367</v>
      </c>
      <c r="F8" s="2">
        <f>E8*25</f>
        <v>12511334.501060592</v>
      </c>
      <c r="H8" s="7" t="s">
        <v>9</v>
      </c>
      <c r="I8" s="16">
        <f>1615 * J27*((0.05*((1.05)^25))/((1.05^25)-1))</f>
        <v>11458.821853825584</v>
      </c>
      <c r="J8" s="13">
        <f>29*J27</f>
        <v>2900</v>
      </c>
      <c r="K8" s="13">
        <f>I8+J8</f>
        <v>14358.821853825584</v>
      </c>
      <c r="L8" s="2">
        <f>K8*25</f>
        <v>358970.54634563962</v>
      </c>
      <c r="N8" s="31"/>
    </row>
    <row r="9" spans="2:14" x14ac:dyDescent="0.5">
      <c r="B9" s="7" t="s">
        <v>10</v>
      </c>
      <c r="C9" s="10">
        <f>13698 * D28*((0.05*((1.05)^25))/((1.05^25)-1))</f>
        <v>3887627.0403393894</v>
      </c>
      <c r="D9" s="13">
        <f>29*D28</f>
        <v>116000</v>
      </c>
      <c r="E9" s="13">
        <f>C9+D9</f>
        <v>4003627.0403393894</v>
      </c>
      <c r="F9" s="2">
        <f>E9*25</f>
        <v>100090676.00848474</v>
      </c>
      <c r="H9" s="7" t="s">
        <v>10</v>
      </c>
      <c r="I9" s="16">
        <f t="shared" ref="I9:I11" si="0">1615 * J28*((0.05*((1.05)^25))/((1.05^25)-1))</f>
        <v>515646.9834221513</v>
      </c>
      <c r="J9" s="13">
        <f>29*J28</f>
        <v>130500</v>
      </c>
      <c r="K9" s="13">
        <f>I9+J9</f>
        <v>646146.9834221513</v>
      </c>
      <c r="L9" s="2">
        <f>K9*25</f>
        <v>16153674.585553782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1289865.5666559488</v>
      </c>
      <c r="D13" s="13">
        <f>37.35*D38</f>
        <v>149400</v>
      </c>
      <c r="E13" s="13">
        <f>C13+D13</f>
        <v>1439265.5666559488</v>
      </c>
      <c r="F13" s="2">
        <f>E13*25</f>
        <v>35981639.166398719</v>
      </c>
      <c r="H13" s="7" t="s">
        <v>14</v>
      </c>
      <c r="I13" s="16">
        <f>2490 * J38*((0.05*((1.05)^10))/((1.05^10)-1))</f>
        <v>1289865.5666559488</v>
      </c>
      <c r="J13" s="13">
        <f>37.35*J38</f>
        <v>149400</v>
      </c>
      <c r="K13" s="13">
        <f>I13+J13</f>
        <v>1439265.5666559488</v>
      </c>
      <c r="L13" s="2">
        <f>K13*25</f>
        <v>35981639.166398719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71163.839999999997</v>
      </c>
      <c r="E17" s="14">
        <f>D17+C17</f>
        <v>100731.37175174689</v>
      </c>
      <c r="F17" s="4">
        <f>E17*25</f>
        <v>2518284.2937936722</v>
      </c>
      <c r="H17" s="8" t="s">
        <v>18</v>
      </c>
      <c r="I17" s="17">
        <v>57103.706360244039</v>
      </c>
      <c r="J17" s="14">
        <v>71163.839999999997</v>
      </c>
      <c r="K17" s="14">
        <f>J17+I17</f>
        <v>128267.54636024404</v>
      </c>
      <c r="L17" s="4">
        <f>K17*25</f>
        <v>3206688.6590061011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432587.78754501685</v>
      </c>
      <c r="D19" s="14">
        <v>0</v>
      </c>
      <c r="E19" s="14">
        <f>C19</f>
        <v>432587.78754501685</v>
      </c>
      <c r="F19" s="4">
        <f>E19*25</f>
        <v>10814694.688625421</v>
      </c>
      <c r="H19" s="8"/>
      <c r="I19" s="17">
        <f>I48*300*((0.05*((1.05)^20))/((1.05^20)-1))</f>
        <v>384923.69075374625</v>
      </c>
      <c r="J19" s="14">
        <v>0</v>
      </c>
      <c r="K19" s="14">
        <f>I19</f>
        <v>384923.69075374625</v>
      </c>
      <c r="L19" s="4">
        <f>K19*25</f>
        <v>9623092.2688436564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0</v>
      </c>
      <c r="D21" s="14">
        <f>19*C34</f>
        <v>0</v>
      </c>
      <c r="E21" s="14">
        <f>D21+C21</f>
        <v>0</v>
      </c>
      <c r="F21" s="4">
        <f>E21*25</f>
        <v>0</v>
      </c>
      <c r="H21" s="7"/>
      <c r="I21" s="11">
        <f>1693 * I34*((0.05*((1.05)^20))/((1.05^20)-1))</f>
        <v>271.70140022768078</v>
      </c>
      <c r="J21" s="14">
        <f>19*I34</f>
        <v>38</v>
      </c>
      <c r="K21" s="14">
        <f>J21+I21</f>
        <v>309.70140022768078</v>
      </c>
      <c r="L21" s="4">
        <f>K21*25</f>
        <v>7742.5350056920197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6125601.3063345263</v>
      </c>
      <c r="D23" s="14">
        <f>D8+D9+D10+D11+D13+D14+D15+D17+D19+D21</f>
        <v>351063.83999999997</v>
      </c>
      <c r="E23" s="14">
        <f>E8+E9+E10+E11+E13+E14+E15+E17+E19+E21</f>
        <v>6476665.1463345261</v>
      </c>
      <c r="F23" s="4">
        <f>E23*25</f>
        <v>161916628.65836316</v>
      </c>
      <c r="H23" s="36"/>
      <c r="I23" s="11">
        <f>I8+I9+I11+I10+I13+I14+I15+I17+I19+I21</f>
        <v>2259270.4704461438</v>
      </c>
      <c r="J23" s="14">
        <f>J8+J9+J10+J11+J13+J14+J15+J17+J19+J21</f>
        <v>354001.83999999997</v>
      </c>
      <c r="K23" s="14">
        <f>K8+K9+K10+K11+K13+K14+K15+K17+K19+K21</f>
        <v>2613272.3104461436</v>
      </c>
      <c r="L23" s="4">
        <f>K23*25</f>
        <v>65331807.761153594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5</v>
      </c>
      <c r="D27" s="2">
        <v>500</v>
      </c>
      <c r="F27" s="2"/>
      <c r="H27" s="10" t="s">
        <v>9</v>
      </c>
      <c r="I27" s="13">
        <v>1</v>
      </c>
      <c r="J27" s="2">
        <v>100</v>
      </c>
      <c r="L27" s="2"/>
    </row>
    <row r="28" spans="2:12" x14ac:dyDescent="0.5">
      <c r="B28" s="10" t="s">
        <v>10</v>
      </c>
      <c r="C28" s="13">
        <v>8</v>
      </c>
      <c r="D28" s="2">
        <v>4000</v>
      </c>
      <c r="F28" s="2"/>
      <c r="H28" s="10" t="s">
        <v>10</v>
      </c>
      <c r="I28" s="13">
        <v>9</v>
      </c>
      <c r="J28" s="2">
        <v>4500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13</v>
      </c>
      <c r="D31" s="4">
        <v>4500</v>
      </c>
      <c r="F31" s="2"/>
      <c r="H31" s="11" t="s">
        <v>26</v>
      </c>
      <c r="I31" s="14">
        <v>10</v>
      </c>
      <c r="J31" s="4">
        <v>4600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0</v>
      </c>
      <c r="F34" s="2"/>
      <c r="H34" s="18" t="s">
        <v>25</v>
      </c>
      <c r="I34" s="4">
        <v>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4</v>
      </c>
      <c r="D38" s="2">
        <v>4000</v>
      </c>
      <c r="F38" s="2"/>
      <c r="H38" s="10" t="s">
        <v>14</v>
      </c>
      <c r="I38" s="13">
        <v>4</v>
      </c>
      <c r="J38" s="2">
        <v>4000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4</v>
      </c>
      <c r="D41" s="4">
        <v>4000</v>
      </c>
      <c r="F41" s="2"/>
      <c r="H41" s="11" t="s">
        <v>26</v>
      </c>
      <c r="I41" s="14">
        <v>4</v>
      </c>
      <c r="J41" s="4">
        <v>4000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253</v>
      </c>
      <c r="D45" s="4">
        <v>4447.74</v>
      </c>
      <c r="F45" s="2"/>
      <c r="H45" s="11" t="s">
        <v>18</v>
      </c>
      <c r="I45" s="14">
        <v>253</v>
      </c>
      <c r="J45" s="4">
        <v>4447.74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17970</v>
      </c>
      <c r="F48" s="2"/>
      <c r="H48" s="18" t="s">
        <v>29</v>
      </c>
      <c r="I48" s="4">
        <v>15990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5580720.7182911998</v>
      </c>
      <c r="D52" s="2">
        <f>C52*25</f>
        <v>139518017.95727998</v>
      </c>
      <c r="F52" s="2"/>
      <c r="H52" s="10" t="s">
        <v>35</v>
      </c>
      <c r="I52" s="13">
        <v>4608120.71</v>
      </c>
      <c r="J52" s="2">
        <f>I52*25</f>
        <v>115203017.75</v>
      </c>
      <c r="L52" s="2"/>
    </row>
    <row r="53" spans="2:12" ht="17.45" customHeight="1" thickBot="1" x14ac:dyDescent="0.55000000000000004">
      <c r="B53" s="11" t="s">
        <v>36</v>
      </c>
      <c r="C53" s="17">
        <v>353751.25329434901</v>
      </c>
      <c r="D53" s="4">
        <f>C53*25</f>
        <v>8843781.3323587254</v>
      </c>
      <c r="F53" s="2"/>
      <c r="H53" s="11" t="s">
        <v>36</v>
      </c>
      <c r="I53" s="14">
        <v>244878.2671</v>
      </c>
      <c r="J53" s="4">
        <f>I53*25</f>
        <v>6121956.6775000002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1515751.3062025399</v>
      </c>
      <c r="D57" s="2">
        <f>C57*25</f>
        <v>37893782.655063495</v>
      </c>
      <c r="F57" s="2"/>
      <c r="H57" s="10" t="s">
        <v>35</v>
      </c>
      <c r="I57" s="13">
        <v>1251588.3400000001</v>
      </c>
      <c r="J57" s="2">
        <f>I57*25</f>
        <v>31289708.500000004</v>
      </c>
      <c r="L57" s="2"/>
    </row>
    <row r="58" spans="2:12" ht="21.45" customHeight="1" thickBot="1" x14ac:dyDescent="0.55000000000000004">
      <c r="B58" s="11" t="s">
        <v>36</v>
      </c>
      <c r="C58" s="17">
        <v>213883.92064784811</v>
      </c>
      <c r="D58" s="4">
        <f>C58*25</f>
        <v>5347098.0161962025</v>
      </c>
      <c r="F58" s="2"/>
      <c r="H58" s="11" t="s">
        <v>36</v>
      </c>
      <c r="I58" s="14">
        <v>171333.23194</v>
      </c>
      <c r="J58" s="4">
        <f>I58*25</f>
        <v>4283330.7984999996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161730</v>
      </c>
      <c r="F61" s="2"/>
      <c r="H61" s="18" t="s">
        <v>38</v>
      </c>
      <c r="I61" s="4">
        <v>143909.65950000001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0.91147596107200113</v>
      </c>
      <c r="C64" s="41"/>
      <c r="D64" s="3"/>
      <c r="E64" s="3"/>
      <c r="F64" s="4"/>
      <c r="H64" s="40">
        <f>K23/B68</f>
        <v>0.36777181418045141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7105689.4783239476</v>
      </c>
      <c r="C68" s="4">
        <f>D107</f>
        <v>177642236.95809868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44700.048098514642</v>
      </c>
      <c r="D74" s="13">
        <v>104300</v>
      </c>
      <c r="E74" s="13">
        <f>C74+D74</f>
        <v>149000.04809851464</v>
      </c>
      <c r="F74" s="2">
        <f>E74*25</f>
        <v>3725001.202462866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2115601.184210523</v>
      </c>
      <c r="E78" s="13">
        <f>D78</f>
        <v>2115601.184210523</v>
      </c>
      <c r="F78" s="2">
        <f>E78*25</f>
        <v>52890029.605263077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57103.706360244039</v>
      </c>
      <c r="D80" s="13">
        <v>71163.839999999997</v>
      </c>
      <c r="E80" s="13">
        <f>C80+D80</f>
        <v>128267.54636024404</v>
      </c>
      <c r="F80" s="2">
        <f>E80*25</f>
        <v>3206688.6590061011</v>
      </c>
    </row>
    <row r="81" spans="2:6" ht="14.7" thickBot="1" x14ac:dyDescent="0.55000000000000004">
      <c r="B81" s="11" t="s">
        <v>46</v>
      </c>
      <c r="C81" s="14"/>
      <c r="D81" s="14">
        <f>D100*2.0865</f>
        <v>85386608.116457865</v>
      </c>
      <c r="E81" s="14">
        <f>D81</f>
        <v>85386608.116457865</v>
      </c>
      <c r="F81" s="4">
        <f>E81*25</f>
        <v>2134665202.9114466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101803.7544587587</v>
      </c>
      <c r="D83" s="14">
        <v>5706529.3488688394</v>
      </c>
      <c r="E83" s="14">
        <v>5808333.1033275984</v>
      </c>
      <c r="F83" s="4">
        <f>E83*25</f>
        <v>145208327.58318996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6.9999999999999991</v>
      </c>
      <c r="D87" s="2">
        <v>699.99999999999989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6.9999999999999991</v>
      </c>
      <c r="D91" s="4">
        <v>699.99999999999989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253</v>
      </c>
      <c r="D95" s="4">
        <v>4447.74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1013947.368421051</v>
      </c>
      <c r="D99" s="2">
        <f>C99*25</f>
        <v>25348684.210526273</v>
      </c>
      <c r="F99" s="2"/>
    </row>
    <row r="100" spans="2:6" x14ac:dyDescent="0.5">
      <c r="B100" s="10" t="s">
        <v>53</v>
      </c>
      <c r="C100" s="13">
        <v>1636934.7350387319</v>
      </c>
      <c r="D100" s="2">
        <f>C100*25</f>
        <v>40923368.3759683</v>
      </c>
      <c r="F100" s="2"/>
    </row>
    <row r="101" spans="2:6" ht="14.7" thickBot="1" x14ac:dyDescent="0.55000000000000004">
      <c r="B101" s="11" t="s">
        <v>26</v>
      </c>
      <c r="C101" s="14">
        <f>C99+C100</f>
        <v>2650882.1034597829</v>
      </c>
      <c r="D101" s="4">
        <f>D99+D100</f>
        <v>66272052.586494572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2717885.9210526268</v>
      </c>
      <c r="D105" s="29">
        <f t="shared" si="4"/>
        <v>67947148.026315674</v>
      </c>
      <c r="F105" s="2"/>
    </row>
    <row r="106" spans="2:6" x14ac:dyDescent="0.5">
      <c r="B106" s="10" t="s">
        <v>53</v>
      </c>
      <c r="C106" s="13">
        <f t="shared" si="4"/>
        <v>4387803.5572713204</v>
      </c>
      <c r="D106" s="29">
        <f t="shared" si="4"/>
        <v>109695088.93178302</v>
      </c>
      <c r="F106" s="2"/>
    </row>
    <row r="107" spans="2:6" ht="14.7" thickBot="1" x14ac:dyDescent="0.55000000000000004">
      <c r="B107" s="11" t="s">
        <v>26</v>
      </c>
      <c r="C107" s="14">
        <f t="shared" si="4"/>
        <v>7105689.4783239476</v>
      </c>
      <c r="D107" s="30">
        <f t="shared" si="4"/>
        <v>177642236.95809868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15258936.133332103</v>
      </c>
      <c r="D8" s="13">
        <f>29*D27</f>
        <v>455300</v>
      </c>
      <c r="E8" s="13">
        <f>C8+D8</f>
        <v>15714236.133332103</v>
      </c>
      <c r="F8" s="2">
        <f>E8*25</f>
        <v>392855903.33330262</v>
      </c>
      <c r="H8" s="7" t="s">
        <v>9</v>
      </c>
      <c r="I8" s="16">
        <f>1615 * J27*((0.05*((1.05)^25))/((1.05^25)-1))</f>
        <v>34376.465561476754</v>
      </c>
      <c r="J8" s="13">
        <f>29*J27</f>
        <v>8700</v>
      </c>
      <c r="K8" s="13">
        <f>I8+J8</f>
        <v>43076.465561476754</v>
      </c>
      <c r="L8" s="2">
        <f>K8*25</f>
        <v>1076911.6390369188</v>
      </c>
      <c r="N8" s="31"/>
    </row>
    <row r="9" spans="2:14" x14ac:dyDescent="0.5">
      <c r="B9" s="7" t="s">
        <v>10</v>
      </c>
      <c r="C9" s="10">
        <f>13698 * D28*((0.05*((1.05)^25))/((1.05^25)-1))</f>
        <v>0</v>
      </c>
      <c r="D9" s="13">
        <f>29*D28</f>
        <v>0</v>
      </c>
      <c r="E9" s="13">
        <f>C9+D9</f>
        <v>0</v>
      </c>
      <c r="F9" s="2">
        <f>E9*25</f>
        <v>0</v>
      </c>
      <c r="H9" s="7" t="s">
        <v>10</v>
      </c>
      <c r="I9" s="16">
        <f t="shared" ref="I9:I11" si="0">1615 * J28*((0.05*((1.05)^25))/((1.05^25)-1))</f>
        <v>1776117.3873429655</v>
      </c>
      <c r="J9" s="13">
        <f>29*J28</f>
        <v>449500</v>
      </c>
      <c r="K9" s="13">
        <f>I9+J9</f>
        <v>2225617.3873429652</v>
      </c>
      <c r="L9" s="2">
        <f>K9*25</f>
        <v>55640434.683574133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0</v>
      </c>
      <c r="D13" s="13">
        <f>37.35*D38</f>
        <v>0</v>
      </c>
      <c r="E13" s="13">
        <f>C13+D13</f>
        <v>0</v>
      </c>
      <c r="F13" s="2">
        <f>E13*25</f>
        <v>0</v>
      </c>
      <c r="H13" s="7" t="s">
        <v>14</v>
      </c>
      <c r="I13" s="16">
        <f>2490 * J38*((0.05*((1.05)^10))/((1.05^10)-1))</f>
        <v>0</v>
      </c>
      <c r="J13" s="13">
        <f>37.35*J38</f>
        <v>0</v>
      </c>
      <c r="K13" s="13">
        <f>I13+J13</f>
        <v>0</v>
      </c>
      <c r="L13" s="2">
        <f>K13*25</f>
        <v>0</v>
      </c>
    </row>
    <row r="14" spans="2:14" x14ac:dyDescent="0.5">
      <c r="B14" s="7" t="s">
        <v>15</v>
      </c>
      <c r="C14" s="10">
        <f>1570 * D39*((0.05*((1.05)^10))/((1.05^10)-1))</f>
        <v>4066443.6539153405</v>
      </c>
      <c r="D14" s="13">
        <f>23.55*D39</f>
        <v>471000</v>
      </c>
      <c r="E14" s="13">
        <f>C14+D14</f>
        <v>4537443.6539153401</v>
      </c>
      <c r="F14" s="2">
        <f>E14*25</f>
        <v>113436091.34788351</v>
      </c>
      <c r="H14" s="7" t="s">
        <v>15</v>
      </c>
      <c r="I14" s="16">
        <f>1570 * J39*((0.05*((1.05)^10))/((1.05^10)-1))</f>
        <v>4066443.6539153405</v>
      </c>
      <c r="J14" s="13">
        <f>23.55*J39</f>
        <v>471000</v>
      </c>
      <c r="K14" s="13">
        <f>I14+J14</f>
        <v>4537443.6539153401</v>
      </c>
      <c r="L14" s="2">
        <f t="shared" ref="L14:L15" si="1">K14*25</f>
        <v>113436091.34788351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251745.6</v>
      </c>
      <c r="E17" s="14">
        <f>D17+C17</f>
        <v>281313.13175174693</v>
      </c>
      <c r="F17" s="4">
        <f>E17*25</f>
        <v>7032828.2937936736</v>
      </c>
      <c r="H17" s="8" t="s">
        <v>18</v>
      </c>
      <c r="I17" s="17">
        <v>202007.18257872891</v>
      </c>
      <c r="J17" s="14">
        <v>251745.6</v>
      </c>
      <c r="K17" s="14">
        <f>J17+I17</f>
        <v>453752.78257872892</v>
      </c>
      <c r="L17" s="4">
        <f>K17*25</f>
        <v>11343819.564468224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2180512.0643198458</v>
      </c>
      <c r="D19" s="14">
        <v>0</v>
      </c>
      <c r="E19" s="14">
        <f>C19</f>
        <v>2180512.0643198458</v>
      </c>
      <c r="F19" s="4">
        <f>E19*25</f>
        <v>54512801.607996143</v>
      </c>
      <c r="H19" s="8"/>
      <c r="I19" s="17">
        <f>I48*300*((0.05*((1.05)^20))/((1.05^20)-1))</f>
        <v>2093850.0701538993</v>
      </c>
      <c r="J19" s="14">
        <v>0</v>
      </c>
      <c r="K19" s="14">
        <f>I19</f>
        <v>2093850.0701538993</v>
      </c>
      <c r="L19" s="4">
        <f>K19*25</f>
        <v>52346251.75384748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271.70140022768078</v>
      </c>
      <c r="J21" s="14">
        <f>19*I34</f>
        <v>38</v>
      </c>
      <c r="K21" s="14">
        <f>J21+I21</f>
        <v>309.70140022768078</v>
      </c>
      <c r="L21" s="4">
        <f>K21*25</f>
        <v>7742.5350056920197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21535731.084719267</v>
      </c>
      <c r="D23" s="14">
        <f>D8+D9+D10+D11+D13+D14+D15+D17+D19+D21</f>
        <v>1178083.6000000001</v>
      </c>
      <c r="E23" s="14">
        <f>E8+E9+E10+E11+E13+E14+E15+E17+E19+E21</f>
        <v>22713814.684719261</v>
      </c>
      <c r="F23" s="4">
        <f>E23*25</f>
        <v>567845367.11798155</v>
      </c>
      <c r="H23" s="36"/>
      <c r="I23" s="11">
        <f>I8+I9+I11+I10+I13+I14+I15+I17+I19+I21</f>
        <v>8173066.4609526386</v>
      </c>
      <c r="J23" s="14">
        <f>J8+J9+J10+J11+J13+J14+J15+J17+J19+J21</f>
        <v>1180983.6000000001</v>
      </c>
      <c r="K23" s="14">
        <f>K8+K9+K10+K11+K13+K14+K15+K17+K19+K21</f>
        <v>9354050.0609526373</v>
      </c>
      <c r="L23" s="4">
        <f>K23*25</f>
        <v>233851251.52381593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157</v>
      </c>
      <c r="D27" s="2">
        <v>15700</v>
      </c>
      <c r="F27" s="2"/>
      <c r="H27" s="10" t="s">
        <v>9</v>
      </c>
      <c r="I27" s="13">
        <v>3</v>
      </c>
      <c r="J27" s="2">
        <v>300</v>
      </c>
      <c r="L27" s="2"/>
    </row>
    <row r="28" spans="2:12" x14ac:dyDescent="0.5">
      <c r="B28" s="10" t="s">
        <v>10</v>
      </c>
      <c r="C28" s="13">
        <v>0</v>
      </c>
      <c r="D28" s="2">
        <v>0</v>
      </c>
      <c r="F28" s="2"/>
      <c r="H28" s="10" t="s">
        <v>10</v>
      </c>
      <c r="I28" s="13">
        <v>31</v>
      </c>
      <c r="J28" s="2">
        <v>15500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157</v>
      </c>
      <c r="D31" s="4">
        <v>15700</v>
      </c>
      <c r="F31" s="2"/>
      <c r="H31" s="11" t="s">
        <v>26</v>
      </c>
      <c r="I31" s="14">
        <v>34</v>
      </c>
      <c r="J31" s="4">
        <v>15800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0</v>
      </c>
      <c r="D38" s="2">
        <v>0</v>
      </c>
      <c r="F38" s="2"/>
      <c r="H38" s="10" t="s">
        <v>14</v>
      </c>
      <c r="I38" s="13">
        <v>0</v>
      </c>
      <c r="J38" s="2">
        <v>0</v>
      </c>
      <c r="L38" s="2"/>
    </row>
    <row r="39" spans="2:12" x14ac:dyDescent="0.5">
      <c r="B39" s="10" t="s">
        <v>15</v>
      </c>
      <c r="C39" s="13">
        <v>1</v>
      </c>
      <c r="D39" s="2">
        <v>20000</v>
      </c>
      <c r="F39" s="2"/>
      <c r="H39" s="10" t="s">
        <v>15</v>
      </c>
      <c r="I39" s="13">
        <v>1</v>
      </c>
      <c r="J39" s="2">
        <v>20000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1</v>
      </c>
      <c r="D41" s="4">
        <v>20000</v>
      </c>
      <c r="F41" s="2"/>
      <c r="H41" s="11" t="s">
        <v>26</v>
      </c>
      <c r="I41" s="14">
        <v>1</v>
      </c>
      <c r="J41" s="4">
        <v>20000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895</v>
      </c>
      <c r="D45" s="4">
        <v>15734.1</v>
      </c>
      <c r="F45" s="2"/>
      <c r="H45" s="11" t="s">
        <v>18</v>
      </c>
      <c r="I45" s="14">
        <v>895</v>
      </c>
      <c r="J45" s="4">
        <v>15734.1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90580</v>
      </c>
      <c r="F48" s="2"/>
      <c r="H48" s="18" t="s">
        <v>29</v>
      </c>
      <c r="I48" s="4">
        <v>86980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16954190.9251206</v>
      </c>
      <c r="D52" s="2">
        <f>C52*25</f>
        <v>423854773.12801498</v>
      </c>
      <c r="F52" s="2"/>
      <c r="H52" s="10" t="s">
        <v>35</v>
      </c>
      <c r="I52" s="13">
        <v>20001529.710000001</v>
      </c>
      <c r="J52" s="2">
        <f>I52*25</f>
        <v>500038242.75</v>
      </c>
      <c r="L52" s="2"/>
    </row>
    <row r="53" spans="2:12" ht="17.45" customHeight="1" thickBot="1" x14ac:dyDescent="0.55000000000000004">
      <c r="B53" s="11" t="s">
        <v>36</v>
      </c>
      <c r="C53" s="17">
        <v>987218.96102160297</v>
      </c>
      <c r="D53" s="4">
        <f>C53*25</f>
        <v>24680474.025540072</v>
      </c>
      <c r="F53" s="2"/>
      <c r="H53" s="11" t="s">
        <v>36</v>
      </c>
      <c r="I53" s="14">
        <v>811113.87396</v>
      </c>
      <c r="J53" s="4">
        <f>I53*25</f>
        <v>20277846.848999999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4604841.9796623904</v>
      </c>
      <c r="D57" s="2">
        <f>C57*25</f>
        <v>115121049.49155976</v>
      </c>
      <c r="F57" s="2"/>
      <c r="H57" s="10" t="s">
        <v>35</v>
      </c>
      <c r="I57" s="13">
        <v>5432514.2429999998</v>
      </c>
      <c r="J57" s="2">
        <f>I57*25</f>
        <v>135812856.07499999</v>
      </c>
      <c r="L57" s="2"/>
    </row>
    <row r="58" spans="2:12" ht="21.45" customHeight="1" thickBot="1" x14ac:dyDescent="0.55000000000000004">
      <c r="B58" s="11" t="s">
        <v>36</v>
      </c>
      <c r="C58" s="17">
        <v>861934.00219125021</v>
      </c>
      <c r="D58" s="4">
        <f>C58*25</f>
        <v>21548350.054781254</v>
      </c>
      <c r="F58" s="2"/>
      <c r="H58" s="11" t="s">
        <v>36</v>
      </c>
      <c r="I58" s="14">
        <v>786636.97811300005</v>
      </c>
      <c r="J58" s="4">
        <f>I58*25</f>
        <v>19665924.452825002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815217.57686467795</v>
      </c>
      <c r="F61" s="2"/>
      <c r="H61" s="18" t="s">
        <v>38</v>
      </c>
      <c r="I61" s="4">
        <v>777510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0.80564003246167204</v>
      </c>
      <c r="C64" s="41"/>
      <c r="D64" s="3"/>
      <c r="E64" s="3"/>
      <c r="F64" s="4"/>
      <c r="H64" s="40">
        <f>K23/B68</f>
        <v>0.3317803415832144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28193503.015628584</v>
      </c>
      <c r="C68" s="4">
        <f>D107</f>
        <v>704837575.39071453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0</v>
      </c>
      <c r="D74" s="13">
        <v>0</v>
      </c>
      <c r="E74" s="13">
        <f>C74+D74</f>
        <v>0</v>
      </c>
      <c r="F74" s="2">
        <f>E74*25</f>
        <v>0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70952.457299229587</v>
      </c>
      <c r="D76" s="13">
        <v>114000</v>
      </c>
      <c r="E76" s="13">
        <f t="shared" si="2"/>
        <v>184952.45729922957</v>
      </c>
      <c r="F76" s="2">
        <f t="shared" si="3"/>
        <v>4623811.4324807394</v>
      </c>
    </row>
    <row r="77" spans="2:12" x14ac:dyDescent="0.5">
      <c r="B77" s="10" t="s">
        <v>43</v>
      </c>
      <c r="C77" s="13">
        <v>141904.9145984592</v>
      </c>
      <c r="D77" s="13">
        <v>228000</v>
      </c>
      <c r="E77" s="13">
        <f t="shared" si="2"/>
        <v>369904.9145984592</v>
      </c>
      <c r="F77" s="2">
        <f t="shared" si="3"/>
        <v>9247622.8649614807</v>
      </c>
    </row>
    <row r="78" spans="2:12" ht="14.7" thickBot="1" x14ac:dyDescent="0.55000000000000004">
      <c r="B78" s="10" t="s">
        <v>44</v>
      </c>
      <c r="C78" s="13"/>
      <c r="D78" s="13">
        <f>C99*2.0865</f>
        <v>9945466.9736844618</v>
      </c>
      <c r="E78" s="13">
        <f>D78</f>
        <v>9945466.9736844618</v>
      </c>
      <c r="F78" s="2">
        <f>E78*25</f>
        <v>248636674.34211156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202007.18257872891</v>
      </c>
      <c r="D80" s="13">
        <v>251745.6</v>
      </c>
      <c r="E80" s="13">
        <f>C80+D80</f>
        <v>453752.78257872892</v>
      </c>
      <c r="F80" s="2">
        <f>E80*25</f>
        <v>11343819.564468224</v>
      </c>
    </row>
    <row r="81" spans="2:6" ht="14.7" thickBot="1" x14ac:dyDescent="0.55000000000000004">
      <c r="B81" s="11" t="s">
        <v>46</v>
      </c>
      <c r="C81" s="14"/>
      <c r="D81" s="14">
        <f>D100*2.0865</f>
        <v>300008578.80197573</v>
      </c>
      <c r="E81" s="14">
        <f>D81</f>
        <v>300008578.80197573</v>
      </c>
      <c r="F81" s="4">
        <f>E81*25</f>
        <v>7500214470.0493927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414864.5544764176</v>
      </c>
      <c r="D83" s="14">
        <v>22539555.725763489</v>
      </c>
      <c r="E83" s="14">
        <v>22954420.28023991</v>
      </c>
      <c r="F83" s="4">
        <f>E83*25</f>
        <v>573860507.00599778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0</v>
      </c>
      <c r="D87" s="2">
        <v>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1</v>
      </c>
      <c r="D89" s="2">
        <v>1000</v>
      </c>
      <c r="F89" s="2"/>
    </row>
    <row r="90" spans="2:6" x14ac:dyDescent="0.5">
      <c r="B90" s="10" t="s">
        <v>43</v>
      </c>
      <c r="C90" s="13">
        <v>1</v>
      </c>
      <c r="D90" s="2">
        <v>2000</v>
      </c>
      <c r="F90" s="2"/>
    </row>
    <row r="91" spans="2:6" ht="14.7" thickBot="1" x14ac:dyDescent="0.55000000000000004">
      <c r="B91" s="11" t="s">
        <v>26</v>
      </c>
      <c r="C91" s="14">
        <v>2</v>
      </c>
      <c r="D91" s="4">
        <v>3000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895</v>
      </c>
      <c r="D95" s="4">
        <v>15734.1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4766578.9473685417</v>
      </c>
      <c r="D99" s="2">
        <f>C99*25</f>
        <v>119164473.68421355</v>
      </c>
      <c r="F99" s="2"/>
    </row>
    <row r="100" spans="2:6" x14ac:dyDescent="0.5">
      <c r="B100" s="10" t="s">
        <v>53</v>
      </c>
      <c r="C100" s="13">
        <v>5751422.5507208379</v>
      </c>
      <c r="D100" s="2">
        <f>C100*25</f>
        <v>143785563.76802096</v>
      </c>
      <c r="F100" s="2"/>
    </row>
    <row r="101" spans="2:6" ht="14.7" thickBot="1" x14ac:dyDescent="0.55000000000000004">
      <c r="B101" s="11" t="s">
        <v>26</v>
      </c>
      <c r="C101" s="14">
        <f>C99+C100</f>
        <v>10518001.498089381</v>
      </c>
      <c r="D101" s="4">
        <f>D99+D100</f>
        <v>262950037.45223451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12776814.868421376</v>
      </c>
      <c r="D105" s="29">
        <f t="shared" si="4"/>
        <v>319420371.71053439</v>
      </c>
      <c r="F105" s="2"/>
    </row>
    <row r="106" spans="2:6" x14ac:dyDescent="0.5">
      <c r="B106" s="10" t="s">
        <v>53</v>
      </c>
      <c r="C106" s="13">
        <f t="shared" si="4"/>
        <v>15416688.147207206</v>
      </c>
      <c r="D106" s="29">
        <f t="shared" si="4"/>
        <v>385417203.68018013</v>
      </c>
      <c r="F106" s="2"/>
    </row>
    <row r="107" spans="2:6" ht="14.7" thickBot="1" x14ac:dyDescent="0.55000000000000004">
      <c r="B107" s="11" t="s">
        <v>26</v>
      </c>
      <c r="C107" s="14">
        <f t="shared" si="4"/>
        <v>28193503.015628584</v>
      </c>
      <c r="D107" s="30">
        <f t="shared" si="4"/>
        <v>704837575.39071453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388762.70403393894</v>
      </c>
      <c r="D8" s="13">
        <f>29*D27</f>
        <v>11600</v>
      </c>
      <c r="E8" s="13">
        <f>C8+D8</f>
        <v>400362.70403393894</v>
      </c>
      <c r="F8" s="2">
        <f>E8*25</f>
        <v>10009067.600848474</v>
      </c>
      <c r="H8" s="7" t="s">
        <v>9</v>
      </c>
      <c r="I8" s="16">
        <f>1615 * J27*((0.05*((1.05)^25))/((1.05^25)-1))</f>
        <v>0</v>
      </c>
      <c r="J8" s="13">
        <f>29*J27</f>
        <v>0</v>
      </c>
      <c r="K8" s="13">
        <f>I8+J8</f>
        <v>0</v>
      </c>
      <c r="L8" s="2">
        <f>K8*25</f>
        <v>0</v>
      </c>
      <c r="N8" s="31"/>
    </row>
    <row r="9" spans="2:14" x14ac:dyDescent="0.5">
      <c r="B9" s="7" t="s">
        <v>10</v>
      </c>
      <c r="C9" s="10">
        <f>13698 * D28*((0.05*((1.05)^25))/((1.05^25)-1))</f>
        <v>1943813.5201696947</v>
      </c>
      <c r="D9" s="13">
        <f>29*D28</f>
        <v>58000</v>
      </c>
      <c r="E9" s="13">
        <f>C9+D9</f>
        <v>2001813.5201696947</v>
      </c>
      <c r="F9" s="2">
        <f>E9*25</f>
        <v>50045338.004242368</v>
      </c>
      <c r="H9" s="7" t="s">
        <v>10</v>
      </c>
      <c r="I9" s="16">
        <f t="shared" ref="I9:I11" si="0">1615 * J28*((0.05*((1.05)^25))/((1.05^25)-1))</f>
        <v>286470.54634563962</v>
      </c>
      <c r="J9" s="13">
        <f>29*J28</f>
        <v>72500</v>
      </c>
      <c r="K9" s="13">
        <f>I9+J9</f>
        <v>358970.54634563962</v>
      </c>
      <c r="L9" s="2">
        <f>K9*25</f>
        <v>8974263.65864099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644932.78332797438</v>
      </c>
      <c r="D13" s="13">
        <f>37.35*D38</f>
        <v>74700</v>
      </c>
      <c r="E13" s="13">
        <f>C13+D13</f>
        <v>719632.78332797438</v>
      </c>
      <c r="F13" s="2">
        <f>E13*25</f>
        <v>17990819.583199359</v>
      </c>
      <c r="H13" s="7" t="s">
        <v>14</v>
      </c>
      <c r="I13" s="16">
        <f>2490 * J38*((0.05*((1.05)^10))/((1.05^10)-1))</f>
        <v>644932.78332797438</v>
      </c>
      <c r="J13" s="13">
        <f>37.35*J38</f>
        <v>74700</v>
      </c>
      <c r="K13" s="13">
        <f>I13+J13</f>
        <v>719632.78332797438</v>
      </c>
      <c r="L13" s="2">
        <f>K13*25</f>
        <v>17990819.583199359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28971.84</v>
      </c>
      <c r="E17" s="14">
        <f>D17+C17</f>
        <v>58539.371751746905</v>
      </c>
      <c r="F17" s="4">
        <f>E17*25</f>
        <v>1463484.2937936727</v>
      </c>
      <c r="H17" s="8" t="s">
        <v>18</v>
      </c>
      <c r="I17" s="17">
        <v>23247.753972747571</v>
      </c>
      <c r="J17" s="14">
        <v>28971.84</v>
      </c>
      <c r="K17" s="14">
        <f>J17+I17</f>
        <v>52219.593972747571</v>
      </c>
      <c r="L17" s="4">
        <f>K17*25</f>
        <v>1305489.8493186892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253486.33293539388</v>
      </c>
      <c r="D19" s="14">
        <v>0</v>
      </c>
      <c r="E19" s="14">
        <f>C19</f>
        <v>253486.33293539388</v>
      </c>
      <c r="F19" s="4">
        <f>E19*25</f>
        <v>6337158.3233848466</v>
      </c>
      <c r="H19" s="8"/>
      <c r="I19" s="17">
        <f>I48*300*((0.05*((1.05)^20))/((1.05^20)-1))</f>
        <v>226765.55140089366</v>
      </c>
      <c r="J19" s="14">
        <v>0</v>
      </c>
      <c r="K19" s="14">
        <f>I19</f>
        <v>226765.55140089366</v>
      </c>
      <c r="L19" s="4">
        <f>K19*25</f>
        <v>5669138.7850223416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0</v>
      </c>
      <c r="D21" s="14">
        <f>19*C34</f>
        <v>0</v>
      </c>
      <c r="E21" s="14">
        <f>D21+C21</f>
        <v>0</v>
      </c>
      <c r="F21" s="4">
        <f>E21*25</f>
        <v>0</v>
      </c>
      <c r="H21" s="7"/>
      <c r="I21" s="11">
        <f>1693 * I34*((0.05*((1.05)^20))/((1.05^20)-1))</f>
        <v>0</v>
      </c>
      <c r="J21" s="14">
        <f>19*I34</f>
        <v>0</v>
      </c>
      <c r="K21" s="14">
        <f>J21+I21</f>
        <v>0</v>
      </c>
      <c r="L21" s="4">
        <f>K21*25</f>
        <v>0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3260562.8722187486</v>
      </c>
      <c r="D23" s="14">
        <f>D8+D9+D10+D11+D13+D14+D15+D17+D19+D21</f>
        <v>173271.84</v>
      </c>
      <c r="E23" s="14">
        <f>E8+E9+E10+E11+E13+E14+E15+E17+E19+E21</f>
        <v>3433834.7122187489</v>
      </c>
      <c r="F23" s="4">
        <f>E23*25</f>
        <v>85845867.805468723</v>
      </c>
      <c r="H23" s="36"/>
      <c r="I23" s="11">
        <f>I8+I9+I11+I10+I13+I14+I15+I17+I19+I21</f>
        <v>1181416.6350472553</v>
      </c>
      <c r="J23" s="14">
        <f>J8+J9+J10+J11+J13+J14+J15+J17+J19+J21</f>
        <v>176171.84</v>
      </c>
      <c r="K23" s="14">
        <f>K8+K9+K10+K11+K13+K14+K15+K17+K19+K21</f>
        <v>1357588.4750472552</v>
      </c>
      <c r="L23" s="4">
        <f>K23*25</f>
        <v>33939711.876181379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4</v>
      </c>
      <c r="D27" s="2">
        <v>400</v>
      </c>
      <c r="F27" s="2"/>
      <c r="H27" s="10" t="s">
        <v>9</v>
      </c>
      <c r="I27" s="13">
        <v>0</v>
      </c>
      <c r="J27" s="2">
        <v>0</v>
      </c>
      <c r="L27" s="2"/>
    </row>
    <row r="28" spans="2:12" x14ac:dyDescent="0.5">
      <c r="B28" s="10" t="s">
        <v>10</v>
      </c>
      <c r="C28" s="13">
        <v>4</v>
      </c>
      <c r="D28" s="2">
        <v>2000</v>
      </c>
      <c r="F28" s="2"/>
      <c r="H28" s="10" t="s">
        <v>10</v>
      </c>
      <c r="I28" s="13">
        <v>5</v>
      </c>
      <c r="J28" s="2">
        <v>2500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8</v>
      </c>
      <c r="D31" s="4">
        <v>2400</v>
      </c>
      <c r="F31" s="2"/>
      <c r="H31" s="11" t="s">
        <v>26</v>
      </c>
      <c r="I31" s="14">
        <v>5</v>
      </c>
      <c r="J31" s="4">
        <v>2500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0</v>
      </c>
      <c r="F34" s="2"/>
      <c r="H34" s="18" t="s">
        <v>25</v>
      </c>
      <c r="I34" s="4">
        <v>0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2</v>
      </c>
      <c r="D38" s="2">
        <v>2000</v>
      </c>
      <c r="F38" s="2"/>
      <c r="H38" s="10" t="s">
        <v>14</v>
      </c>
      <c r="I38" s="13">
        <v>2</v>
      </c>
      <c r="J38" s="2">
        <v>2000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2</v>
      </c>
      <c r="D41" s="4">
        <v>2000</v>
      </c>
      <c r="F41" s="2"/>
      <c r="H41" s="11" t="s">
        <v>26</v>
      </c>
      <c r="I41" s="14">
        <v>2</v>
      </c>
      <c r="J41" s="4">
        <v>2000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103</v>
      </c>
      <c r="D45" s="4">
        <v>1810.74</v>
      </c>
      <c r="F45" s="2"/>
      <c r="H45" s="11" t="s">
        <v>18</v>
      </c>
      <c r="I45" s="14">
        <v>103</v>
      </c>
      <c r="J45" s="4">
        <v>1810.74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10530</v>
      </c>
      <c r="F48" s="2"/>
      <c r="H48" s="18" t="s">
        <v>29</v>
      </c>
      <c r="I48" s="4">
        <v>9420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2943787.2612405899</v>
      </c>
      <c r="D52" s="2">
        <f>C52*25</f>
        <v>73594681.53101474</v>
      </c>
      <c r="F52" s="2"/>
      <c r="H52" s="10" t="s">
        <v>35</v>
      </c>
      <c r="I52" s="13">
        <v>3416713.72</v>
      </c>
      <c r="J52" s="2">
        <f>I52*25</f>
        <v>85417843</v>
      </c>
      <c r="L52" s="2"/>
    </row>
    <row r="53" spans="2:12" ht="17.45" customHeight="1" thickBot="1" x14ac:dyDescent="0.55000000000000004">
      <c r="B53" s="11" t="s">
        <v>36</v>
      </c>
      <c r="C53" s="17">
        <v>140666.672671782</v>
      </c>
      <c r="D53" s="4">
        <f>C53*25</f>
        <v>3516666.81679455</v>
      </c>
      <c r="F53" s="2"/>
      <c r="H53" s="11" t="s">
        <v>36</v>
      </c>
      <c r="I53" s="14">
        <v>84849.5959382</v>
      </c>
      <c r="J53" s="4">
        <f>I53*25</f>
        <v>2121239.898455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799547.15737399203</v>
      </c>
      <c r="D57" s="2">
        <f>C57*25</f>
        <v>19988678.934349801</v>
      </c>
      <c r="F57" s="2"/>
      <c r="H57" s="10" t="s">
        <v>35</v>
      </c>
      <c r="I57" s="13">
        <v>927996.31969999999</v>
      </c>
      <c r="J57" s="2">
        <f>I57*25</f>
        <v>23199907.9925</v>
      </c>
      <c r="L57" s="2"/>
    </row>
    <row r="58" spans="2:12" ht="21.45" customHeight="1" thickBot="1" x14ac:dyDescent="0.55000000000000004">
      <c r="B58" s="11" t="s">
        <v>36</v>
      </c>
      <c r="C58" s="17">
        <v>107259.9488083239</v>
      </c>
      <c r="D58" s="4">
        <f>C58*25</f>
        <v>2681498.7202080972</v>
      </c>
      <c r="F58" s="2"/>
      <c r="H58" s="11" t="s">
        <v>36</v>
      </c>
      <c r="I58" s="14">
        <v>84798.902600500005</v>
      </c>
      <c r="J58" s="4">
        <f>I58*25</f>
        <v>2119972.5650125002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94803.2043168651</v>
      </c>
      <c r="F61" s="2"/>
      <c r="H61" s="18" t="s">
        <v>38</v>
      </c>
      <c r="I61" s="4">
        <v>84780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0.66580148762723956</v>
      </c>
      <c r="C64" s="41"/>
      <c r="D64" s="3"/>
      <c r="E64" s="3"/>
      <c r="F64" s="4"/>
      <c r="H64" s="40">
        <f>K23/B68</f>
        <v>0.26322886860445865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5157445.2386042736</v>
      </c>
      <c r="C68" s="4">
        <f>D107</f>
        <v>128936130.96510684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51085.76925544531</v>
      </c>
      <c r="D74" s="13">
        <v>119200</v>
      </c>
      <c r="E74" s="13">
        <f>C74+D74</f>
        <v>170285.76925544531</v>
      </c>
      <c r="F74" s="2">
        <f>E74*25</f>
        <v>4257144.2313861325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2529606.7105263127</v>
      </c>
      <c r="E78" s="13">
        <f>D78</f>
        <v>2529606.7105263127</v>
      </c>
      <c r="F78" s="2">
        <f>E78*25</f>
        <v>63240167.763157815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23247.753972747571</v>
      </c>
      <c r="D80" s="13">
        <v>28971.84</v>
      </c>
      <c r="E80" s="13">
        <f>C80+D80</f>
        <v>52219.593972747571</v>
      </c>
      <c r="F80" s="2">
        <f>E80*25</f>
        <v>1305489.8493186892</v>
      </c>
    </row>
    <row r="81" spans="2:6" ht="14.7" thickBot="1" x14ac:dyDescent="0.55000000000000004">
      <c r="B81" s="11" t="s">
        <v>46</v>
      </c>
      <c r="C81" s="14"/>
      <c r="D81" s="14">
        <f>D100*2.0865</f>
        <v>37123658.858254395</v>
      </c>
      <c r="E81" s="14">
        <f>D81</f>
        <v>37123658.858254395</v>
      </c>
      <c r="F81" s="4">
        <f>E81*25</f>
        <v>928091471.45635986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74333.523228192877</v>
      </c>
      <c r="D83" s="14">
        <v>4162724.904856489</v>
      </c>
      <c r="E83" s="14">
        <v>4237058.4280846817</v>
      </c>
      <c r="F83" s="4">
        <f>E83*25</f>
        <v>105926460.70211704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8</v>
      </c>
      <c r="D87" s="2">
        <v>800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8</v>
      </c>
      <c r="D91" s="4">
        <v>800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103</v>
      </c>
      <c r="D95" s="4">
        <v>1810.74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1212368.4210526301</v>
      </c>
      <c r="D99" s="2">
        <f>C99*25</f>
        <v>30309210.526315752</v>
      </c>
      <c r="F99" s="2"/>
    </row>
    <row r="100" spans="2:6" x14ac:dyDescent="0.5">
      <c r="B100" s="10" t="s">
        <v>53</v>
      </c>
      <c r="C100" s="13">
        <v>711692.47751266509</v>
      </c>
      <c r="D100" s="2">
        <f>C100*25</f>
        <v>17792311.937816627</v>
      </c>
      <c r="F100" s="2"/>
    </row>
    <row r="101" spans="2:6" ht="14.7" thickBot="1" x14ac:dyDescent="0.55000000000000004">
      <c r="B101" s="11" t="s">
        <v>26</v>
      </c>
      <c r="C101" s="14">
        <f>C99+C100</f>
        <v>1924060.8985652952</v>
      </c>
      <c r="D101" s="4">
        <f>D99+D100</f>
        <v>48101522.464132383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3249753.5526315747</v>
      </c>
      <c r="D105" s="29">
        <f t="shared" si="4"/>
        <v>81243838.815789372</v>
      </c>
      <c r="F105" s="2"/>
    </row>
    <row r="106" spans="2:6" x14ac:dyDescent="0.5">
      <c r="B106" s="10" t="s">
        <v>53</v>
      </c>
      <c r="C106" s="13">
        <f t="shared" si="4"/>
        <v>1907691.6859726987</v>
      </c>
      <c r="D106" s="29">
        <f t="shared" si="4"/>
        <v>47692292.149317466</v>
      </c>
      <c r="F106" s="2"/>
    </row>
    <row r="107" spans="2:6" ht="14.7" thickBot="1" x14ac:dyDescent="0.55000000000000004">
      <c r="B107" s="11" t="s">
        <v>26</v>
      </c>
      <c r="C107" s="14">
        <f t="shared" si="4"/>
        <v>5157445.2386042736</v>
      </c>
      <c r="D107" s="30">
        <f t="shared" si="4"/>
        <v>128936130.96510684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3207292.3082799963</v>
      </c>
      <c r="D8" s="13">
        <f>29*D27</f>
        <v>95700</v>
      </c>
      <c r="E8" s="13">
        <f>C8+D8</f>
        <v>3302992.3082799963</v>
      </c>
      <c r="F8" s="2">
        <f>E8*25</f>
        <v>82574807.706999913</v>
      </c>
      <c r="H8" s="7" t="s">
        <v>9</v>
      </c>
      <c r="I8" s="16">
        <f>1615 * J27*((0.05*((1.05)^25))/((1.05^25)-1))</f>
        <v>458352.87415302335</v>
      </c>
      <c r="J8" s="13">
        <f>29*J27</f>
        <v>116000</v>
      </c>
      <c r="K8" s="13">
        <f>I8+J8</f>
        <v>574352.87415302335</v>
      </c>
      <c r="L8" s="2">
        <f>K8*25</f>
        <v>14358821.853825584</v>
      </c>
      <c r="N8" s="31"/>
    </row>
    <row r="9" spans="2:14" x14ac:dyDescent="0.5">
      <c r="B9" s="7" t="s">
        <v>10</v>
      </c>
      <c r="C9" s="10">
        <f>13698 * D28*((0.05*((1.05)^25))/((1.05^25)-1))</f>
        <v>485953.38004242367</v>
      </c>
      <c r="D9" s="13">
        <f>29*D28</f>
        <v>14500</v>
      </c>
      <c r="E9" s="13">
        <f>C9+D9</f>
        <v>500453.38004242367</v>
      </c>
      <c r="F9" s="2">
        <f>E9*25</f>
        <v>12511334.501060592</v>
      </c>
      <c r="H9" s="7" t="s">
        <v>10</v>
      </c>
      <c r="I9" s="16">
        <f t="shared" ref="I9:I11" si="0">1615 * J28*((0.05*((1.05)^25))/((1.05^25)-1))</f>
        <v>0</v>
      </c>
      <c r="J9" s="13">
        <f>29*J28</f>
        <v>0</v>
      </c>
      <c r="K9" s="13">
        <f>I9+J9</f>
        <v>0</v>
      </c>
      <c r="L9" s="2">
        <f>K9*25</f>
        <v>0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967399.17499196157</v>
      </c>
      <c r="D13" s="13">
        <f>37.35*D38</f>
        <v>112050</v>
      </c>
      <c r="E13" s="13">
        <f>C13+D13</f>
        <v>1079449.1749919616</v>
      </c>
      <c r="F13" s="2">
        <f>E13*25</f>
        <v>26986229.374799039</v>
      </c>
      <c r="H13" s="7" t="s">
        <v>14</v>
      </c>
      <c r="I13" s="16">
        <f>2490 * J38*((0.05*((1.05)^10))/((1.05^10)-1))</f>
        <v>967399.17499196157</v>
      </c>
      <c r="J13" s="13">
        <f>37.35*J38</f>
        <v>112050</v>
      </c>
      <c r="K13" s="13">
        <f>I13+J13</f>
        <v>1079449.1749919616</v>
      </c>
      <c r="L13" s="2">
        <f>K13*25</f>
        <v>26986229.374799039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59912.639999999992</v>
      </c>
      <c r="E17" s="14">
        <f>D17+C17</f>
        <v>89480.171751746893</v>
      </c>
      <c r="F17" s="4">
        <f>E17*25</f>
        <v>2237004.2937936722</v>
      </c>
      <c r="H17" s="8" t="s">
        <v>18</v>
      </c>
      <c r="I17" s="17">
        <v>48075.452390244973</v>
      </c>
      <c r="J17" s="14">
        <v>59912.639999999992</v>
      </c>
      <c r="K17" s="14">
        <f>J17+I17</f>
        <v>107988.09239024497</v>
      </c>
      <c r="L17" s="4">
        <f>K17*25</f>
        <v>2699702.3097561244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595079.02660616674</v>
      </c>
      <c r="D19" s="14">
        <v>0</v>
      </c>
      <c r="E19" s="14">
        <f>C19</f>
        <v>595079.02660616674</v>
      </c>
      <c r="F19" s="4">
        <f>E19*25</f>
        <v>14876975.665154168</v>
      </c>
      <c r="H19" s="8"/>
      <c r="I19" s="17">
        <f>I48*300*((0.05*((1.05)^20))/((1.05^20)-1))</f>
        <v>505046.84377821116</v>
      </c>
      <c r="J19" s="14">
        <v>0</v>
      </c>
      <c r="K19" s="14">
        <f>I19</f>
        <v>505046.84377821116</v>
      </c>
      <c r="L19" s="4">
        <f>K19*25</f>
        <v>12626171.094455279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0</v>
      </c>
      <c r="J21" s="14">
        <f>19*I34</f>
        <v>0</v>
      </c>
      <c r="K21" s="14">
        <f>J21+I21</f>
        <v>0</v>
      </c>
      <c r="L21" s="4">
        <f>K21*25</f>
        <v>0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5285563.1230725227</v>
      </c>
      <c r="D23" s="14">
        <f>D8+D9+D10+D11+D13+D14+D15+D17+D19+D21</f>
        <v>282200.64</v>
      </c>
      <c r="E23" s="14">
        <f>E8+E9+E10+E11+E13+E14+E15+E17+E19+E21</f>
        <v>5567763.7630725224</v>
      </c>
      <c r="F23" s="4">
        <f>E23*25</f>
        <v>139194094.07681307</v>
      </c>
      <c r="H23" s="36"/>
      <c r="I23" s="11">
        <f>I8+I9+I11+I10+I13+I14+I15+I17+I19+I21</f>
        <v>1978874.345313441</v>
      </c>
      <c r="J23" s="14">
        <f>J8+J9+J10+J11+J13+J14+J15+J17+J19+J21</f>
        <v>287962.64</v>
      </c>
      <c r="K23" s="14">
        <f>K8+K9+K10+K11+K13+K14+K15+K17+K19+K21</f>
        <v>2266836.9853134411</v>
      </c>
      <c r="L23" s="4">
        <f>K23*25</f>
        <v>56670924.632836029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33</v>
      </c>
      <c r="D27" s="2">
        <v>3300</v>
      </c>
      <c r="F27" s="2"/>
      <c r="H27" s="10" t="s">
        <v>9</v>
      </c>
      <c r="I27" s="13">
        <v>40</v>
      </c>
      <c r="J27" s="2">
        <v>4000</v>
      </c>
      <c r="L27" s="2"/>
    </row>
    <row r="28" spans="2:12" x14ac:dyDescent="0.5">
      <c r="B28" s="10" t="s">
        <v>10</v>
      </c>
      <c r="C28" s="13">
        <v>1</v>
      </c>
      <c r="D28" s="2">
        <v>500</v>
      </c>
      <c r="F28" s="2"/>
      <c r="H28" s="10" t="s">
        <v>10</v>
      </c>
      <c r="I28" s="13">
        <v>0</v>
      </c>
      <c r="J28" s="2">
        <v>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34</v>
      </c>
      <c r="D31" s="4">
        <v>3800</v>
      </c>
      <c r="F31" s="2"/>
      <c r="H31" s="11" t="s">
        <v>26</v>
      </c>
      <c r="I31" s="14">
        <v>40</v>
      </c>
      <c r="J31" s="4">
        <v>4000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0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3</v>
      </c>
      <c r="D38" s="2">
        <v>3000</v>
      </c>
      <c r="F38" s="2"/>
      <c r="H38" s="10" t="s">
        <v>14</v>
      </c>
      <c r="I38" s="13">
        <v>3</v>
      </c>
      <c r="J38" s="2">
        <v>3000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3</v>
      </c>
      <c r="D41" s="4">
        <v>3000</v>
      </c>
      <c r="F41" s="2"/>
      <c r="H41" s="11" t="s">
        <v>26</v>
      </c>
      <c r="I41" s="14">
        <v>3</v>
      </c>
      <c r="J41" s="4">
        <v>3000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213</v>
      </c>
      <c r="D45" s="4">
        <v>3744.54</v>
      </c>
      <c r="F45" s="2"/>
      <c r="H45" s="11" t="s">
        <v>18</v>
      </c>
      <c r="I45" s="14">
        <v>213</v>
      </c>
      <c r="J45" s="4">
        <v>3744.54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24720</v>
      </c>
      <c r="F48" s="2"/>
      <c r="H48" s="18" t="s">
        <v>29</v>
      </c>
      <c r="I48" s="4">
        <v>20980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3424690.2715193201</v>
      </c>
      <c r="D52" s="2">
        <f>C52*25</f>
        <v>85617256.787983</v>
      </c>
      <c r="F52" s="2"/>
      <c r="H52" s="10" t="s">
        <v>35</v>
      </c>
      <c r="I52" s="13">
        <v>4137712.69</v>
      </c>
      <c r="J52" s="2">
        <f>I52*25</f>
        <v>103442817.25</v>
      </c>
      <c r="L52" s="2"/>
    </row>
    <row r="53" spans="2:12" ht="17.45" customHeight="1" thickBot="1" x14ac:dyDescent="0.55000000000000004">
      <c r="B53" s="11" t="s">
        <v>36</v>
      </c>
      <c r="C53" s="17">
        <v>479025.97026056499</v>
      </c>
      <c r="D53" s="4">
        <f>C53*25</f>
        <v>11975649.256514125</v>
      </c>
      <c r="F53" s="2"/>
      <c r="H53" s="11" t="s">
        <v>36</v>
      </c>
      <c r="I53" s="14">
        <v>292265.22340000002</v>
      </c>
      <c r="J53" s="4">
        <f>I53*25</f>
        <v>7306630.5850000009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930162.78979537496</v>
      </c>
      <c r="D57" s="2">
        <f>C57*25</f>
        <v>23254069.744884375</v>
      </c>
      <c r="F57" s="2"/>
      <c r="H57" s="10" t="s">
        <v>35</v>
      </c>
      <c r="I57" s="13">
        <v>1123823.199</v>
      </c>
      <c r="J57" s="2">
        <f>I57*25</f>
        <v>28095579.975000001</v>
      </c>
      <c r="L57" s="2"/>
    </row>
    <row r="58" spans="2:12" ht="21.45" customHeight="1" thickBot="1" x14ac:dyDescent="0.55000000000000004">
      <c r="B58" s="11" t="s">
        <v>36</v>
      </c>
      <c r="C58" s="17">
        <v>292157.90590794012</v>
      </c>
      <c r="D58" s="4">
        <f>C58*25</f>
        <v>7303947.647698503</v>
      </c>
      <c r="F58" s="2"/>
      <c r="H58" s="11" t="s">
        <v>36</v>
      </c>
      <c r="I58" s="14">
        <v>216905.44832000002</v>
      </c>
      <c r="J58" s="4">
        <f>I58*25</f>
        <v>5422636.2080000006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222478.288691708</v>
      </c>
      <c r="F61" s="2"/>
      <c r="H61" s="18" t="s">
        <v>38</v>
      </c>
      <c r="I61" s="4">
        <v>188805.19320000001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0.7109914170536813</v>
      </c>
      <c r="C64" s="41"/>
      <c r="D64" s="3"/>
      <c r="E64" s="3"/>
      <c r="F64" s="4"/>
      <c r="H64" s="40">
        <f>K23/B68</f>
        <v>0.28947019108589023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7830985.901552937</v>
      </c>
      <c r="C68" s="4">
        <f>D107</f>
        <v>195774647.53882343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6385.7211569306637</v>
      </c>
      <c r="D74" s="13">
        <v>14900</v>
      </c>
      <c r="E74" s="13">
        <f>C74+D74</f>
        <v>21285.721156930664</v>
      </c>
      <c r="F74" s="2">
        <f>E74*25</f>
        <v>532143.02892326657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70952.457299229587</v>
      </c>
      <c r="D76" s="13">
        <v>114000</v>
      </c>
      <c r="E76" s="13">
        <f t="shared" si="2"/>
        <v>184952.45729922957</v>
      </c>
      <c r="F76" s="2">
        <f t="shared" si="3"/>
        <v>4623811.4324807394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3475669.7368421042</v>
      </c>
      <c r="E78" s="13">
        <f>D78</f>
        <v>3475669.7368421042</v>
      </c>
      <c r="F78" s="2">
        <f>E78*25</f>
        <v>86891743.421052605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48075.452390244973</v>
      </c>
      <c r="D80" s="13">
        <v>59912.639999999992</v>
      </c>
      <c r="E80" s="13">
        <f>C80+D80</f>
        <v>107988.09239024497</v>
      </c>
      <c r="F80" s="2">
        <f>E80*25</f>
        <v>2699702.3097561244</v>
      </c>
    </row>
    <row r="81" spans="2:6" ht="14.7" thickBot="1" x14ac:dyDescent="0.55000000000000004">
      <c r="B81" s="11" t="s">
        <v>46</v>
      </c>
      <c r="C81" s="14"/>
      <c r="D81" s="14">
        <f>D100*2.0865</f>
        <v>65499154.579229102</v>
      </c>
      <c r="E81" s="14">
        <f>D81</f>
        <v>65499154.579229102</v>
      </c>
      <c r="F81" s="4">
        <f>E81*25</f>
        <v>1637478864.4807274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125413.6308464052</v>
      </c>
      <c r="D83" s="14">
        <v>6284448.5600112705</v>
      </c>
      <c r="E83" s="14">
        <v>6409862.1908576749</v>
      </c>
      <c r="F83" s="4">
        <f>E83*25</f>
        <v>160246554.77144188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1</v>
      </c>
      <c r="D87" s="2">
        <v>100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1</v>
      </c>
      <c r="D89" s="2">
        <v>1000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2</v>
      </c>
      <c r="D91" s="4">
        <v>1100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213</v>
      </c>
      <c r="D95" s="4">
        <v>3744.54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1665789.4736842101</v>
      </c>
      <c r="D99" s="2">
        <f>C99*25</f>
        <v>41644736.842105255</v>
      </c>
      <c r="F99" s="2"/>
    </row>
    <row r="100" spans="2:6" x14ac:dyDescent="0.5">
      <c r="B100" s="10" t="s">
        <v>53</v>
      </c>
      <c r="C100" s="13">
        <v>1255675.1417058059</v>
      </c>
      <c r="D100" s="2">
        <f>C100*25</f>
        <v>31391878.542645149</v>
      </c>
      <c r="F100" s="2"/>
    </row>
    <row r="101" spans="2:6" ht="14.7" thickBot="1" x14ac:dyDescent="0.55000000000000004">
      <c r="B101" s="11" t="s">
        <v>26</v>
      </c>
      <c r="C101" s="14">
        <f>C99+C100</f>
        <v>2921464.6153900158</v>
      </c>
      <c r="D101" s="4">
        <f>D99+D100</f>
        <v>73036615.384750396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4465148.6842105249</v>
      </c>
      <c r="D105" s="29">
        <f t="shared" si="4"/>
        <v>111628717.10526313</v>
      </c>
      <c r="F105" s="2"/>
    </row>
    <row r="106" spans="2:6" x14ac:dyDescent="0.5">
      <c r="B106" s="10" t="s">
        <v>53</v>
      </c>
      <c r="C106" s="13">
        <f t="shared" si="4"/>
        <v>3365837.2173424126</v>
      </c>
      <c r="D106" s="29">
        <f t="shared" si="4"/>
        <v>84145930.433560312</v>
      </c>
      <c r="F106" s="2"/>
    </row>
    <row r="107" spans="2:6" ht="14.7" thickBot="1" x14ac:dyDescent="0.55000000000000004">
      <c r="B107" s="11" t="s">
        <v>26</v>
      </c>
      <c r="C107" s="14">
        <f t="shared" si="4"/>
        <v>7830985.901552937</v>
      </c>
      <c r="D107" s="30">
        <f t="shared" si="4"/>
        <v>195774647.53882343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2041004.1961781795</v>
      </c>
      <c r="D8" s="13">
        <f>29*D27</f>
        <v>60900</v>
      </c>
      <c r="E8" s="13">
        <f>C8+D8</f>
        <v>2101904.1961781792</v>
      </c>
      <c r="F8" s="2">
        <f>E8*25</f>
        <v>52547604.904454485</v>
      </c>
      <c r="H8" s="7" t="s">
        <v>9</v>
      </c>
      <c r="I8" s="16">
        <f>1615 * J27*((0.05*((1.05)^25))/((1.05^25)-1))</f>
        <v>80211.752976779084</v>
      </c>
      <c r="J8" s="13">
        <f>29*J27</f>
        <v>20300</v>
      </c>
      <c r="K8" s="13">
        <f>I8+J8</f>
        <v>100511.75297677908</v>
      </c>
      <c r="L8" s="2">
        <f>K8*25</f>
        <v>2512793.824419477</v>
      </c>
      <c r="N8" s="31"/>
    </row>
    <row r="9" spans="2:14" x14ac:dyDescent="0.5">
      <c r="B9" s="7" t="s">
        <v>10</v>
      </c>
      <c r="C9" s="10">
        <f>13698 * D28*((0.05*((1.05)^25))/((1.05^25)-1))</f>
        <v>0</v>
      </c>
      <c r="D9" s="13">
        <f>29*D28</f>
        <v>0</v>
      </c>
      <c r="E9" s="13">
        <f>C9+D9</f>
        <v>0</v>
      </c>
      <c r="F9" s="2">
        <f>E9*25</f>
        <v>0</v>
      </c>
      <c r="H9" s="7" t="s">
        <v>10</v>
      </c>
      <c r="I9" s="16">
        <f t="shared" ref="I9:I11" si="0">1615 * J28*((0.05*((1.05)^25))/((1.05^25)-1))</f>
        <v>171882.32780738376</v>
      </c>
      <c r="J9" s="13">
        <f>29*J28</f>
        <v>43500</v>
      </c>
      <c r="K9" s="13">
        <f>I9+J9</f>
        <v>215382.32780738376</v>
      </c>
      <c r="L9" s="2">
        <f>K9*25</f>
        <v>5384558.195184594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644932.78332797438</v>
      </c>
      <c r="D13" s="13">
        <f>37.35*D38</f>
        <v>74700</v>
      </c>
      <c r="E13" s="13">
        <f>C13+D13</f>
        <v>719632.78332797438</v>
      </c>
      <c r="F13" s="2">
        <f>E13*25</f>
        <v>17990819.583199359</v>
      </c>
      <c r="H13" s="7" t="s">
        <v>14</v>
      </c>
      <c r="I13" s="16">
        <f>2490 * J38*((0.05*((1.05)^10))/((1.05^10)-1))</f>
        <v>644932.78332797438</v>
      </c>
      <c r="J13" s="13">
        <f>37.35*J38</f>
        <v>74700</v>
      </c>
      <c r="K13" s="13">
        <f>I13+J13</f>
        <v>719632.78332797438</v>
      </c>
      <c r="L13" s="2">
        <f>K13*25</f>
        <v>17990819.583199359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35160</v>
      </c>
      <c r="E17" s="14">
        <f>D17+C17</f>
        <v>64727.531751746901</v>
      </c>
      <c r="F17" s="4">
        <f>E17*25</f>
        <v>1618188.2937936725</v>
      </c>
      <c r="H17" s="8" t="s">
        <v>18</v>
      </c>
      <c r="I17" s="17">
        <v>28213.29365624706</v>
      </c>
      <c r="J17" s="14">
        <v>35160</v>
      </c>
      <c r="K17" s="14">
        <f>J17+I17</f>
        <v>63373.293656247057</v>
      </c>
      <c r="L17" s="4">
        <f>K17*25</f>
        <v>1584332.3414061763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299706.06315723207</v>
      </c>
      <c r="D19" s="14">
        <v>0</v>
      </c>
      <c r="E19" s="14">
        <f>C19</f>
        <v>299706.06315723207</v>
      </c>
      <c r="F19" s="4">
        <f>E19*25</f>
        <v>7492651.5789308017</v>
      </c>
      <c r="H19" s="8"/>
      <c r="I19" s="17">
        <f>I48*300*((0.05*((1.05)^20))/((1.05^20)-1))</f>
        <v>204377.86957469079</v>
      </c>
      <c r="J19" s="14">
        <v>0</v>
      </c>
      <c r="K19" s="14">
        <f>I19</f>
        <v>204377.86957469079</v>
      </c>
      <c r="L19" s="4">
        <f>K19*25</f>
        <v>5109446.7393672699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0</v>
      </c>
      <c r="D21" s="14">
        <f>19*C34</f>
        <v>0</v>
      </c>
      <c r="E21" s="14">
        <f>D21+C21</f>
        <v>0</v>
      </c>
      <c r="F21" s="4">
        <f>E21*25</f>
        <v>0</v>
      </c>
      <c r="H21" s="7"/>
      <c r="I21" s="11">
        <f>1693 * I34*((0.05*((1.05)^20))/((1.05^20)-1))</f>
        <v>0</v>
      </c>
      <c r="J21" s="14">
        <f>19*I34</f>
        <v>0</v>
      </c>
      <c r="K21" s="14">
        <f>J21+I21</f>
        <v>0</v>
      </c>
      <c r="L21" s="4">
        <f>K21*25</f>
        <v>0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3015210.5744151324</v>
      </c>
      <c r="D23" s="14">
        <f>D8+D9+D10+D11+D13+D14+D15+D17+D19+D21</f>
        <v>170760</v>
      </c>
      <c r="E23" s="14">
        <f>E8+E9+E10+E11+E13+E14+E15+E17+E19+E21</f>
        <v>3185970.5744151324</v>
      </c>
      <c r="F23" s="4">
        <f>E23*25</f>
        <v>79649264.36037831</v>
      </c>
      <c r="H23" s="36"/>
      <c r="I23" s="11">
        <f>I8+I9+I11+I10+I13+I14+I15+I17+I19+I21</f>
        <v>1129618.027343075</v>
      </c>
      <c r="J23" s="14">
        <f>J8+J9+J10+J11+J13+J14+J15+J17+J19+J21</f>
        <v>173660</v>
      </c>
      <c r="K23" s="14">
        <f>K8+K9+K10+K11+K13+K14+K15+K17+K19+K21</f>
        <v>1303278.027343075</v>
      </c>
      <c r="L23" s="4">
        <f>K23*25</f>
        <v>32581950.683576874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21</v>
      </c>
      <c r="D27" s="2">
        <v>2100</v>
      </c>
      <c r="F27" s="2"/>
      <c r="H27" s="10" t="s">
        <v>9</v>
      </c>
      <c r="I27" s="13">
        <v>7</v>
      </c>
      <c r="J27" s="2">
        <v>700</v>
      </c>
      <c r="L27" s="2"/>
    </row>
    <row r="28" spans="2:12" x14ac:dyDescent="0.5">
      <c r="B28" s="10" t="s">
        <v>10</v>
      </c>
      <c r="C28" s="13">
        <v>0</v>
      </c>
      <c r="D28" s="2">
        <v>0</v>
      </c>
      <c r="F28" s="2"/>
      <c r="H28" s="10" t="s">
        <v>10</v>
      </c>
      <c r="I28" s="13">
        <v>3</v>
      </c>
      <c r="J28" s="2">
        <v>1500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21</v>
      </c>
      <c r="D31" s="4">
        <v>2100</v>
      </c>
      <c r="F31" s="2"/>
      <c r="H31" s="11" t="s">
        <v>26</v>
      </c>
      <c r="I31" s="14">
        <v>10</v>
      </c>
      <c r="J31" s="4">
        <v>2200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0</v>
      </c>
      <c r="F34" s="2"/>
      <c r="H34" s="18" t="s">
        <v>25</v>
      </c>
      <c r="I34" s="4">
        <v>0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2</v>
      </c>
      <c r="D38" s="2">
        <v>2000</v>
      </c>
      <c r="F38" s="2"/>
      <c r="H38" s="10" t="s">
        <v>14</v>
      </c>
      <c r="I38" s="13">
        <v>2</v>
      </c>
      <c r="J38" s="2">
        <v>2000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2</v>
      </c>
      <c r="D41" s="4">
        <v>2000</v>
      </c>
      <c r="F41" s="2"/>
      <c r="H41" s="11" t="s">
        <v>26</v>
      </c>
      <c r="I41" s="14">
        <v>2</v>
      </c>
      <c r="J41" s="4">
        <v>2000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125</v>
      </c>
      <c r="D45" s="4">
        <v>2197.5</v>
      </c>
      <c r="F45" s="2"/>
      <c r="H45" s="11" t="s">
        <v>18</v>
      </c>
      <c r="I45" s="14">
        <v>125</v>
      </c>
      <c r="J45" s="4">
        <v>2197.5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12450</v>
      </c>
      <c r="F48" s="2"/>
      <c r="H48" s="18" t="s">
        <v>29</v>
      </c>
      <c r="I48" s="4">
        <v>8490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1994812.8750147801</v>
      </c>
      <c r="D52" s="2">
        <f>C52*25</f>
        <v>49870321.875369504</v>
      </c>
      <c r="F52" s="2"/>
      <c r="H52" s="10" t="s">
        <v>35</v>
      </c>
      <c r="I52" s="13">
        <v>2431273.56</v>
      </c>
      <c r="J52" s="2">
        <f>I52*25</f>
        <v>60781839</v>
      </c>
      <c r="L52" s="2"/>
    </row>
    <row r="53" spans="2:12" ht="17.45" customHeight="1" thickBot="1" x14ac:dyDescent="0.55000000000000004">
      <c r="B53" s="11" t="s">
        <v>36</v>
      </c>
      <c r="C53" s="17">
        <v>273482.29683831299</v>
      </c>
      <c r="D53" s="4">
        <f>C53*25</f>
        <v>6837057.4209578251</v>
      </c>
      <c r="F53" s="2"/>
      <c r="H53" s="11" t="s">
        <v>36</v>
      </c>
      <c r="I53" s="14">
        <v>77961.064750000005</v>
      </c>
      <c r="J53" s="4">
        <f>I53*25</f>
        <v>1949026.6187500001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541801.02778179501</v>
      </c>
      <c r="D57" s="2">
        <f>C57*25</f>
        <v>13545025.694544876</v>
      </c>
      <c r="F57" s="2"/>
      <c r="H57" s="10" t="s">
        <v>35</v>
      </c>
      <c r="I57" s="13">
        <v>660345.90379999997</v>
      </c>
      <c r="J57" s="2">
        <f>I57*25</f>
        <v>16508647.594999999</v>
      </c>
      <c r="L57" s="2"/>
    </row>
    <row r="58" spans="2:12" ht="21.45" customHeight="1" thickBot="1" x14ac:dyDescent="0.55000000000000004">
      <c r="B58" s="11" t="s">
        <v>36</v>
      </c>
      <c r="C58" s="17">
        <v>155881.3193562552</v>
      </c>
      <c r="D58" s="4">
        <f>C58*25</f>
        <v>3897032.9839063799</v>
      </c>
      <c r="F58" s="2"/>
      <c r="H58" s="11" t="s">
        <v>36</v>
      </c>
      <c r="I58" s="14">
        <v>76831.276845800006</v>
      </c>
      <c r="J58" s="4">
        <f>I58*25</f>
        <v>1920781.9211450003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112030.107413793</v>
      </c>
      <c r="F61" s="2"/>
      <c r="H61" s="18" t="s">
        <v>38</v>
      </c>
      <c r="I61" s="4">
        <v>76410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0.84523139236944655</v>
      </c>
      <c r="C64" s="41"/>
      <c r="D64" s="3"/>
      <c r="E64" s="3"/>
      <c r="F64" s="4"/>
      <c r="H64" s="40">
        <f>K23/B68</f>
        <v>0.34575696038809617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3769347.1908134716</v>
      </c>
      <c r="C68" s="4">
        <f>D107</f>
        <v>94233679.770336792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25542.884627722651</v>
      </c>
      <c r="D74" s="13">
        <v>59600</v>
      </c>
      <c r="E74" s="13">
        <f>C74+D74</f>
        <v>85142.884627722655</v>
      </c>
      <c r="F74" s="2">
        <f>E74*25</f>
        <v>2128572.1156930663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1321083.94736842</v>
      </c>
      <c r="E78" s="13">
        <f>D78</f>
        <v>1321083.94736842</v>
      </c>
      <c r="F78" s="2">
        <f>E78*25</f>
        <v>33027098.684210498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28213.29365624706</v>
      </c>
      <c r="D80" s="13">
        <v>35160</v>
      </c>
      <c r="E80" s="13">
        <f>C80+D80</f>
        <v>63373.293656247057</v>
      </c>
      <c r="F80" s="2">
        <f>E80*25</f>
        <v>1584332.3414061763</v>
      </c>
    </row>
    <row r="81" spans="2:6" ht="14.7" thickBot="1" x14ac:dyDescent="0.55000000000000004">
      <c r="B81" s="11" t="s">
        <v>46</v>
      </c>
      <c r="C81" s="14"/>
      <c r="D81" s="14">
        <f>D100*2.0865</f>
        <v>40324355.462705269</v>
      </c>
      <c r="E81" s="14">
        <f>D81</f>
        <v>40324355.462705269</v>
      </c>
      <c r="F81" s="4">
        <f>E81*25</f>
        <v>1008108886.5676317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53756.178283969712</v>
      </c>
      <c r="D83" s="14">
        <v>3028818.1658766312</v>
      </c>
      <c r="E83" s="14">
        <v>3082574.344160601</v>
      </c>
      <c r="F83" s="4">
        <f>E83*25</f>
        <v>77064358.604015023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4</v>
      </c>
      <c r="D87" s="2">
        <v>400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4</v>
      </c>
      <c r="D91" s="4">
        <v>400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125</v>
      </c>
      <c r="D95" s="4">
        <v>2197.5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633157.89473684155</v>
      </c>
      <c r="D99" s="2">
        <f>C99*25</f>
        <v>15828947.368421039</v>
      </c>
      <c r="F99" s="2"/>
    </row>
    <row r="100" spans="2:6" x14ac:dyDescent="0.5">
      <c r="B100" s="10" t="s">
        <v>53</v>
      </c>
      <c r="C100" s="13">
        <v>773052.58495480986</v>
      </c>
      <c r="D100" s="2">
        <f>C100*25</f>
        <v>19326314.623870246</v>
      </c>
      <c r="F100" s="2"/>
    </row>
    <row r="101" spans="2:6" ht="14.7" thickBot="1" x14ac:dyDescent="0.55000000000000004">
      <c r="B101" s="11" t="s">
        <v>26</v>
      </c>
      <c r="C101" s="14">
        <f>C99+C100</f>
        <v>1406210.4796916514</v>
      </c>
      <c r="D101" s="4">
        <f>D99+D100</f>
        <v>35155261.992291287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1697179.7368421038</v>
      </c>
      <c r="D105" s="29">
        <f t="shared" si="4"/>
        <v>42429493.42105259</v>
      </c>
      <c r="F105" s="2"/>
    </row>
    <row r="106" spans="2:6" x14ac:dyDescent="0.5">
      <c r="B106" s="10" t="s">
        <v>53</v>
      </c>
      <c r="C106" s="13">
        <f t="shared" si="4"/>
        <v>2072167.4539713678</v>
      </c>
      <c r="D106" s="29">
        <f t="shared" si="4"/>
        <v>51804186.349284194</v>
      </c>
      <c r="F106" s="2"/>
    </row>
    <row r="107" spans="2:6" ht="14.7" thickBot="1" x14ac:dyDescent="0.55000000000000004">
      <c r="B107" s="11" t="s">
        <v>26</v>
      </c>
      <c r="C107" s="14">
        <f t="shared" si="4"/>
        <v>3769347.1908134716</v>
      </c>
      <c r="D107" s="30">
        <f t="shared" si="4"/>
        <v>94233679.770336792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1069097.436093332</v>
      </c>
      <c r="D8" s="13">
        <f>29*D27</f>
        <v>31900</v>
      </c>
      <c r="E8" s="13">
        <f>C8+D8</f>
        <v>1100997.436093332</v>
      </c>
      <c r="F8" s="2">
        <f>E8*25</f>
        <v>27524935.902333301</v>
      </c>
      <c r="H8" s="7" t="s">
        <v>9</v>
      </c>
      <c r="I8" s="16">
        <f>1615 * J27*((0.05*((1.05)^25))/((1.05^25)-1))</f>
        <v>126047.04039208143</v>
      </c>
      <c r="J8" s="13">
        <f>29*J27</f>
        <v>31900</v>
      </c>
      <c r="K8" s="13">
        <f>I8+J8</f>
        <v>157947.04039208143</v>
      </c>
      <c r="L8" s="2">
        <f>K8*25</f>
        <v>3948676.0098020355</v>
      </c>
      <c r="N8" s="31"/>
    </row>
    <row r="9" spans="2:14" x14ac:dyDescent="0.5">
      <c r="B9" s="7" t="s">
        <v>10</v>
      </c>
      <c r="C9" s="10">
        <f>13698 * D28*((0.05*((1.05)^25))/((1.05^25)-1))</f>
        <v>0</v>
      </c>
      <c r="D9" s="13">
        <f>29*D28</f>
        <v>0</v>
      </c>
      <c r="E9" s="13">
        <f>C9+D9</f>
        <v>0</v>
      </c>
      <c r="F9" s="2">
        <f>E9*25</f>
        <v>0</v>
      </c>
      <c r="H9" s="7" t="s">
        <v>10</v>
      </c>
      <c r="I9" s="16">
        <f t="shared" ref="I9:I11" si="0">1615 * J28*((0.05*((1.05)^25))/((1.05^25)-1))</f>
        <v>0</v>
      </c>
      <c r="J9" s="13">
        <f>29*J28</f>
        <v>0</v>
      </c>
      <c r="K9" s="13">
        <f>I9+J9</f>
        <v>0</v>
      </c>
      <c r="L9" s="2">
        <f>K9*25</f>
        <v>0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322466.39166398719</v>
      </c>
      <c r="D13" s="13">
        <f>37.35*D38</f>
        <v>37350</v>
      </c>
      <c r="E13" s="13">
        <f>C13+D13</f>
        <v>359816.39166398719</v>
      </c>
      <c r="F13" s="2">
        <f>E13*25</f>
        <v>8995409.7915996797</v>
      </c>
      <c r="H13" s="7" t="s">
        <v>14</v>
      </c>
      <c r="I13" s="16">
        <f>2490 * J38*((0.05*((1.05)^10))/((1.05^10)-1))</f>
        <v>322466.39166398719</v>
      </c>
      <c r="J13" s="13">
        <f>37.35*J38</f>
        <v>37350</v>
      </c>
      <c r="K13" s="13">
        <f>I13+J13</f>
        <v>359816.39166398719</v>
      </c>
      <c r="L13" s="2">
        <f>K13*25</f>
        <v>8995409.7915996797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16876.8</v>
      </c>
      <c r="E17" s="14">
        <f>D17+C17</f>
        <v>46444.331751746897</v>
      </c>
      <c r="F17" s="4">
        <f>E17*25</f>
        <v>1161108.2937936725</v>
      </c>
      <c r="H17" s="8" t="s">
        <v>18</v>
      </c>
      <c r="I17" s="17">
        <v>13542.380954998591</v>
      </c>
      <c r="J17" s="14">
        <v>16876.8</v>
      </c>
      <c r="K17" s="14">
        <f>J17+I17</f>
        <v>30419.180954998592</v>
      </c>
      <c r="L17" s="4">
        <f>K17*25</f>
        <v>760479.5238749648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165620.69996158688</v>
      </c>
      <c r="D19" s="14">
        <v>0</v>
      </c>
      <c r="E19" s="14">
        <f>C19</f>
        <v>165620.69996158688</v>
      </c>
      <c r="F19" s="4">
        <f>E19*25</f>
        <v>4140517.4990396723</v>
      </c>
      <c r="H19" s="8"/>
      <c r="I19" s="17">
        <f>I48*300*((0.05*((1.05)^20))/((1.05^20)-1))</f>
        <v>161528.32801486162</v>
      </c>
      <c r="J19" s="14">
        <v>0</v>
      </c>
      <c r="K19" s="14">
        <f>I19</f>
        <v>161528.32801486162</v>
      </c>
      <c r="L19" s="4">
        <f>K19*25</f>
        <v>4038208.2003715406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271.70140022768078</v>
      </c>
      <c r="J21" s="14">
        <f>19*I34</f>
        <v>38</v>
      </c>
      <c r="K21" s="14">
        <f>J21+I21</f>
        <v>309.70140022768078</v>
      </c>
      <c r="L21" s="4">
        <f>K21*25</f>
        <v>7742.5350056920197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1587023.7608708807</v>
      </c>
      <c r="D23" s="14">
        <f>D8+D9+D10+D11+D13+D14+D15+D17+D19+D21</f>
        <v>86164.800000000003</v>
      </c>
      <c r="E23" s="14">
        <f>E8+E9+E10+E11+E13+E14+E15+E17+E19+E21</f>
        <v>1673188.5608708805</v>
      </c>
      <c r="F23" s="4">
        <f>E23*25</f>
        <v>41829714.021772012</v>
      </c>
      <c r="H23" s="36"/>
      <c r="I23" s="11">
        <f>I8+I9+I11+I10+I13+I14+I15+I17+I19+I21</f>
        <v>623855.84242615651</v>
      </c>
      <c r="J23" s="14">
        <f>J8+J9+J10+J11+J13+J14+J15+J17+J19+J21</f>
        <v>86164.800000000003</v>
      </c>
      <c r="K23" s="14">
        <f>K8+K9+K10+K11+K13+K14+K15+K17+K19+K21</f>
        <v>710020.64242615656</v>
      </c>
      <c r="L23" s="4">
        <f>K23*25</f>
        <v>17750516.060653914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11</v>
      </c>
      <c r="D27" s="2">
        <v>1100</v>
      </c>
      <c r="F27" s="2"/>
      <c r="H27" s="10" t="s">
        <v>9</v>
      </c>
      <c r="I27" s="13">
        <v>11</v>
      </c>
      <c r="J27" s="2">
        <v>1100</v>
      </c>
      <c r="L27" s="2"/>
    </row>
    <row r="28" spans="2:12" x14ac:dyDescent="0.5">
      <c r="B28" s="10" t="s">
        <v>10</v>
      </c>
      <c r="C28" s="13">
        <v>0</v>
      </c>
      <c r="D28" s="2">
        <v>0</v>
      </c>
      <c r="F28" s="2"/>
      <c r="H28" s="10" t="s">
        <v>10</v>
      </c>
      <c r="I28" s="13">
        <v>0</v>
      </c>
      <c r="J28" s="2">
        <v>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11</v>
      </c>
      <c r="D31" s="4">
        <v>1100</v>
      </c>
      <c r="F31" s="2"/>
      <c r="H31" s="11" t="s">
        <v>26</v>
      </c>
      <c r="I31" s="14">
        <v>11</v>
      </c>
      <c r="J31" s="4">
        <v>1100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1</v>
      </c>
      <c r="D38" s="2">
        <v>1000</v>
      </c>
      <c r="F38" s="2"/>
      <c r="H38" s="10" t="s">
        <v>14</v>
      </c>
      <c r="I38" s="13">
        <v>1</v>
      </c>
      <c r="J38" s="2">
        <v>1000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1</v>
      </c>
      <c r="D41" s="4">
        <v>1000</v>
      </c>
      <c r="F41" s="2"/>
      <c r="H41" s="11" t="s">
        <v>26</v>
      </c>
      <c r="I41" s="14">
        <v>1</v>
      </c>
      <c r="J41" s="4">
        <v>1000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60</v>
      </c>
      <c r="D45" s="4">
        <v>1054.8</v>
      </c>
      <c r="F45" s="2"/>
      <c r="H45" s="11" t="s">
        <v>18</v>
      </c>
      <c r="I45" s="14">
        <v>60</v>
      </c>
      <c r="J45" s="4">
        <v>1054.8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6880</v>
      </c>
      <c r="F48" s="2"/>
      <c r="H48" s="18" t="s">
        <v>29</v>
      </c>
      <c r="I48" s="4">
        <v>6710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1533340.4284892001</v>
      </c>
      <c r="D52" s="2">
        <f>C52*25</f>
        <v>38333510.712230004</v>
      </c>
      <c r="F52" s="2"/>
      <c r="H52" s="10" t="s">
        <v>35</v>
      </c>
      <c r="I52" s="13">
        <v>1560968.82</v>
      </c>
      <c r="J52" s="2">
        <f>I52*25</f>
        <v>39024220.5</v>
      </c>
      <c r="L52" s="2"/>
    </row>
    <row r="53" spans="2:12" ht="17.45" customHeight="1" thickBot="1" x14ac:dyDescent="0.55000000000000004">
      <c r="B53" s="11" t="s">
        <v>36</v>
      </c>
      <c r="C53" s="17">
        <v>70202.61883254227</v>
      </c>
      <c r="D53" s="4">
        <f>C53*25</f>
        <v>1755065.4708135568</v>
      </c>
      <c r="F53" s="2"/>
      <c r="H53" s="11" t="s">
        <v>36</v>
      </c>
      <c r="I53" s="14">
        <v>61248.472072800003</v>
      </c>
      <c r="J53" s="4">
        <f>I53*25</f>
        <v>1531211.8018200002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416462.832429167</v>
      </c>
      <c r="D57" s="2">
        <f>C57*25</f>
        <v>10411570.810729176</v>
      </c>
      <c r="F57" s="2"/>
      <c r="H57" s="10" t="s">
        <v>35</v>
      </c>
      <c r="I57" s="13">
        <v>423966.84039999999</v>
      </c>
      <c r="J57" s="2">
        <f>I57*25</f>
        <v>10599171.01</v>
      </c>
      <c r="L57" s="2"/>
    </row>
    <row r="58" spans="2:12" ht="21.45" customHeight="1" thickBot="1" x14ac:dyDescent="0.55000000000000004">
      <c r="B58" s="11" t="s">
        <v>36</v>
      </c>
      <c r="C58" s="17">
        <v>64147.924504707822</v>
      </c>
      <c r="D58" s="4">
        <f>C58*25</f>
        <v>1603698.1126176955</v>
      </c>
      <c r="F58" s="2"/>
      <c r="H58" s="11" t="s">
        <v>36</v>
      </c>
      <c r="I58" s="14">
        <v>60623.165254300002</v>
      </c>
      <c r="J58" s="4">
        <f>I58*25</f>
        <v>1515579.1313575001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61890.2418739899</v>
      </c>
      <c r="F61" s="2"/>
      <c r="H61" s="18" t="s">
        <v>38</v>
      </c>
      <c r="I61" s="4">
        <v>60390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1.0669952781406298</v>
      </c>
      <c r="C64" s="41"/>
      <c r="D64" s="3"/>
      <c r="E64" s="3"/>
      <c r="F64" s="4"/>
      <c r="H64" s="40">
        <f>K23/B68</f>
        <v>0.45278140824532476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1568131.1765377414</v>
      </c>
      <c r="C68" s="4">
        <f>D107</f>
        <v>39203279.413443536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12771.442313861329</v>
      </c>
      <c r="D74" s="13">
        <v>29800</v>
      </c>
      <c r="E74" s="13">
        <f>C74+D74</f>
        <v>42571.442313861327</v>
      </c>
      <c r="F74" s="2">
        <f>E74*25</f>
        <v>1064286.0578465331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426634.34210526291</v>
      </c>
      <c r="E78" s="13">
        <f>D78</f>
        <v>426634.34210526291</v>
      </c>
      <c r="F78" s="2">
        <f>E78*25</f>
        <v>10665858.552631572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13542.380954998591</v>
      </c>
      <c r="D80" s="13">
        <v>16876.8</v>
      </c>
      <c r="E80" s="13">
        <f>C80+D80</f>
        <v>30419.180954998592</v>
      </c>
      <c r="F80" s="2">
        <f>E80*25</f>
        <v>760479.5238749648</v>
      </c>
    </row>
    <row r="81" spans="2:6" ht="14.7" thickBot="1" x14ac:dyDescent="0.55000000000000004">
      <c r="B81" s="11" t="s">
        <v>46</v>
      </c>
      <c r="C81" s="14"/>
      <c r="D81" s="14">
        <f>D100*2.0865</f>
        <v>19849956.592360012</v>
      </c>
      <c r="E81" s="14">
        <f>D81</f>
        <v>19849956.592360012</v>
      </c>
      <c r="F81" s="4">
        <f>E81*25</f>
        <v>496248914.80900031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26313.823268859909</v>
      </c>
      <c r="D83" s="14">
        <v>1267309.4057996629</v>
      </c>
      <c r="E83" s="14">
        <v>1293623.229068523</v>
      </c>
      <c r="F83" s="4">
        <f>E83*25</f>
        <v>32340580.726713076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2</v>
      </c>
      <c r="D87" s="2">
        <v>200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2</v>
      </c>
      <c r="D91" s="4">
        <v>200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60</v>
      </c>
      <c r="D95" s="4">
        <v>1054.8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204473.6842105262</v>
      </c>
      <c r="D99" s="2">
        <f>C99*25</f>
        <v>5111842.105263155</v>
      </c>
      <c r="F99" s="2"/>
    </row>
    <row r="100" spans="2:6" x14ac:dyDescent="0.5">
      <c r="B100" s="10" t="s">
        <v>53</v>
      </c>
      <c r="C100" s="13">
        <v>380540.74464145722</v>
      </c>
      <c r="D100" s="2">
        <f>C100*25</f>
        <v>9513518.61603643</v>
      </c>
      <c r="F100" s="2"/>
    </row>
    <row r="101" spans="2:6" ht="14.7" thickBot="1" x14ac:dyDescent="0.55000000000000004">
      <c r="B101" s="11" t="s">
        <v>26</v>
      </c>
      <c r="C101" s="14">
        <f>C99+C100</f>
        <v>585014.42885198339</v>
      </c>
      <c r="D101" s="4">
        <f>D99+D100</f>
        <v>14625360.721299585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548091.7105263155</v>
      </c>
      <c r="D105" s="29">
        <f t="shared" si="4"/>
        <v>13702292.763157886</v>
      </c>
      <c r="F105" s="2"/>
    </row>
    <row r="106" spans="2:6" x14ac:dyDescent="0.5">
      <c r="B106" s="10" t="s">
        <v>53</v>
      </c>
      <c r="C106" s="13">
        <f t="shared" si="4"/>
        <v>1020039.4660114261</v>
      </c>
      <c r="D106" s="29">
        <f t="shared" si="4"/>
        <v>25500986.65028565</v>
      </c>
      <c r="F106" s="2"/>
    </row>
    <row r="107" spans="2:6" ht="14.7" thickBot="1" x14ac:dyDescent="0.55000000000000004">
      <c r="B107" s="11" t="s">
        <v>26</v>
      </c>
      <c r="C107" s="14">
        <f t="shared" si="4"/>
        <v>1568131.1765377414</v>
      </c>
      <c r="D107" s="30">
        <f t="shared" si="4"/>
        <v>39203279.413443536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3790436.364330905</v>
      </c>
      <c r="D8" s="13">
        <f>29*D27</f>
        <v>113100</v>
      </c>
      <c r="E8" s="13">
        <f>C8+D8</f>
        <v>3903536.364330905</v>
      </c>
      <c r="F8" s="2">
        <f>E8*25</f>
        <v>97588409.108272627</v>
      </c>
      <c r="H8" s="7" t="s">
        <v>9</v>
      </c>
      <c r="I8" s="16">
        <f>1615 * J27*((0.05*((1.05)^25))/((1.05^25)-1))</f>
        <v>515646.9834221513</v>
      </c>
      <c r="J8" s="13">
        <f>29*J27</f>
        <v>130500</v>
      </c>
      <c r="K8" s="13">
        <f>I8+J8</f>
        <v>646146.9834221513</v>
      </c>
      <c r="L8" s="2">
        <f>K8*25</f>
        <v>16153674.585553782</v>
      </c>
      <c r="N8" s="31"/>
    </row>
    <row r="9" spans="2:14" x14ac:dyDescent="0.5">
      <c r="B9" s="7" t="s">
        <v>10</v>
      </c>
      <c r="C9" s="10">
        <f>13698 * D28*((0.05*((1.05)^25))/((1.05^25)-1))</f>
        <v>485953.38004242367</v>
      </c>
      <c r="D9" s="13">
        <f>29*D28</f>
        <v>14500</v>
      </c>
      <c r="E9" s="13">
        <f>C9+D9</f>
        <v>500453.38004242367</v>
      </c>
      <c r="F9" s="2">
        <f>E9*25</f>
        <v>12511334.501060592</v>
      </c>
      <c r="H9" s="7" t="s">
        <v>10</v>
      </c>
      <c r="I9" s="16">
        <f t="shared" ref="I9:I11" si="0">1615 * J28*((0.05*((1.05)^25))/((1.05^25)-1))</f>
        <v>0</v>
      </c>
      <c r="J9" s="13">
        <f>29*J28</f>
        <v>0</v>
      </c>
      <c r="K9" s="13">
        <f>I9+J9</f>
        <v>0</v>
      </c>
      <c r="L9" s="2">
        <f>K9*25</f>
        <v>0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1289865.5666559488</v>
      </c>
      <c r="D13" s="13">
        <f>37.35*D38</f>
        <v>149400</v>
      </c>
      <c r="E13" s="13">
        <f>C13+D13</f>
        <v>1439265.5666559488</v>
      </c>
      <c r="F13" s="2">
        <f>E13*25</f>
        <v>35981639.166398719</v>
      </c>
      <c r="H13" s="7" t="s">
        <v>14</v>
      </c>
      <c r="I13" s="16">
        <f>2490 * J38*((0.05*((1.05)^10))/((1.05^10)-1))</f>
        <v>1289865.5666559488</v>
      </c>
      <c r="J13" s="13">
        <f>37.35*J38</f>
        <v>149400</v>
      </c>
      <c r="K13" s="13">
        <f>I13+J13</f>
        <v>1439265.5666559488</v>
      </c>
      <c r="L13" s="2">
        <f>K13*25</f>
        <v>35981639.166398719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79320.959999999992</v>
      </c>
      <c r="E17" s="14">
        <f>D17+C17</f>
        <v>108888.49175174689</v>
      </c>
      <c r="F17" s="4">
        <f>E17*25</f>
        <v>2722212.2937936722</v>
      </c>
      <c r="H17" s="8" t="s">
        <v>18</v>
      </c>
      <c r="I17" s="17">
        <v>63649.190488493346</v>
      </c>
      <c r="J17" s="14">
        <v>79320.959999999992</v>
      </c>
      <c r="K17" s="14">
        <f>J17+I17</f>
        <v>142970.15048849332</v>
      </c>
      <c r="L17" s="4">
        <f>K17*25</f>
        <v>3574253.7622123333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671630.45478608634</v>
      </c>
      <c r="D19" s="14">
        <v>0</v>
      </c>
      <c r="E19" s="14">
        <f>C19</f>
        <v>671630.45478608634</v>
      </c>
      <c r="F19" s="4">
        <f>E19*25</f>
        <v>16790761.36965216</v>
      </c>
      <c r="H19" s="8"/>
      <c r="I19" s="17">
        <f>I48*300*((0.05*((1.05)^20))/((1.05^20)-1))</f>
        <v>650927.86729088798</v>
      </c>
      <c r="J19" s="14">
        <v>0</v>
      </c>
      <c r="K19" s="14">
        <f>I19</f>
        <v>650927.86729088798</v>
      </c>
      <c r="L19" s="4">
        <f>K19*25</f>
        <v>16273196.6822722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0</v>
      </c>
      <c r="D21" s="14">
        <f>19*C34</f>
        <v>0</v>
      </c>
      <c r="E21" s="14">
        <f>D21+C21</f>
        <v>0</v>
      </c>
      <c r="F21" s="4">
        <f>E21*25</f>
        <v>0</v>
      </c>
      <c r="H21" s="7"/>
      <c r="I21" s="11">
        <f>1693 * I34*((0.05*((1.05)^20))/((1.05^20)-1))</f>
        <v>271.70140022768078</v>
      </c>
      <c r="J21" s="14">
        <f>19*I34</f>
        <v>38</v>
      </c>
      <c r="K21" s="14">
        <f>J21+I21</f>
        <v>309.70140022768078</v>
      </c>
      <c r="L21" s="4">
        <f>K21*25</f>
        <v>7742.5350056920197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6267453.2975671114</v>
      </c>
      <c r="D23" s="14">
        <f>D8+D9+D10+D11+D13+D14+D15+D17+D19+D21</f>
        <v>356320.95999999996</v>
      </c>
      <c r="E23" s="14">
        <f>E8+E9+E10+E11+E13+E14+E15+E17+E19+E21</f>
        <v>6623774.2575671114</v>
      </c>
      <c r="F23" s="4">
        <f>E23*25</f>
        <v>165594356.43917778</v>
      </c>
      <c r="H23" s="36"/>
      <c r="I23" s="11">
        <f>I8+I9+I11+I10+I13+I14+I15+I17+I19+I21</f>
        <v>2520361.3092577094</v>
      </c>
      <c r="J23" s="14">
        <f>J8+J9+J10+J11+J13+J14+J15+J17+J19+J21</f>
        <v>359258.95999999996</v>
      </c>
      <c r="K23" s="14">
        <f>K8+K9+K10+K11+K13+K14+K15+K17+K19+K21</f>
        <v>2879620.2692577094</v>
      </c>
      <c r="L23" s="4">
        <f>K23*25</f>
        <v>71990506.731442735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39</v>
      </c>
      <c r="D27" s="2">
        <v>3900</v>
      </c>
      <c r="F27" s="2"/>
      <c r="H27" s="10" t="s">
        <v>9</v>
      </c>
      <c r="I27" s="13">
        <v>45</v>
      </c>
      <c r="J27" s="2">
        <v>4500</v>
      </c>
      <c r="L27" s="2"/>
    </row>
    <row r="28" spans="2:12" x14ac:dyDescent="0.5">
      <c r="B28" s="10" t="s">
        <v>10</v>
      </c>
      <c r="C28" s="13">
        <v>1</v>
      </c>
      <c r="D28" s="2">
        <v>500</v>
      </c>
      <c r="F28" s="2"/>
      <c r="H28" s="10" t="s">
        <v>10</v>
      </c>
      <c r="I28" s="13">
        <v>0</v>
      </c>
      <c r="J28" s="2">
        <v>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40</v>
      </c>
      <c r="D31" s="4">
        <v>4400</v>
      </c>
      <c r="F31" s="2"/>
      <c r="H31" s="11" t="s">
        <v>26</v>
      </c>
      <c r="I31" s="14">
        <v>45</v>
      </c>
      <c r="J31" s="4">
        <v>4500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0</v>
      </c>
      <c r="F34" s="2"/>
      <c r="H34" s="18" t="s">
        <v>25</v>
      </c>
      <c r="I34" s="4">
        <v>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4</v>
      </c>
      <c r="D38" s="2">
        <v>4000</v>
      </c>
      <c r="F38" s="2"/>
      <c r="H38" s="10" t="s">
        <v>14</v>
      </c>
      <c r="I38" s="13">
        <v>4</v>
      </c>
      <c r="J38" s="2">
        <v>4000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4</v>
      </c>
      <c r="D41" s="4">
        <v>4000</v>
      </c>
      <c r="F41" s="2"/>
      <c r="H41" s="11" t="s">
        <v>26</v>
      </c>
      <c r="I41" s="14">
        <v>4</v>
      </c>
      <c r="J41" s="4">
        <v>4000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282</v>
      </c>
      <c r="D45" s="4">
        <v>4957.5599999999986</v>
      </c>
      <c r="F45" s="2"/>
      <c r="H45" s="11" t="s">
        <v>18</v>
      </c>
      <c r="I45" s="14">
        <v>282</v>
      </c>
      <c r="J45" s="4">
        <v>4957.5599999999986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27900</v>
      </c>
      <c r="F48" s="2"/>
      <c r="H48" s="18" t="s">
        <v>29</v>
      </c>
      <c r="I48" s="4">
        <v>27040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5312829.6315386901</v>
      </c>
      <c r="D52" s="2">
        <f>C52*25</f>
        <v>132820740.78846726</v>
      </c>
      <c r="F52" s="2"/>
      <c r="H52" s="10" t="s">
        <v>35</v>
      </c>
      <c r="I52" s="13">
        <v>2972054.55</v>
      </c>
      <c r="J52" s="2">
        <f>I52*25</f>
        <v>74301363.75</v>
      </c>
      <c r="L52" s="2"/>
    </row>
    <row r="53" spans="2:12" ht="17.45" customHeight="1" thickBot="1" x14ac:dyDescent="0.55000000000000004">
      <c r="B53" s="11" t="s">
        <v>36</v>
      </c>
      <c r="C53" s="17">
        <v>562767.70203039004</v>
      </c>
      <c r="D53" s="4">
        <f>C53*25</f>
        <v>14069192.550759751</v>
      </c>
      <c r="F53" s="2"/>
      <c r="H53" s="11" t="s">
        <v>36</v>
      </c>
      <c r="I53" s="14">
        <v>462106.49129999999</v>
      </c>
      <c r="J53" s="4">
        <f>I53*25</f>
        <v>11552662.282500001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1442990.76412162</v>
      </c>
      <c r="D57" s="2">
        <f>C57*25</f>
        <v>36074769.103040501</v>
      </c>
      <c r="F57" s="2"/>
      <c r="H57" s="10" t="s">
        <v>35</v>
      </c>
      <c r="I57" s="13">
        <v>807224.69350000005</v>
      </c>
      <c r="J57" s="2">
        <f>I57*25</f>
        <v>20180617.337500002</v>
      </c>
      <c r="L57" s="2"/>
    </row>
    <row r="58" spans="2:12" ht="21.45" customHeight="1" thickBot="1" x14ac:dyDescent="0.55000000000000004">
      <c r="B58" s="11" t="s">
        <v>36</v>
      </c>
      <c r="C58" s="17">
        <v>335722.8786789556</v>
      </c>
      <c r="D58" s="4">
        <f>C58*25</f>
        <v>8393071.9669738896</v>
      </c>
      <c r="F58" s="2"/>
      <c r="H58" s="11" t="s">
        <v>36</v>
      </c>
      <c r="I58" s="14">
        <v>302761.59163000004</v>
      </c>
      <c r="J58" s="4">
        <f>I58*25</f>
        <v>7569039.7907500006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251062.09709028501</v>
      </c>
      <c r="F61" s="2"/>
      <c r="H61" s="18" t="s">
        <v>38</v>
      </c>
      <c r="I61" s="4">
        <v>243344.84940000001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0.99806840533253094</v>
      </c>
      <c r="C64" s="41"/>
      <c r="D64" s="3"/>
      <c r="E64" s="3"/>
      <c r="F64" s="4"/>
      <c r="H64" s="40">
        <f>K23/B68</f>
        <v>0.43390035625352164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6636593.4661164219</v>
      </c>
      <c r="C68" s="4">
        <f>D107</f>
        <v>165914836.65291053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31928.605784653319</v>
      </c>
      <c r="D74" s="13">
        <v>74500</v>
      </c>
      <c r="E74" s="13">
        <f>C74+D74</f>
        <v>106428.60578465332</v>
      </c>
      <c r="F74" s="2">
        <f>E74*25</f>
        <v>2660715.1446163328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1641188.6015356358</v>
      </c>
      <c r="E78" s="13">
        <f>D78</f>
        <v>1641188.6015356358</v>
      </c>
      <c r="F78" s="2">
        <f>E78*25</f>
        <v>41029715.038390897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63649.190488493346</v>
      </c>
      <c r="D80" s="13">
        <v>79320.959999999992</v>
      </c>
      <c r="E80" s="13">
        <f>C80+D80</f>
        <v>142970.15048849332</v>
      </c>
      <c r="F80" s="2">
        <f>E80*25</f>
        <v>3574253.7622123333</v>
      </c>
    </row>
    <row r="81" spans="2:6" ht="14.7" thickBot="1" x14ac:dyDescent="0.55000000000000004">
      <c r="B81" s="11" t="s">
        <v>46</v>
      </c>
      <c r="C81" s="14"/>
      <c r="D81" s="14">
        <f>D100*2.0865</f>
        <v>88118319.535866827</v>
      </c>
      <c r="E81" s="14">
        <f>D81</f>
        <v>88118319.535866827</v>
      </c>
      <c r="F81" s="4">
        <f>E81*25</f>
        <v>2202957988.3966708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95577.796273146669</v>
      </c>
      <c r="D83" s="14">
        <v>5319742.3429703088</v>
      </c>
      <c r="E83" s="14">
        <v>5415320.1392434556</v>
      </c>
      <c r="F83" s="4">
        <f>E83*25</f>
        <v>135383003.4810864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5</v>
      </c>
      <c r="D87" s="2">
        <v>500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5</v>
      </c>
      <c r="D91" s="4">
        <v>500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282</v>
      </c>
      <c r="D95" s="4">
        <v>4957.5599999999986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786574.93483615422</v>
      </c>
      <c r="D99" s="2">
        <f>C99*25</f>
        <v>19664373.370903857</v>
      </c>
      <c r="F99" s="2"/>
    </row>
    <row r="100" spans="2:6" x14ac:dyDescent="0.5">
      <c r="B100" s="10" t="s">
        <v>53</v>
      </c>
      <c r="C100" s="13">
        <v>1689303.9930192539</v>
      </c>
      <c r="D100" s="2">
        <f>C100*25</f>
        <v>42232599.825481348</v>
      </c>
      <c r="F100" s="2"/>
    </row>
    <row r="101" spans="2:6" ht="14.7" thickBot="1" x14ac:dyDescent="0.55000000000000004">
      <c r="B101" s="11" t="s">
        <v>26</v>
      </c>
      <c r="C101" s="14">
        <f>C99+C100</f>
        <v>2475878.9278554083</v>
      </c>
      <c r="D101" s="4">
        <f>D99+D100</f>
        <v>61896973.196385205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2108414.1128283115</v>
      </c>
      <c r="D105" s="29">
        <f t="shared" si="4"/>
        <v>52710352.820707783</v>
      </c>
      <c r="F105" s="2"/>
    </row>
    <row r="106" spans="2:6" x14ac:dyDescent="0.5">
      <c r="B106" s="10" t="s">
        <v>53</v>
      </c>
      <c r="C106" s="13">
        <f t="shared" si="4"/>
        <v>4528179.3532881103</v>
      </c>
      <c r="D106" s="29">
        <f t="shared" si="4"/>
        <v>113204483.83220275</v>
      </c>
      <c r="F106" s="2"/>
    </row>
    <row r="107" spans="2:6" ht="14.7" thickBot="1" x14ac:dyDescent="0.55000000000000004">
      <c r="B107" s="11" t="s">
        <v>26</v>
      </c>
      <c r="C107" s="14">
        <f t="shared" si="4"/>
        <v>6636593.4661164219</v>
      </c>
      <c r="D107" s="30">
        <f t="shared" si="4"/>
        <v>165914836.65291053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3207292.3082799963</v>
      </c>
      <c r="D8" s="13">
        <f>29*D27</f>
        <v>95700</v>
      </c>
      <c r="E8" s="13">
        <f>C8+D8</f>
        <v>3302992.3082799963</v>
      </c>
      <c r="F8" s="2">
        <f>E8*25</f>
        <v>82574807.706999913</v>
      </c>
      <c r="H8" s="7" t="s">
        <v>9</v>
      </c>
      <c r="I8" s="16">
        <f>1615 * J27*((0.05*((1.05)^25))/((1.05^25)-1))</f>
        <v>1306305.6913361165</v>
      </c>
      <c r="J8" s="13">
        <f>29*J27</f>
        <v>330600</v>
      </c>
      <c r="K8" s="13">
        <f>I8+J8</f>
        <v>1636905.6913361165</v>
      </c>
      <c r="L8" s="2">
        <f>K8*25</f>
        <v>40922642.283402912</v>
      </c>
      <c r="N8" s="31"/>
    </row>
    <row r="9" spans="2:14" x14ac:dyDescent="0.5">
      <c r="B9" s="7" t="s">
        <v>10</v>
      </c>
      <c r="C9" s="10">
        <f>13698 * D28*((0.05*((1.05)^25))/((1.05^25)-1))</f>
        <v>11662881.121018169</v>
      </c>
      <c r="D9" s="13">
        <f>29*D28</f>
        <v>348000</v>
      </c>
      <c r="E9" s="13">
        <f>C9+D9</f>
        <v>12010881.121018169</v>
      </c>
      <c r="F9" s="2">
        <f>E9*25</f>
        <v>300272028.02545422</v>
      </c>
      <c r="H9" s="7" t="s">
        <v>10</v>
      </c>
      <c r="I9" s="16">
        <f t="shared" ref="I9:I11" si="0">1615 * J28*((0.05*((1.05)^25))/((1.05^25)-1))</f>
        <v>458352.87415302335</v>
      </c>
      <c r="J9" s="13">
        <f>29*J28</f>
        <v>116000</v>
      </c>
      <c r="K9" s="13">
        <f>I9+J9</f>
        <v>574352.87415302335</v>
      </c>
      <c r="L9" s="2">
        <f>K9*25</f>
        <v>14358821.853825584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0</v>
      </c>
      <c r="D13" s="13">
        <f>37.35*D38</f>
        <v>0</v>
      </c>
      <c r="E13" s="13">
        <f>C13+D13</f>
        <v>0</v>
      </c>
      <c r="F13" s="2">
        <f>E13*25</f>
        <v>0</v>
      </c>
      <c r="H13" s="7" t="s">
        <v>14</v>
      </c>
      <c r="I13" s="16">
        <f>2490 * J38*((0.05*((1.05)^10))/((1.05^10)-1))</f>
        <v>0</v>
      </c>
      <c r="J13" s="13">
        <f>37.35*J38</f>
        <v>0</v>
      </c>
      <c r="K13" s="13">
        <f>I13+J13</f>
        <v>0</v>
      </c>
      <c r="L13" s="2">
        <f>K13*25</f>
        <v>0</v>
      </c>
    </row>
    <row r="14" spans="2:14" x14ac:dyDescent="0.5">
      <c r="B14" s="7" t="s">
        <v>15</v>
      </c>
      <c r="C14" s="10">
        <f>1570 * D39*((0.05*((1.05)^10))/((1.05^10)-1))</f>
        <v>4066443.6539153405</v>
      </c>
      <c r="D14" s="13">
        <f>23.55*D39</f>
        <v>471000</v>
      </c>
      <c r="E14" s="13">
        <f>C14+D14</f>
        <v>4537443.6539153401</v>
      </c>
      <c r="F14" s="2">
        <f>E14*25</f>
        <v>113436091.34788351</v>
      </c>
      <c r="H14" s="7" t="s">
        <v>15</v>
      </c>
      <c r="I14" s="16">
        <f>1570 * J39*((0.05*((1.05)^10))/((1.05^10)-1))</f>
        <v>4066443.6539153405</v>
      </c>
      <c r="J14" s="13">
        <f>23.55*J39</f>
        <v>471000</v>
      </c>
      <c r="K14" s="13">
        <f>I14+J14</f>
        <v>4537443.6539153401</v>
      </c>
      <c r="L14" s="2">
        <f t="shared" ref="L14:L15" si="1">K14*25</f>
        <v>113436091.34788351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189864</v>
      </c>
      <c r="E17" s="14">
        <f>D17+C17</f>
        <v>219431.53175174689</v>
      </c>
      <c r="F17" s="4">
        <f>E17*25</f>
        <v>5485788.2937936727</v>
      </c>
      <c r="H17" s="8" t="s">
        <v>18</v>
      </c>
      <c r="I17" s="17">
        <v>152351.7857437341</v>
      </c>
      <c r="J17" s="14">
        <v>189864</v>
      </c>
      <c r="K17" s="14">
        <f>J17+I17</f>
        <v>342215.7857437341</v>
      </c>
      <c r="L17" s="4">
        <f>K17*25</f>
        <v>8555394.6435933523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1254432.3655520773</v>
      </c>
      <c r="D19" s="14">
        <v>0</v>
      </c>
      <c r="E19" s="14">
        <f>C19</f>
        <v>1254432.3655520773</v>
      </c>
      <c r="F19" s="4">
        <f>E19*25</f>
        <v>31360809.138801932</v>
      </c>
      <c r="H19" s="8"/>
      <c r="I19" s="17">
        <f>I48*300*((0.05*((1.05)^20))/((1.05^20)-1))</f>
        <v>1254191.6377905053</v>
      </c>
      <c r="J19" s="14">
        <v>0</v>
      </c>
      <c r="K19" s="14">
        <f>I19</f>
        <v>1254191.6377905053</v>
      </c>
      <c r="L19" s="4">
        <f>K19*25</f>
        <v>31354790.944762632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5434.0280045536156</v>
      </c>
      <c r="D21" s="14">
        <f>19*C34</f>
        <v>760</v>
      </c>
      <c r="E21" s="14">
        <f>D21+C21</f>
        <v>6194.0280045536156</v>
      </c>
      <c r="F21" s="4">
        <f>E21*25</f>
        <v>154850.7001138404</v>
      </c>
      <c r="H21" s="7"/>
      <c r="I21" s="11">
        <f>1693 * I34*((0.05*((1.05)^20))/((1.05^20)-1))</f>
        <v>0</v>
      </c>
      <c r="J21" s="14">
        <f>19*I34</f>
        <v>0</v>
      </c>
      <c r="K21" s="14">
        <f>J21+I21</f>
        <v>0</v>
      </c>
      <c r="L21" s="4">
        <f>K21*25</f>
        <v>0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20226051.008521888</v>
      </c>
      <c r="D23" s="14">
        <f>D8+D9+D10+D11+D13+D14+D15+D17+D19+D21</f>
        <v>1105324</v>
      </c>
      <c r="E23" s="14">
        <f>E8+E9+E10+E11+E13+E14+E15+E17+E19+E21</f>
        <v>21331375.008521888</v>
      </c>
      <c r="F23" s="4">
        <f>E23*25</f>
        <v>533284375.21304721</v>
      </c>
      <c r="H23" s="36"/>
      <c r="I23" s="11">
        <f>I8+I9+I11+I10+I13+I14+I15+I17+I19+I21</f>
        <v>7237645.6429387201</v>
      </c>
      <c r="J23" s="14">
        <f>J8+J9+J10+J11+J13+J14+J15+J17+J19+J21</f>
        <v>1107464</v>
      </c>
      <c r="K23" s="14">
        <f>K8+K9+K10+K11+K13+K14+K15+K17+K19+K21</f>
        <v>8345109.6429387182</v>
      </c>
      <c r="L23" s="4">
        <f>K23*25</f>
        <v>208627741.07346797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33</v>
      </c>
      <c r="D27" s="2">
        <v>3300</v>
      </c>
      <c r="F27" s="2"/>
      <c r="H27" s="10" t="s">
        <v>9</v>
      </c>
      <c r="I27" s="13">
        <v>114</v>
      </c>
      <c r="J27" s="2">
        <v>11400</v>
      </c>
      <c r="L27" s="2"/>
    </row>
    <row r="28" spans="2:12" x14ac:dyDescent="0.5">
      <c r="B28" s="10" t="s">
        <v>10</v>
      </c>
      <c r="C28" s="13">
        <v>24</v>
      </c>
      <c r="D28" s="2">
        <v>12000</v>
      </c>
      <c r="F28" s="2"/>
      <c r="H28" s="10" t="s">
        <v>10</v>
      </c>
      <c r="I28" s="13">
        <v>8</v>
      </c>
      <c r="J28" s="2">
        <v>4000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57</v>
      </c>
      <c r="D31" s="4">
        <v>15300</v>
      </c>
      <c r="F31" s="2"/>
      <c r="H31" s="11" t="s">
        <v>26</v>
      </c>
      <c r="I31" s="14">
        <v>122</v>
      </c>
      <c r="J31" s="4">
        <v>15400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40</v>
      </c>
      <c r="F34" s="2"/>
      <c r="H34" s="18" t="s">
        <v>25</v>
      </c>
      <c r="I34" s="4">
        <v>0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0</v>
      </c>
      <c r="D38" s="2">
        <v>0</v>
      </c>
      <c r="F38" s="2"/>
      <c r="H38" s="10" t="s">
        <v>14</v>
      </c>
      <c r="I38" s="13">
        <v>0</v>
      </c>
      <c r="J38" s="2">
        <v>0</v>
      </c>
      <c r="L38" s="2"/>
    </row>
    <row r="39" spans="2:12" x14ac:dyDescent="0.5">
      <c r="B39" s="10" t="s">
        <v>15</v>
      </c>
      <c r="C39" s="13">
        <v>1</v>
      </c>
      <c r="D39" s="2">
        <v>20000</v>
      </c>
      <c r="F39" s="2"/>
      <c r="H39" s="10" t="s">
        <v>15</v>
      </c>
      <c r="I39" s="13">
        <v>1</v>
      </c>
      <c r="J39" s="2">
        <v>20000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1</v>
      </c>
      <c r="D41" s="4">
        <v>20000</v>
      </c>
      <c r="F41" s="2"/>
      <c r="H41" s="11" t="s">
        <v>26</v>
      </c>
      <c r="I41" s="14">
        <v>1</v>
      </c>
      <c r="J41" s="4">
        <v>20000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675</v>
      </c>
      <c r="D45" s="4">
        <v>11866.5</v>
      </c>
      <c r="F45" s="2"/>
      <c r="H45" s="11" t="s">
        <v>18</v>
      </c>
      <c r="I45" s="14">
        <v>675</v>
      </c>
      <c r="J45" s="4">
        <v>11866.5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52110</v>
      </c>
      <c r="F48" s="2"/>
      <c r="H48" s="18" t="s">
        <v>29</v>
      </c>
      <c r="I48" s="4">
        <v>52100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22619793.999371901</v>
      </c>
      <c r="D52" s="2">
        <f>C52*25</f>
        <v>565494849.98429751</v>
      </c>
      <c r="F52" s="2"/>
      <c r="H52" s="10" t="s">
        <v>35</v>
      </c>
      <c r="I52" s="13">
        <v>23080241.300000001</v>
      </c>
      <c r="J52" s="2">
        <f>I52*25</f>
        <v>577006032.5</v>
      </c>
      <c r="L52" s="2"/>
    </row>
    <row r="53" spans="2:12" ht="17.45" customHeight="1" thickBot="1" x14ac:dyDescent="0.55000000000000004">
      <c r="B53" s="11" t="s">
        <v>36</v>
      </c>
      <c r="C53" s="17">
        <v>472827.31825682055</v>
      </c>
      <c r="D53" s="4">
        <f>C53*25</f>
        <v>11820682.956420515</v>
      </c>
      <c r="F53" s="2"/>
      <c r="H53" s="11" t="s">
        <v>36</v>
      </c>
      <c r="I53" s="14">
        <v>485413.73761000001</v>
      </c>
      <c r="J53" s="4">
        <f>I53*25</f>
        <v>12135343.44025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6143647.7529158499</v>
      </c>
      <c r="D57" s="2">
        <f>C57*25</f>
        <v>153591193.82289624</v>
      </c>
      <c r="F57" s="2"/>
      <c r="H57" s="10" t="s">
        <v>35</v>
      </c>
      <c r="I57" s="13">
        <v>6268707.5140000004</v>
      </c>
      <c r="J57" s="2">
        <f>I57*25</f>
        <v>156717687.85000002</v>
      </c>
      <c r="L57" s="2"/>
    </row>
    <row r="58" spans="2:12" ht="21.45" customHeight="1" thickBot="1" x14ac:dyDescent="0.55000000000000004">
      <c r="B58" s="11" t="s">
        <v>36</v>
      </c>
      <c r="C58" s="17">
        <v>470032.23458827299</v>
      </c>
      <c r="D58" s="4">
        <f>C58*25</f>
        <v>11750805.864706825</v>
      </c>
      <c r="F58" s="2"/>
      <c r="H58" s="11" t="s">
        <v>36</v>
      </c>
      <c r="I58" s="14">
        <v>473124.65513699997</v>
      </c>
      <c r="J58" s="4">
        <f>I58*25</f>
        <v>11828116.378424998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468990.00000000099</v>
      </c>
      <c r="F61" s="2"/>
      <c r="H61" s="18" t="s">
        <v>38</v>
      </c>
      <c r="I61" s="4">
        <v>468542.28539999999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0.99640290415796373</v>
      </c>
      <c r="C64" s="41"/>
      <c r="D64" s="3"/>
      <c r="E64" s="3"/>
      <c r="F64" s="4"/>
      <c r="H64" s="40">
        <f>K23/B68</f>
        <v>0.38980569608939347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21408383.014046434</v>
      </c>
      <c r="C68" s="4">
        <f>D107</f>
        <v>535209575.35116088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31928.605784653319</v>
      </c>
      <c r="D74" s="13">
        <v>74500</v>
      </c>
      <c r="E74" s="13">
        <f>C74+D74</f>
        <v>106428.60578465332</v>
      </c>
      <c r="F74" s="2">
        <f>E74*25</f>
        <v>2660715.1446163328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141904.9145984592</v>
      </c>
      <c r="D77" s="13">
        <v>228000</v>
      </c>
      <c r="E77" s="13">
        <f t="shared" si="2"/>
        <v>369904.9145984592</v>
      </c>
      <c r="F77" s="2">
        <f t="shared" si="3"/>
        <v>9247622.8649614807</v>
      </c>
    </row>
    <row r="78" spans="2:12" ht="14.7" thickBot="1" x14ac:dyDescent="0.55000000000000004">
      <c r="B78" s="10" t="s">
        <v>44</v>
      </c>
      <c r="C78" s="13"/>
      <c r="D78" s="13">
        <f>C99*2.0865</f>
        <v>8182374.4736842606</v>
      </c>
      <c r="E78" s="13">
        <f>D78</f>
        <v>8182374.4736842606</v>
      </c>
      <c r="F78" s="2">
        <f>E78*25</f>
        <v>204559361.84210652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152351.7857437341</v>
      </c>
      <c r="D80" s="13">
        <v>189864</v>
      </c>
      <c r="E80" s="13">
        <f>C80+D80</f>
        <v>342215.7857437341</v>
      </c>
      <c r="F80" s="2">
        <f>E80*25</f>
        <v>8555394.6435933523</v>
      </c>
    </row>
    <row r="81" spans="2:6" ht="14.7" thickBot="1" x14ac:dyDescent="0.55000000000000004">
      <c r="B81" s="11" t="s">
        <v>46</v>
      </c>
      <c r="C81" s="14"/>
      <c r="D81" s="14">
        <f>D100*2.0865</f>
        <v>212047532.00986034</v>
      </c>
      <c r="E81" s="14">
        <f>D81</f>
        <v>212047532.00986034</v>
      </c>
      <c r="F81" s="4">
        <f>E81*25</f>
        <v>5301188300.2465086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326185.30612684658</v>
      </c>
      <c r="D83" s="14">
        <v>17156639.754078671</v>
      </c>
      <c r="E83" s="14">
        <v>17482825.060205519</v>
      </c>
      <c r="F83" s="4">
        <f>E83*25</f>
        <v>437070626.50513798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5</v>
      </c>
      <c r="D87" s="2">
        <v>500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1</v>
      </c>
      <c r="D90" s="2">
        <v>2000</v>
      </c>
      <c r="F90" s="2"/>
    </row>
    <row r="91" spans="2:6" ht="14.7" thickBot="1" x14ac:dyDescent="0.55000000000000004">
      <c r="B91" s="11" t="s">
        <v>26</v>
      </c>
      <c r="C91" s="14">
        <v>6</v>
      </c>
      <c r="D91" s="4">
        <v>2500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675</v>
      </c>
      <c r="D95" s="4">
        <v>11866.5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3921578.9473684449</v>
      </c>
      <c r="D99" s="2">
        <f>C99*25</f>
        <v>98039473.68421112</v>
      </c>
      <c r="F99" s="2"/>
    </row>
    <row r="100" spans="2:6" x14ac:dyDescent="0.5">
      <c r="B100" s="10" t="s">
        <v>53</v>
      </c>
      <c r="C100" s="13">
        <v>4065133.611499839</v>
      </c>
      <c r="D100" s="2">
        <f>C100*25</f>
        <v>101628340.28749597</v>
      </c>
      <c r="F100" s="2"/>
    </row>
    <row r="101" spans="2:6" ht="14.7" thickBot="1" x14ac:dyDescent="0.55000000000000004">
      <c r="B101" s="11" t="s">
        <v>26</v>
      </c>
      <c r="C101" s="14">
        <f>C99+C100</f>
        <v>7986712.5588682834</v>
      </c>
      <c r="D101" s="4">
        <f>D99+D100</f>
        <v>199667813.97170711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10511792.368421117</v>
      </c>
      <c r="D105" s="29">
        <f t="shared" si="4"/>
        <v>262794809.2105279</v>
      </c>
      <c r="F105" s="2"/>
    </row>
    <row r="106" spans="2:6" x14ac:dyDescent="0.5">
      <c r="B106" s="10" t="s">
        <v>53</v>
      </c>
      <c r="C106" s="13">
        <f t="shared" si="4"/>
        <v>10896590.645625317</v>
      </c>
      <c r="D106" s="29">
        <f t="shared" si="4"/>
        <v>272414766.14063293</v>
      </c>
      <c r="F106" s="2"/>
    </row>
    <row r="107" spans="2:6" ht="14.7" thickBot="1" x14ac:dyDescent="0.55000000000000004">
      <c r="B107" s="11" t="s">
        <v>26</v>
      </c>
      <c r="C107" s="14">
        <f t="shared" si="4"/>
        <v>21408383.014046434</v>
      </c>
      <c r="D107" s="30">
        <f t="shared" si="4"/>
        <v>535209575.35116088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3498864.3363054506</v>
      </c>
      <c r="D8" s="13">
        <f>29*D27</f>
        <v>104400</v>
      </c>
      <c r="E8" s="13">
        <f>C8+D8</f>
        <v>3603264.3363054506</v>
      </c>
      <c r="F8" s="2">
        <f>E8*25</f>
        <v>90081608.40763627</v>
      </c>
      <c r="H8" s="7" t="s">
        <v>9</v>
      </c>
      <c r="I8" s="16">
        <f>1615 * J27*((0.05*((1.05)^25))/((1.05^25)-1))</f>
        <v>412517.58673772105</v>
      </c>
      <c r="J8" s="13">
        <f>29*J27</f>
        <v>104400</v>
      </c>
      <c r="K8" s="13">
        <f>I8+J8</f>
        <v>516917.58673772105</v>
      </c>
      <c r="L8" s="2">
        <f>K8*25</f>
        <v>12922939.668443026</v>
      </c>
      <c r="N8" s="31"/>
    </row>
    <row r="9" spans="2:14" x14ac:dyDescent="0.5">
      <c r="B9" s="7" t="s">
        <v>10</v>
      </c>
      <c r="C9" s="10">
        <f>13698 * D28*((0.05*((1.05)^25))/((1.05^25)-1))</f>
        <v>0</v>
      </c>
      <c r="D9" s="13">
        <f>29*D28</f>
        <v>0</v>
      </c>
      <c r="E9" s="13">
        <f>C9+D9</f>
        <v>0</v>
      </c>
      <c r="F9" s="2">
        <f>E9*25</f>
        <v>0</v>
      </c>
      <c r="H9" s="7" t="s">
        <v>10</v>
      </c>
      <c r="I9" s="16">
        <f t="shared" ref="I9:I11" si="0">1615 * J28*((0.05*((1.05)^25))/((1.05^25)-1))</f>
        <v>57294.109269127919</v>
      </c>
      <c r="J9" s="13">
        <f>29*J28</f>
        <v>14500</v>
      </c>
      <c r="K9" s="13">
        <f>I9+J9</f>
        <v>71794.109269127919</v>
      </c>
      <c r="L9" s="2">
        <f>K9*25</f>
        <v>1794852.731728198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967399.17499196157</v>
      </c>
      <c r="D13" s="13">
        <f>37.35*D38</f>
        <v>112050</v>
      </c>
      <c r="E13" s="13">
        <f>C13+D13</f>
        <v>1079449.1749919616</v>
      </c>
      <c r="F13" s="2">
        <f>E13*25</f>
        <v>26986229.374799039</v>
      </c>
      <c r="H13" s="7" t="s">
        <v>14</v>
      </c>
      <c r="I13" s="16">
        <f>2490 * J38*((0.05*((1.05)^10))/((1.05^10)-1))</f>
        <v>1289865.5666559488</v>
      </c>
      <c r="J13" s="13">
        <f>37.35*J38</f>
        <v>149400</v>
      </c>
      <c r="K13" s="13">
        <f>I13+J13</f>
        <v>1439265.5666559488</v>
      </c>
      <c r="L13" s="2">
        <f>K13*25</f>
        <v>35981639.166398719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72851.51999999999</v>
      </c>
      <c r="E17" s="14">
        <f>D17+C17</f>
        <v>102419.05175174688</v>
      </c>
      <c r="F17" s="4">
        <f>E17*25</f>
        <v>2560476.2937936722</v>
      </c>
      <c r="H17" s="8" t="s">
        <v>18</v>
      </c>
      <c r="I17" s="17">
        <v>58457.944455743891</v>
      </c>
      <c r="J17" s="14">
        <v>72851.51999999999</v>
      </c>
      <c r="K17" s="14">
        <f>J17+I17</f>
        <v>131309.46445574387</v>
      </c>
      <c r="L17" s="4">
        <f>K17*25</f>
        <v>3282736.611393597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1318706.6778918211</v>
      </c>
      <c r="D19" s="14">
        <v>0</v>
      </c>
      <c r="E19" s="14">
        <f>C19</f>
        <v>1318706.6778918211</v>
      </c>
      <c r="F19" s="4">
        <f>E19*25</f>
        <v>32967666.947295528</v>
      </c>
      <c r="H19" s="8"/>
      <c r="I19" s="17">
        <f>I48*300*((0.05*((1.05)^20))/((1.05^20)-1))</f>
        <v>521175.60380354006</v>
      </c>
      <c r="J19" s="14">
        <v>0</v>
      </c>
      <c r="K19" s="14">
        <f>I19</f>
        <v>521175.60380354006</v>
      </c>
      <c r="L19" s="4">
        <f>K19*25</f>
        <v>13029390.095088501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271.70140022768078</v>
      </c>
      <c r="J21" s="14">
        <f>19*I34</f>
        <v>38</v>
      </c>
      <c r="K21" s="14">
        <f>J21+I21</f>
        <v>309.70140022768078</v>
      </c>
      <c r="L21" s="4">
        <f>K21*25</f>
        <v>7742.5350056920197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5814809.4223412089</v>
      </c>
      <c r="D23" s="14">
        <f>D8+D9+D10+D11+D13+D14+D15+D17+D19+D21</f>
        <v>289339.52000000002</v>
      </c>
      <c r="E23" s="14">
        <f>E8+E9+E10+E11+E13+E14+E15+E17+E19+E21</f>
        <v>6104148.9423412085</v>
      </c>
      <c r="F23" s="4">
        <f>E23*25</f>
        <v>152603723.55853021</v>
      </c>
      <c r="H23" s="36"/>
      <c r="I23" s="11">
        <f>I8+I9+I11+I10+I13+I14+I15+I17+I19+I21</f>
        <v>2339582.5123223094</v>
      </c>
      <c r="J23" s="14">
        <f>J8+J9+J10+J11+J13+J14+J15+J17+J19+J21</f>
        <v>341189.52</v>
      </c>
      <c r="K23" s="14">
        <f>K8+K9+K10+K11+K13+K14+K15+K17+K19+K21</f>
        <v>2680772.0323223094</v>
      </c>
      <c r="L23" s="4">
        <f>K23*25</f>
        <v>67019300.808057733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36</v>
      </c>
      <c r="D27" s="2">
        <v>3600</v>
      </c>
      <c r="F27" s="2"/>
      <c r="H27" s="10" t="s">
        <v>9</v>
      </c>
      <c r="I27" s="13">
        <v>36</v>
      </c>
      <c r="J27" s="2">
        <v>3600</v>
      </c>
      <c r="L27" s="2"/>
    </row>
    <row r="28" spans="2:12" x14ac:dyDescent="0.5">
      <c r="B28" s="10" t="s">
        <v>10</v>
      </c>
      <c r="C28" s="13">
        <v>0</v>
      </c>
      <c r="D28" s="2">
        <v>0</v>
      </c>
      <c r="F28" s="2"/>
      <c r="H28" s="10" t="s">
        <v>10</v>
      </c>
      <c r="I28" s="13">
        <v>1</v>
      </c>
      <c r="J28" s="2">
        <v>500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36</v>
      </c>
      <c r="D31" s="4">
        <v>3600</v>
      </c>
      <c r="F31" s="2"/>
      <c r="H31" s="11" t="s">
        <v>26</v>
      </c>
      <c r="I31" s="14">
        <v>37</v>
      </c>
      <c r="J31" s="4">
        <v>4100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3</v>
      </c>
      <c r="D38" s="2">
        <v>3000</v>
      </c>
      <c r="F38" s="2"/>
      <c r="H38" s="10" t="s">
        <v>14</v>
      </c>
      <c r="I38" s="13">
        <v>4</v>
      </c>
      <c r="J38" s="2">
        <v>4000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3</v>
      </c>
      <c r="D41" s="4">
        <v>3000</v>
      </c>
      <c r="F41" s="2"/>
      <c r="H41" s="11" t="s">
        <v>26</v>
      </c>
      <c r="I41" s="14">
        <v>4</v>
      </c>
      <c r="J41" s="4">
        <v>4000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259</v>
      </c>
      <c r="D45" s="4">
        <v>4553.2199999999993</v>
      </c>
      <c r="F45" s="2"/>
      <c r="H45" s="11" t="s">
        <v>18</v>
      </c>
      <c r="I45" s="14">
        <v>259</v>
      </c>
      <c r="J45" s="4">
        <v>4553.2199999999993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54780</v>
      </c>
      <c r="F48" s="2"/>
      <c r="H48" s="18" t="s">
        <v>29</v>
      </c>
      <c r="I48" s="4">
        <v>21650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4461573.4921432501</v>
      </c>
      <c r="D52" s="2">
        <f>C52*25</f>
        <v>111539337.30358125</v>
      </c>
      <c r="F52" s="2"/>
      <c r="H52" s="10" t="s">
        <v>35</v>
      </c>
      <c r="I52" s="13">
        <v>5356067.0599999996</v>
      </c>
      <c r="J52" s="2">
        <f>I52*25</f>
        <v>133901676.49999999</v>
      </c>
      <c r="L52" s="2"/>
    </row>
    <row r="53" spans="2:12" ht="17.45" customHeight="1" thickBot="1" x14ac:dyDescent="0.55000000000000004">
      <c r="B53" s="11" t="s">
        <v>36</v>
      </c>
      <c r="C53" s="17">
        <v>1893822.5412211509</v>
      </c>
      <c r="D53" s="4">
        <f>C53*25</f>
        <v>47345563.530528769</v>
      </c>
      <c r="F53" s="2"/>
      <c r="H53" s="11" t="s">
        <v>36</v>
      </c>
      <c r="I53" s="14">
        <v>198827.45340999999</v>
      </c>
      <c r="J53" s="4">
        <f>I53*25</f>
        <v>4970686.3352499995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1211785.3929278001</v>
      </c>
      <c r="D57" s="2">
        <f>C57*25</f>
        <v>30294634.823195003</v>
      </c>
      <c r="F57" s="2"/>
      <c r="H57" s="10" t="s">
        <v>35</v>
      </c>
      <c r="I57" s="13">
        <v>1454734.2620000001</v>
      </c>
      <c r="J57" s="2">
        <f>I57*25</f>
        <v>36368356.550000004</v>
      </c>
      <c r="L57" s="2"/>
    </row>
    <row r="58" spans="2:12" ht="21.45" customHeight="1" thickBot="1" x14ac:dyDescent="0.55000000000000004">
      <c r="B58" s="11" t="s">
        <v>36</v>
      </c>
      <c r="C58" s="17">
        <v>873482.60862043896</v>
      </c>
      <c r="D58" s="4">
        <f>C58*25</f>
        <v>21837065.215510976</v>
      </c>
      <c r="F58" s="2"/>
      <c r="H58" s="11" t="s">
        <v>36</v>
      </c>
      <c r="I58" s="14">
        <v>195930.295988</v>
      </c>
      <c r="J58" s="4">
        <f>I58*25</f>
        <v>4898257.3997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493016.871040511</v>
      </c>
      <c r="F61" s="2"/>
      <c r="H61" s="18" t="s">
        <v>38</v>
      </c>
      <c r="I61" s="4">
        <v>194850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0.85892607881499816</v>
      </c>
      <c r="C64" s="41"/>
      <c r="D64" s="3"/>
      <c r="E64" s="3"/>
      <c r="F64" s="4"/>
      <c r="H64" s="40">
        <f>K23/B68</f>
        <v>0.37721638702943777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7106722.0950639751</v>
      </c>
      <c r="C68" s="4">
        <f>D107</f>
        <v>177668052.37659937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19157.163470791991</v>
      </c>
      <c r="D74" s="13">
        <v>44700</v>
      </c>
      <c r="E74" s="13">
        <f>C74+D74</f>
        <v>63857.163470791987</v>
      </c>
      <c r="F74" s="2">
        <f>E74*25</f>
        <v>1596429.0867697997</v>
      </c>
    </row>
    <row r="75" spans="2:12" x14ac:dyDescent="0.5">
      <c r="B75" s="10" t="s">
        <v>10</v>
      </c>
      <c r="C75" s="13">
        <v>31928.605784653319</v>
      </c>
      <c r="D75" s="13">
        <v>74500</v>
      </c>
      <c r="E75" s="13">
        <f t="shared" ref="E75:E77" si="2">C75+D75</f>
        <v>106428.60578465332</v>
      </c>
      <c r="F75" s="2">
        <f t="shared" ref="F75:F77" si="3">E75*25</f>
        <v>2660715.1446163328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2587044.2119736583</v>
      </c>
      <c r="E78" s="13">
        <f>D78</f>
        <v>2587044.2119736583</v>
      </c>
      <c r="F78" s="2">
        <f>E78*25</f>
        <v>64676105.299341455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58457.944455743891</v>
      </c>
      <c r="D80" s="13">
        <v>72851.51999999999</v>
      </c>
      <c r="E80" s="13">
        <f>C80+D80</f>
        <v>131309.46445574387</v>
      </c>
      <c r="F80" s="2">
        <f>E80*25</f>
        <v>3282736.611393597</v>
      </c>
    </row>
    <row r="81" spans="2:6" ht="14.7" thickBot="1" x14ac:dyDescent="0.55000000000000004">
      <c r="B81" s="11" t="s">
        <v>46</v>
      </c>
      <c r="C81" s="14"/>
      <c r="D81" s="14">
        <f>D100*2.0865</f>
        <v>73620627.13258341</v>
      </c>
      <c r="E81" s="14">
        <f>D81</f>
        <v>73620627.13258341</v>
      </c>
      <c r="F81" s="4">
        <f>E81*25</f>
        <v>1840515678.3145852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109543.71371118919</v>
      </c>
      <c r="D83" s="14">
        <v>5723920.8172769956</v>
      </c>
      <c r="E83" s="14">
        <v>5833464.5309881847</v>
      </c>
      <c r="F83" s="4">
        <f>E83*25</f>
        <v>145836613.27470461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3</v>
      </c>
      <c r="D87" s="2">
        <v>300</v>
      </c>
      <c r="F87" s="2"/>
    </row>
    <row r="88" spans="2:6" x14ac:dyDescent="0.5">
      <c r="B88" s="10" t="s">
        <v>10</v>
      </c>
      <c r="C88" s="13">
        <v>1</v>
      </c>
      <c r="D88" s="2">
        <v>500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4</v>
      </c>
      <c r="D91" s="4">
        <v>800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259</v>
      </c>
      <c r="D95" s="4">
        <v>4553.2199999999993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1239896.578947356</v>
      </c>
      <c r="D99" s="2">
        <f>C99*25</f>
        <v>30997414.473683901</v>
      </c>
      <c r="F99" s="2"/>
    </row>
    <row r="100" spans="2:6" x14ac:dyDescent="0.5">
      <c r="B100" s="10" t="s">
        <v>53</v>
      </c>
      <c r="C100" s="13">
        <v>1411370.757394362</v>
      </c>
      <c r="D100" s="2">
        <f>C100*25</f>
        <v>35284268.934859052</v>
      </c>
      <c r="F100" s="2"/>
    </row>
    <row r="101" spans="2:6" ht="14.7" thickBot="1" x14ac:dyDescent="0.55000000000000004">
      <c r="B101" s="11" t="s">
        <v>26</v>
      </c>
      <c r="C101" s="14">
        <f>C99+C100</f>
        <v>2651267.3363417182</v>
      </c>
      <c r="D101" s="4">
        <f>D99+D100</f>
        <v>66281683.408542953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3323542.7798683876</v>
      </c>
      <c r="D105" s="29">
        <f t="shared" si="4"/>
        <v>83088569.496709689</v>
      </c>
      <c r="F105" s="2"/>
    </row>
    <row r="106" spans="2:6" x14ac:dyDescent="0.5">
      <c r="B106" s="10" t="s">
        <v>53</v>
      </c>
      <c r="C106" s="13">
        <f t="shared" si="4"/>
        <v>3783179.315195587</v>
      </c>
      <c r="D106" s="29">
        <f t="shared" si="4"/>
        <v>94579482.879889682</v>
      </c>
      <c r="F106" s="2"/>
    </row>
    <row r="107" spans="2:6" ht="14.7" thickBot="1" x14ac:dyDescent="0.55000000000000004">
      <c r="B107" s="11" t="s">
        <v>26</v>
      </c>
      <c r="C107" s="14">
        <f t="shared" si="4"/>
        <v>7106722.0950639751</v>
      </c>
      <c r="D107" s="30">
        <f t="shared" si="4"/>
        <v>177668052.37659937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2721338.9282375728</v>
      </c>
      <c r="D8" s="13">
        <f>29*D27</f>
        <v>81200</v>
      </c>
      <c r="E8" s="13">
        <f>C8+D8</f>
        <v>2802538.9282375728</v>
      </c>
      <c r="F8" s="2">
        <f>E8*25</f>
        <v>70063473.205939323</v>
      </c>
      <c r="H8" s="7" t="s">
        <v>9</v>
      </c>
      <c r="I8" s="16">
        <f>1615 * J27*((0.05*((1.05)^25))/((1.05^25)-1))</f>
        <v>45835.287415302337</v>
      </c>
      <c r="J8" s="13">
        <f>29*J27</f>
        <v>11600</v>
      </c>
      <c r="K8" s="13">
        <f>I8+J8</f>
        <v>57435.287415302337</v>
      </c>
      <c r="L8" s="2">
        <f>K8*25</f>
        <v>1435882.1853825585</v>
      </c>
      <c r="N8" s="31"/>
    </row>
    <row r="9" spans="2:14" x14ac:dyDescent="0.5">
      <c r="B9" s="7" t="s">
        <v>10</v>
      </c>
      <c r="C9" s="10">
        <f>13698 * D28*((0.05*((1.05)^25))/((1.05^25)-1))</f>
        <v>0</v>
      </c>
      <c r="D9" s="13">
        <f>29*D28</f>
        <v>0</v>
      </c>
      <c r="E9" s="13">
        <f>C9+D9</f>
        <v>0</v>
      </c>
      <c r="F9" s="2">
        <f>E9*25</f>
        <v>0</v>
      </c>
      <c r="H9" s="7" t="s">
        <v>10</v>
      </c>
      <c r="I9" s="16">
        <f t="shared" ref="I9:I11" si="0">1615 * J28*((0.05*((1.05)^25))/((1.05^25)-1))</f>
        <v>286470.54634563962</v>
      </c>
      <c r="J9" s="13">
        <f>29*J28</f>
        <v>72500</v>
      </c>
      <c r="K9" s="13">
        <f>I9+J9</f>
        <v>358970.54634563962</v>
      </c>
      <c r="L9" s="2">
        <f>K9*25</f>
        <v>8974263.65864099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967399.17499196157</v>
      </c>
      <c r="D13" s="13">
        <f>37.35*D38</f>
        <v>112050</v>
      </c>
      <c r="E13" s="13">
        <f>C13+D13</f>
        <v>1079449.1749919616</v>
      </c>
      <c r="F13" s="2">
        <f>E13*25</f>
        <v>26986229.374799039</v>
      </c>
      <c r="H13" s="7" t="s">
        <v>14</v>
      </c>
      <c r="I13" s="16">
        <f>2490 * J38*((0.05*((1.05)^10))/((1.05^10)-1))</f>
        <v>967399.17499196157</v>
      </c>
      <c r="J13" s="13">
        <f>37.35*J38</f>
        <v>112050</v>
      </c>
      <c r="K13" s="13">
        <f>I13+J13</f>
        <v>1079449.1749919616</v>
      </c>
      <c r="L13" s="2">
        <f>K13*25</f>
        <v>26986229.374799039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44442.239999999998</v>
      </c>
      <c r="E17" s="14">
        <f>D17+C17</f>
        <v>74009.771751746899</v>
      </c>
      <c r="F17" s="4">
        <f>E17*25</f>
        <v>1850244.2937936725</v>
      </c>
      <c r="H17" s="8" t="s">
        <v>18</v>
      </c>
      <c r="I17" s="17">
        <v>35661.603181496277</v>
      </c>
      <c r="J17" s="14">
        <v>44442.239999999998</v>
      </c>
      <c r="K17" s="14">
        <f>J17+I17</f>
        <v>80103.843181496282</v>
      </c>
      <c r="L17" s="4">
        <f>K17*25</f>
        <v>2002596.079537407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446549.99771619716</v>
      </c>
      <c r="D19" s="14">
        <v>0</v>
      </c>
      <c r="E19" s="14">
        <f>C19</f>
        <v>446549.99771619716</v>
      </c>
      <c r="F19" s="4">
        <f>E19*25</f>
        <v>11163749.942904929</v>
      </c>
      <c r="H19" s="8"/>
      <c r="I19" s="17">
        <f>I48*300*((0.05*((1.05)^20))/((1.05^20)-1))</f>
        <v>419588.48842012486</v>
      </c>
      <c r="J19" s="14">
        <v>0</v>
      </c>
      <c r="K19" s="14">
        <f>I19</f>
        <v>419588.48842012486</v>
      </c>
      <c r="L19" s="4">
        <f>K19*25</f>
        <v>10489712.210503122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271.70140022768078</v>
      </c>
      <c r="J21" s="14">
        <f>19*I34</f>
        <v>38</v>
      </c>
      <c r="K21" s="14">
        <f>J21+I21</f>
        <v>309.70140022768078</v>
      </c>
      <c r="L21" s="4">
        <f>K21*25</f>
        <v>7742.5350056920197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4165127.3340977062</v>
      </c>
      <c r="D23" s="14">
        <f>D8+D9+D10+D11+D13+D14+D15+D17+D19+D21</f>
        <v>237730.24</v>
      </c>
      <c r="E23" s="14">
        <f>E8+E9+E10+E11+E13+E14+E15+E17+E19+E21</f>
        <v>4402857.574097706</v>
      </c>
      <c r="F23" s="4">
        <f>E23*25</f>
        <v>110071439.35244265</v>
      </c>
      <c r="H23" s="36"/>
      <c r="I23" s="11">
        <f>I8+I9+I11+I10+I13+I14+I15+I17+I19+I21</f>
        <v>1755226.8017547522</v>
      </c>
      <c r="J23" s="14">
        <f>J8+J9+J10+J11+J13+J14+J15+J17+J19+J21</f>
        <v>240630.24</v>
      </c>
      <c r="K23" s="14">
        <f>K8+K9+K10+K11+K13+K14+K15+K17+K19+K21</f>
        <v>1995857.0417547522</v>
      </c>
      <c r="L23" s="4">
        <f>K23*25</f>
        <v>49896426.043868802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28</v>
      </c>
      <c r="D27" s="2">
        <v>2800</v>
      </c>
      <c r="F27" s="2"/>
      <c r="H27" s="10" t="s">
        <v>9</v>
      </c>
      <c r="I27" s="13">
        <v>4</v>
      </c>
      <c r="J27" s="2">
        <v>400</v>
      </c>
      <c r="L27" s="2"/>
    </row>
    <row r="28" spans="2:12" x14ac:dyDescent="0.5">
      <c r="B28" s="10" t="s">
        <v>10</v>
      </c>
      <c r="C28" s="13">
        <v>0</v>
      </c>
      <c r="D28" s="2">
        <v>0</v>
      </c>
      <c r="F28" s="2"/>
      <c r="H28" s="10" t="s">
        <v>10</v>
      </c>
      <c r="I28" s="13">
        <v>5</v>
      </c>
      <c r="J28" s="2">
        <v>2500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28</v>
      </c>
      <c r="D31" s="4">
        <v>2800</v>
      </c>
      <c r="F31" s="2"/>
      <c r="H31" s="11" t="s">
        <v>26</v>
      </c>
      <c r="I31" s="14">
        <v>9</v>
      </c>
      <c r="J31" s="4">
        <v>2900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3</v>
      </c>
      <c r="D38" s="2">
        <v>3000</v>
      </c>
      <c r="F38" s="2"/>
      <c r="H38" s="10" t="s">
        <v>14</v>
      </c>
      <c r="I38" s="13">
        <v>3</v>
      </c>
      <c r="J38" s="2">
        <v>3000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3</v>
      </c>
      <c r="D41" s="4">
        <v>3000</v>
      </c>
      <c r="F41" s="2"/>
      <c r="H41" s="11" t="s">
        <v>26</v>
      </c>
      <c r="I41" s="14">
        <v>3</v>
      </c>
      <c r="J41" s="4">
        <v>3000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158</v>
      </c>
      <c r="D45" s="4">
        <v>2777.64</v>
      </c>
      <c r="F45" s="2"/>
      <c r="H45" s="11" t="s">
        <v>18</v>
      </c>
      <c r="I45" s="14">
        <v>158</v>
      </c>
      <c r="J45" s="4">
        <v>2777.64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18550</v>
      </c>
      <c r="F48" s="2"/>
      <c r="H48" s="18" t="s">
        <v>29</v>
      </c>
      <c r="I48" s="4">
        <v>17430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3564604.5971920001</v>
      </c>
      <c r="D52" s="2">
        <f>C52*25</f>
        <v>89115114.929800004</v>
      </c>
      <c r="F52" s="2"/>
      <c r="H52" s="10" t="s">
        <v>35</v>
      </c>
      <c r="I52" s="13">
        <v>2644604.5699999998</v>
      </c>
      <c r="J52" s="2">
        <f>I52*25</f>
        <v>66115114.249999993</v>
      </c>
      <c r="L52" s="2"/>
    </row>
    <row r="53" spans="2:12" ht="17.45" customHeight="1" thickBot="1" x14ac:dyDescent="0.55000000000000004">
      <c r="B53" s="11" t="s">
        <v>36</v>
      </c>
      <c r="C53" s="17">
        <v>213370.63044441331</v>
      </c>
      <c r="D53" s="4">
        <f>C53*25</f>
        <v>5334265.7611103328</v>
      </c>
      <c r="F53" s="2"/>
      <c r="H53" s="11" t="s">
        <v>36</v>
      </c>
      <c r="I53" s="14">
        <v>156038.79489999922</v>
      </c>
      <c r="J53" s="4">
        <f>I53*25</f>
        <v>3900969.8724999805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968164.211583014</v>
      </c>
      <c r="D57" s="2">
        <f>C57*25</f>
        <v>24204105.28957535</v>
      </c>
      <c r="F57" s="2"/>
      <c r="H57" s="10" t="s">
        <v>35</v>
      </c>
      <c r="I57" s="13">
        <v>718287.65989999997</v>
      </c>
      <c r="J57" s="2">
        <f>I57*25</f>
        <v>17957191.497499999</v>
      </c>
      <c r="L57" s="2"/>
    </row>
    <row r="58" spans="2:12" ht="21.45" customHeight="1" thickBot="1" x14ac:dyDescent="0.55000000000000004">
      <c r="B58" s="11" t="s">
        <v>36</v>
      </c>
      <c r="C58" s="17">
        <v>179548.38419203332</v>
      </c>
      <c r="D58" s="4">
        <f>C58*25</f>
        <v>4488709.6048008334</v>
      </c>
      <c r="F58" s="2"/>
      <c r="H58" s="11" t="s">
        <v>36</v>
      </c>
      <c r="I58" s="14">
        <v>156038.7948999998</v>
      </c>
      <c r="J58" s="4">
        <f>I58*25</f>
        <v>3900969.8724999949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166936.69914877301</v>
      </c>
      <c r="F61" s="2"/>
      <c r="H61" s="18" t="s">
        <v>38</v>
      </c>
      <c r="I61" s="4">
        <v>156038.79490000001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1.1044162376989364</v>
      </c>
      <c r="C64" s="41"/>
      <c r="D64" s="3"/>
      <c r="E64" s="3"/>
      <c r="F64" s="4"/>
      <c r="H64" s="40">
        <f>K23/B68</f>
        <v>0.50064234146648257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3986592.5760663468</v>
      </c>
      <c r="C68" s="4">
        <f>D107</f>
        <v>99664814.401658669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19157.163470791991</v>
      </c>
      <c r="D74" s="13">
        <v>44700</v>
      </c>
      <c r="E74" s="13">
        <f>C74+D74</f>
        <v>63857.163470791987</v>
      </c>
      <c r="F74" s="2">
        <f>E74*25</f>
        <v>1596429.0867697997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971320.65789473522</v>
      </c>
      <c r="E78" s="13">
        <f>D78</f>
        <v>971320.65789473522</v>
      </c>
      <c r="F78" s="2">
        <f>E78*25</f>
        <v>24283016.44736838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35661.603181496277</v>
      </c>
      <c r="D80" s="13">
        <v>44442.239999999998</v>
      </c>
      <c r="E80" s="13">
        <f>C80+D80</f>
        <v>80103.843181496282</v>
      </c>
      <c r="F80" s="2">
        <f>E80*25</f>
        <v>2002596.079537407</v>
      </c>
    </row>
    <row r="81" spans="2:6" ht="14.7" thickBot="1" x14ac:dyDescent="0.55000000000000004">
      <c r="B81" s="11" t="s">
        <v>46</v>
      </c>
      <c r="C81" s="14"/>
      <c r="D81" s="14">
        <f>D100*2.0865</f>
        <v>53296030.465170629</v>
      </c>
      <c r="E81" s="14">
        <f>D81</f>
        <v>53296030.465170629</v>
      </c>
      <c r="F81" s="4">
        <f>E81*25</f>
        <v>1332400761.6292658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54818.766652288257</v>
      </c>
      <c r="D83" s="14">
        <v>3192304.1165015609</v>
      </c>
      <c r="E83" s="14">
        <v>3247122.8831538502</v>
      </c>
      <c r="F83" s="4">
        <f>E83*25</f>
        <v>81178072.078846261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3</v>
      </c>
      <c r="D87" s="2">
        <v>300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3</v>
      </c>
      <c r="D91" s="4">
        <v>300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158</v>
      </c>
      <c r="D95" s="4">
        <v>2777.64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465526.31578947289</v>
      </c>
      <c r="D99" s="2">
        <f>C99*25</f>
        <v>11638157.894736823</v>
      </c>
      <c r="F99" s="2"/>
    </row>
    <row r="100" spans="2:6" x14ac:dyDescent="0.5">
      <c r="B100" s="10" t="s">
        <v>53</v>
      </c>
      <c r="C100" s="13">
        <v>1021730.754184915</v>
      </c>
      <c r="D100" s="2">
        <f>C100*25</f>
        <v>25543268.854622874</v>
      </c>
      <c r="F100" s="2"/>
    </row>
    <row r="101" spans="2:6" ht="14.7" thickBot="1" x14ac:dyDescent="0.55000000000000004">
      <c r="B101" s="11" t="s">
        <v>26</v>
      </c>
      <c r="C101" s="14">
        <f>C99+C100</f>
        <v>1487257.069974388</v>
      </c>
      <c r="D101" s="4">
        <f>D99+D100</f>
        <v>37181426.749359697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1247843.2894736819</v>
      </c>
      <c r="D105" s="29">
        <f t="shared" si="4"/>
        <v>31196082.236842051</v>
      </c>
      <c r="F105" s="2"/>
    </row>
    <row r="106" spans="2:6" x14ac:dyDescent="0.5">
      <c r="B106" s="10" t="s">
        <v>53</v>
      </c>
      <c r="C106" s="13">
        <f t="shared" si="4"/>
        <v>2738749.2865926647</v>
      </c>
      <c r="D106" s="29">
        <f t="shared" si="4"/>
        <v>68468732.164816618</v>
      </c>
      <c r="F106" s="2"/>
    </row>
    <row r="107" spans="2:6" ht="14.7" thickBot="1" x14ac:dyDescent="0.55000000000000004">
      <c r="B107" s="11" t="s">
        <v>26</v>
      </c>
      <c r="C107" s="14">
        <f t="shared" si="4"/>
        <v>3986592.5760663468</v>
      </c>
      <c r="D107" s="30">
        <f t="shared" si="4"/>
        <v>99664814.401658669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B4:N107"/>
  <sheetViews>
    <sheetView zoomScale="70" zoomScaleNormal="70" workbookViewId="0">
      <selection activeCell="F12" sqref="F12"/>
    </sheetView>
  </sheetViews>
  <sheetFormatPr defaultRowHeight="14.35" x14ac:dyDescent="0.5"/>
  <cols>
    <col min="2" max="2" width="16.76171875" bestFit="1" customWidth="1"/>
    <col min="3" max="3" width="20.29296875" bestFit="1" customWidth="1"/>
    <col min="4" max="4" width="21.234375" bestFit="1" customWidth="1"/>
    <col min="5" max="6" width="13.703125" bestFit="1" customWidth="1"/>
    <col min="8" max="8" width="16.76171875" bestFit="1" customWidth="1"/>
    <col min="9" max="9" width="17.8203125" bestFit="1" customWidth="1"/>
    <col min="10" max="10" width="18.703125" bestFit="1" customWidth="1"/>
    <col min="11" max="11" width="22.17578125" customWidth="1"/>
    <col min="12" max="12" width="13.703125" bestFit="1" customWidth="1"/>
    <col min="14" max="14" width="21" customWidth="1"/>
  </cols>
  <sheetData>
    <row r="4" spans="2:14" ht="14.7" thickBot="1" x14ac:dyDescent="0.55000000000000004"/>
    <row r="5" spans="2:14" ht="14.7" thickBot="1" x14ac:dyDescent="0.55000000000000004">
      <c r="B5" s="32" t="s">
        <v>0</v>
      </c>
      <c r="C5" s="33"/>
      <c r="D5" s="33"/>
      <c r="E5" s="33"/>
      <c r="F5" s="33"/>
      <c r="G5" s="33"/>
      <c r="H5" s="33"/>
      <c r="I5" s="33"/>
      <c r="J5" s="33"/>
      <c r="K5" s="33"/>
      <c r="L5" s="34"/>
    </row>
    <row r="6" spans="2:14" ht="14.7" thickBot="1" x14ac:dyDescent="0.55000000000000004">
      <c r="B6" s="32" t="s">
        <v>1</v>
      </c>
      <c r="C6" s="33"/>
      <c r="D6" s="33"/>
      <c r="E6" s="33"/>
      <c r="F6" s="34"/>
      <c r="H6" s="32" t="s">
        <v>2</v>
      </c>
      <c r="I6" s="33"/>
      <c r="J6" s="33"/>
      <c r="K6" s="33"/>
      <c r="L6" s="34"/>
    </row>
    <row r="7" spans="2:14" x14ac:dyDescent="0.5">
      <c r="B7" s="6" t="s">
        <v>3</v>
      </c>
      <c r="C7" s="9" t="s">
        <v>4</v>
      </c>
      <c r="D7" s="12" t="s">
        <v>5</v>
      </c>
      <c r="E7" s="12" t="s">
        <v>6</v>
      </c>
      <c r="F7" s="5" t="s">
        <v>7</v>
      </c>
      <c r="H7" s="6" t="s">
        <v>3</v>
      </c>
      <c r="I7" s="15" t="s">
        <v>4</v>
      </c>
      <c r="J7" s="12" t="s">
        <v>5</v>
      </c>
      <c r="K7" s="12" t="s">
        <v>6</v>
      </c>
      <c r="L7" s="5" t="s">
        <v>7</v>
      </c>
      <c r="N7" s="31"/>
    </row>
    <row r="8" spans="2:14" x14ac:dyDescent="0.5">
      <c r="B8" s="7" t="s">
        <v>8</v>
      </c>
      <c r="C8" s="10">
        <f>13698 * D27*((0.05*((1.05)^25))/((1.05^25)-1))</f>
        <v>1069097.436093332</v>
      </c>
      <c r="D8" s="13">
        <f>29*D27</f>
        <v>31900</v>
      </c>
      <c r="E8" s="13">
        <f>C8+D8</f>
        <v>1100997.436093332</v>
      </c>
      <c r="F8" s="2">
        <f>E8*25</f>
        <v>27524935.902333301</v>
      </c>
      <c r="H8" s="7" t="s">
        <v>9</v>
      </c>
      <c r="I8" s="16">
        <f>1615 * J27*((0.05*((1.05)^25))/((1.05^25)-1))</f>
        <v>11458.821853825584</v>
      </c>
      <c r="J8" s="13">
        <f>29*J27</f>
        <v>2900</v>
      </c>
      <c r="K8" s="13">
        <f>I8+J8</f>
        <v>14358.821853825584</v>
      </c>
      <c r="L8" s="2">
        <f>K8*25</f>
        <v>358970.54634563962</v>
      </c>
      <c r="N8" s="31"/>
    </row>
    <row r="9" spans="2:14" x14ac:dyDescent="0.5">
      <c r="B9" s="7" t="s">
        <v>10</v>
      </c>
      <c r="C9" s="10">
        <f>13698 * D28*((0.05*((1.05)^25))/((1.05^25)-1))</f>
        <v>0</v>
      </c>
      <c r="D9" s="13">
        <f>29*D28</f>
        <v>0</v>
      </c>
      <c r="E9" s="13">
        <f>C9+D9</f>
        <v>0</v>
      </c>
      <c r="F9" s="2">
        <f>E9*25</f>
        <v>0</v>
      </c>
      <c r="H9" s="7" t="s">
        <v>10</v>
      </c>
      <c r="I9" s="16">
        <f t="shared" ref="I9:I11" si="0">1615 * J28*((0.05*((1.05)^25))/((1.05^25)-1))</f>
        <v>114588.21853825584</v>
      </c>
      <c r="J9" s="13">
        <f>29*J28</f>
        <v>29000</v>
      </c>
      <c r="K9" s="13">
        <f>I9+J9</f>
        <v>143588.21853825584</v>
      </c>
      <c r="L9" s="2">
        <f>K9*25</f>
        <v>3589705.463456396</v>
      </c>
    </row>
    <row r="10" spans="2:14" x14ac:dyDescent="0.5">
      <c r="B10" s="7" t="s">
        <v>11</v>
      </c>
      <c r="C10" s="10">
        <f>13698 * D29*((0.05*((1.05)^25))/((1.05^25)-1))</f>
        <v>0</v>
      </c>
      <c r="D10" s="13">
        <f>29*D29</f>
        <v>0</v>
      </c>
      <c r="E10" s="13">
        <f>C10+D10</f>
        <v>0</v>
      </c>
      <c r="F10" s="2">
        <f>E10*25</f>
        <v>0</v>
      </c>
      <c r="H10" s="7" t="s">
        <v>11</v>
      </c>
      <c r="I10" s="16">
        <f>1615 * J29*((0.05*((1.05)^25))/((1.05^25)-1))</f>
        <v>0</v>
      </c>
      <c r="J10" s="13">
        <f>29*J29</f>
        <v>0</v>
      </c>
      <c r="K10" s="13">
        <f>I10+J10</f>
        <v>0</v>
      </c>
      <c r="L10" s="2">
        <f>K10*25</f>
        <v>0</v>
      </c>
    </row>
    <row r="11" spans="2:14" ht="14.7" thickBot="1" x14ac:dyDescent="0.55000000000000004">
      <c r="B11" s="8" t="s">
        <v>12</v>
      </c>
      <c r="C11" s="10">
        <f>13698 * D30*((0.05*((1.05)^25))/((1.05^25)-1))</f>
        <v>0</v>
      </c>
      <c r="D11" s="13">
        <f>29*D30</f>
        <v>0</v>
      </c>
      <c r="E11" s="13">
        <f>C11+D11</f>
        <v>0</v>
      </c>
      <c r="F11" s="2">
        <f>E11*25</f>
        <v>0</v>
      </c>
      <c r="H11" s="8" t="s">
        <v>12</v>
      </c>
      <c r="I11" s="16">
        <f t="shared" si="0"/>
        <v>0</v>
      </c>
      <c r="J11" s="13">
        <f>29*J30</f>
        <v>0</v>
      </c>
      <c r="K11" s="13">
        <f>I11+J11</f>
        <v>0</v>
      </c>
      <c r="L11" s="2">
        <f>K11*25</f>
        <v>0</v>
      </c>
    </row>
    <row r="12" spans="2:14" x14ac:dyDescent="0.5">
      <c r="B12" s="6" t="s">
        <v>13</v>
      </c>
      <c r="C12" s="9" t="s">
        <v>4</v>
      </c>
      <c r="D12" s="12" t="s">
        <v>5</v>
      </c>
      <c r="E12" s="12" t="s">
        <v>6</v>
      </c>
      <c r="F12" s="5" t="s">
        <v>7</v>
      </c>
      <c r="H12" s="6" t="s">
        <v>13</v>
      </c>
      <c r="I12" s="15" t="s">
        <v>4</v>
      </c>
      <c r="J12" s="12" t="s">
        <v>5</v>
      </c>
      <c r="K12" s="12" t="s">
        <v>6</v>
      </c>
      <c r="L12" s="5" t="s">
        <v>7</v>
      </c>
    </row>
    <row r="13" spans="2:14" x14ac:dyDescent="0.5">
      <c r="B13" s="7" t="s">
        <v>14</v>
      </c>
      <c r="C13" s="10">
        <f>2490 * D38*((0.05*((1.05)^10))/((1.05^10)-1))</f>
        <v>322466.39166398719</v>
      </c>
      <c r="D13" s="13">
        <f>37.35*D38</f>
        <v>37350</v>
      </c>
      <c r="E13" s="13">
        <f>C13+D13</f>
        <v>359816.39166398719</v>
      </c>
      <c r="F13" s="2">
        <f>E13*25</f>
        <v>8995409.7915996797</v>
      </c>
      <c r="H13" s="7" t="s">
        <v>14</v>
      </c>
      <c r="I13" s="16">
        <f>2490 * J38*((0.05*((1.05)^10))/((1.05^10)-1))</f>
        <v>322466.39166398719</v>
      </c>
      <c r="J13" s="13">
        <f>37.35*J38</f>
        <v>37350</v>
      </c>
      <c r="K13" s="13">
        <f>I13+J13</f>
        <v>359816.39166398719</v>
      </c>
      <c r="L13" s="2">
        <f>K13*25</f>
        <v>8995409.7915996797</v>
      </c>
    </row>
    <row r="14" spans="2:14" x14ac:dyDescent="0.5">
      <c r="B14" s="7" t="s">
        <v>15</v>
      </c>
      <c r="C14" s="10">
        <f>1570 * D39*((0.05*((1.05)^10))/((1.05^10)-1))</f>
        <v>0</v>
      </c>
      <c r="D14" s="13">
        <f>23.55*D39</f>
        <v>0</v>
      </c>
      <c r="E14" s="13">
        <f>C14+D14</f>
        <v>0</v>
      </c>
      <c r="F14" s="2">
        <f>E14*25</f>
        <v>0</v>
      </c>
      <c r="H14" s="7" t="s">
        <v>15</v>
      </c>
      <c r="I14" s="16">
        <f>1570 * J39*((0.05*((1.05)^10))/((1.05^10)-1))</f>
        <v>0</v>
      </c>
      <c r="J14" s="13">
        <f>23.55*J39</f>
        <v>0</v>
      </c>
      <c r="K14" s="13">
        <f>I14+J14</f>
        <v>0</v>
      </c>
      <c r="L14" s="2">
        <f t="shared" ref="L14:L15" si="1">K14*25</f>
        <v>0</v>
      </c>
    </row>
    <row r="15" spans="2:14" ht="14.7" thickBot="1" x14ac:dyDescent="0.55000000000000004">
      <c r="B15" s="8" t="s">
        <v>16</v>
      </c>
      <c r="C15" s="10">
        <f>1190 * D40*((0.05*((1.05)^10))/((1.05^10)-1))</f>
        <v>0</v>
      </c>
      <c r="D15" s="14">
        <f>17.85*D40</f>
        <v>0</v>
      </c>
      <c r="E15" s="13">
        <f>C15+D15</f>
        <v>0</v>
      </c>
      <c r="F15" s="2">
        <f>E15*25</f>
        <v>0</v>
      </c>
      <c r="H15" s="8" t="s">
        <v>16</v>
      </c>
      <c r="I15" s="17">
        <f>1190 * J40*((0.05*((1.05)^10))/((1.05^10)-1))</f>
        <v>0</v>
      </c>
      <c r="J15" s="14">
        <f>17.85*J40</f>
        <v>0</v>
      </c>
      <c r="K15" s="13">
        <f>I15+J15</f>
        <v>0</v>
      </c>
      <c r="L15" s="2">
        <f t="shared" si="1"/>
        <v>0</v>
      </c>
    </row>
    <row r="16" spans="2:14" x14ac:dyDescent="0.5">
      <c r="B16" s="6" t="s">
        <v>17</v>
      </c>
      <c r="C16" s="9" t="s">
        <v>4</v>
      </c>
      <c r="D16" s="12" t="s">
        <v>5</v>
      </c>
      <c r="E16" s="12" t="s">
        <v>6</v>
      </c>
      <c r="F16" s="5" t="s">
        <v>7</v>
      </c>
      <c r="H16" s="6" t="s">
        <v>17</v>
      </c>
      <c r="I16" s="15" t="s">
        <v>4</v>
      </c>
      <c r="J16" s="12" t="s">
        <v>5</v>
      </c>
      <c r="K16" s="12" t="s">
        <v>6</v>
      </c>
      <c r="L16" s="5"/>
    </row>
    <row r="17" spans="2:12" ht="14.7" thickBot="1" x14ac:dyDescent="0.55000000000000004">
      <c r="B17" s="8" t="s">
        <v>18</v>
      </c>
      <c r="C17" s="11">
        <v>29567.531751746901</v>
      </c>
      <c r="D17" s="14">
        <v>18564.48</v>
      </c>
      <c r="E17" s="14">
        <f>D17+C17</f>
        <v>48132.011751746904</v>
      </c>
      <c r="F17" s="4">
        <f>E17*25</f>
        <v>1203300.2937936727</v>
      </c>
      <c r="H17" s="8" t="s">
        <v>18</v>
      </c>
      <c r="I17" s="17">
        <v>14896.619050498441</v>
      </c>
      <c r="J17" s="14">
        <v>18564.48</v>
      </c>
      <c r="K17" s="14">
        <f>J17+I17</f>
        <v>33461.099050498437</v>
      </c>
      <c r="L17" s="4">
        <f>K17*25</f>
        <v>836527.47626246093</v>
      </c>
    </row>
    <row r="18" spans="2:12" x14ac:dyDescent="0.5">
      <c r="B18" s="6" t="s">
        <v>19</v>
      </c>
      <c r="C18" s="9" t="s">
        <v>4</v>
      </c>
      <c r="D18" s="12" t="s">
        <v>5</v>
      </c>
      <c r="E18" s="12" t="s">
        <v>6</v>
      </c>
      <c r="F18" s="5" t="s">
        <v>7</v>
      </c>
      <c r="H18" s="6" t="s">
        <v>20</v>
      </c>
      <c r="I18" s="15" t="s">
        <v>4</v>
      </c>
      <c r="J18" s="12" t="s">
        <v>5</v>
      </c>
      <c r="K18" s="12" t="s">
        <v>6</v>
      </c>
      <c r="L18" s="5" t="s">
        <v>7</v>
      </c>
    </row>
    <row r="19" spans="2:12" ht="14.7" thickBot="1" x14ac:dyDescent="0.55000000000000004">
      <c r="B19" s="8"/>
      <c r="C19" s="11">
        <f>C48*300*((0.05*((1.05)^20))/((1.05^20)-1))</f>
        <v>339666.87157819635</v>
      </c>
      <c r="D19" s="14">
        <v>0</v>
      </c>
      <c r="E19" s="14">
        <f>C19</f>
        <v>339666.87157819635</v>
      </c>
      <c r="F19" s="4">
        <f>E19*25</f>
        <v>8491671.789454909</v>
      </c>
      <c r="H19" s="8"/>
      <c r="I19" s="17">
        <f>I48*300*((0.05*((1.05)^20))/((1.05^20)-1))</f>
        <v>339666.87157819635</v>
      </c>
      <c r="J19" s="14">
        <v>0</v>
      </c>
      <c r="K19" s="14">
        <f>I19</f>
        <v>339666.87157819635</v>
      </c>
      <c r="L19" s="4">
        <f>K19*25</f>
        <v>8491671.789454909</v>
      </c>
    </row>
    <row r="20" spans="2:12" x14ac:dyDescent="0.5">
      <c r="B20" s="6" t="s">
        <v>21</v>
      </c>
      <c r="C20" s="9" t="s">
        <v>4</v>
      </c>
      <c r="D20" s="12" t="s">
        <v>5</v>
      </c>
      <c r="E20" s="12" t="s">
        <v>6</v>
      </c>
      <c r="F20" s="5" t="s">
        <v>7</v>
      </c>
      <c r="H20" s="6" t="s">
        <v>21</v>
      </c>
      <c r="I20" s="15" t="s">
        <v>4</v>
      </c>
      <c r="J20" s="12" t="s">
        <v>5</v>
      </c>
      <c r="K20" s="12" t="s">
        <v>6</v>
      </c>
      <c r="L20" s="5" t="s">
        <v>7</v>
      </c>
    </row>
    <row r="21" spans="2:12" ht="14.7" thickBot="1" x14ac:dyDescent="0.55000000000000004">
      <c r="B21" s="8"/>
      <c r="C21" s="11">
        <f>1693 *C34* ((0.05*((1.05)^20))/((1.05^20)-1))</f>
        <v>271.70140022768078</v>
      </c>
      <c r="D21" s="14">
        <f>19*C34</f>
        <v>38</v>
      </c>
      <c r="E21" s="14">
        <f>D21+C21</f>
        <v>309.70140022768078</v>
      </c>
      <c r="F21" s="4">
        <f>E21*25</f>
        <v>7742.5350056920197</v>
      </c>
      <c r="H21" s="7"/>
      <c r="I21" s="11">
        <f>1693 * I34*((0.05*((1.05)^20))/((1.05^20)-1))</f>
        <v>271.70140022768078</v>
      </c>
      <c r="J21" s="14">
        <f>19*I34</f>
        <v>38</v>
      </c>
      <c r="K21" s="14">
        <f>J21+I21</f>
        <v>309.70140022768078</v>
      </c>
      <c r="L21" s="4">
        <f>K21*25</f>
        <v>7742.5350056920197</v>
      </c>
    </row>
    <row r="22" spans="2:12" x14ac:dyDescent="0.5">
      <c r="B22" s="35" t="s">
        <v>22</v>
      </c>
      <c r="C22" s="9" t="s">
        <v>4</v>
      </c>
      <c r="D22" s="12" t="s">
        <v>5</v>
      </c>
      <c r="E22" s="12" t="s">
        <v>6</v>
      </c>
      <c r="F22" s="5" t="s">
        <v>7</v>
      </c>
      <c r="H22" s="35" t="s">
        <v>22</v>
      </c>
      <c r="I22" s="15" t="s">
        <v>4</v>
      </c>
      <c r="J22" s="12" t="s">
        <v>5</v>
      </c>
      <c r="K22" s="12" t="s">
        <v>6</v>
      </c>
      <c r="L22" s="5" t="s">
        <v>7</v>
      </c>
    </row>
    <row r="23" spans="2:12" ht="14.7" thickBot="1" x14ac:dyDescent="0.55000000000000004">
      <c r="B23" s="36"/>
      <c r="C23" s="11">
        <f>C8+C9+C11+C10+C13+C14+C15+C17+C19+C21</f>
        <v>1761069.9324874901</v>
      </c>
      <c r="D23" s="14">
        <f>D8+D9+D10+D11+D13+D14+D15+D17+D19+D21</f>
        <v>87852.479999999996</v>
      </c>
      <c r="E23" s="14">
        <f>E8+E9+E10+E11+E13+E14+E15+E17+E19+E21</f>
        <v>1848922.4124874901</v>
      </c>
      <c r="F23" s="4">
        <f>E23*25</f>
        <v>46223060.312187254</v>
      </c>
      <c r="H23" s="36"/>
      <c r="I23" s="11">
        <f>I8+I9+I11+I10+I13+I14+I15+I17+I19+I21</f>
        <v>803348.62408499105</v>
      </c>
      <c r="J23" s="14">
        <f>J8+J9+J10+J11+J13+J14+J15+J17+J19+J21</f>
        <v>87852.479999999996</v>
      </c>
      <c r="K23" s="14">
        <f>K8+K9+K10+K11+K13+K14+K15+K17+K19+K21</f>
        <v>891201.10408499104</v>
      </c>
      <c r="L23" s="4">
        <f>K23*25</f>
        <v>22280027.602124777</v>
      </c>
    </row>
    <row r="24" spans="2:12" ht="14.7" thickBot="1" x14ac:dyDescent="0.55000000000000004">
      <c r="B24" s="1"/>
      <c r="F24" s="2"/>
      <c r="H24" s="1"/>
      <c r="L24" s="2"/>
    </row>
    <row r="25" spans="2:12" ht="14.7" thickBot="1" x14ac:dyDescent="0.55000000000000004">
      <c r="B25" s="32" t="s">
        <v>3</v>
      </c>
      <c r="C25" s="33"/>
      <c r="D25" s="34"/>
      <c r="F25" s="2"/>
      <c r="H25" s="32" t="s">
        <v>3</v>
      </c>
      <c r="I25" s="33"/>
      <c r="J25" s="34"/>
      <c r="L25" s="2"/>
    </row>
    <row r="26" spans="2:12" ht="14.7" thickBot="1" x14ac:dyDescent="0.55000000000000004">
      <c r="B26" s="18" t="s">
        <v>23</v>
      </c>
      <c r="C26" s="19" t="s">
        <v>24</v>
      </c>
      <c r="D26" s="20" t="s">
        <v>25</v>
      </c>
      <c r="F26" s="2"/>
      <c r="H26" s="18" t="s">
        <v>23</v>
      </c>
      <c r="I26" s="19" t="s">
        <v>24</v>
      </c>
      <c r="J26" s="20" t="s">
        <v>25</v>
      </c>
      <c r="L26" s="2"/>
    </row>
    <row r="27" spans="2:12" x14ac:dyDescent="0.5">
      <c r="B27" s="10" t="s">
        <v>9</v>
      </c>
      <c r="C27" s="13">
        <v>11</v>
      </c>
      <c r="D27" s="2">
        <v>1100</v>
      </c>
      <c r="F27" s="2"/>
      <c r="H27" s="10" t="s">
        <v>9</v>
      </c>
      <c r="I27" s="13">
        <v>1</v>
      </c>
      <c r="J27" s="2">
        <v>100</v>
      </c>
      <c r="L27" s="2"/>
    </row>
    <row r="28" spans="2:12" x14ac:dyDescent="0.5">
      <c r="B28" s="10" t="s">
        <v>10</v>
      </c>
      <c r="C28" s="13">
        <v>0</v>
      </c>
      <c r="D28" s="2">
        <v>0</v>
      </c>
      <c r="F28" s="2"/>
      <c r="H28" s="10" t="s">
        <v>10</v>
      </c>
      <c r="I28" s="13">
        <v>2</v>
      </c>
      <c r="J28" s="2">
        <v>1000</v>
      </c>
      <c r="L28" s="2"/>
    </row>
    <row r="29" spans="2:12" x14ac:dyDescent="0.5">
      <c r="B29" s="10" t="s">
        <v>11</v>
      </c>
      <c r="C29" s="13">
        <v>0</v>
      </c>
      <c r="D29" s="2">
        <v>0</v>
      </c>
      <c r="F29" s="2"/>
      <c r="H29" s="10" t="s">
        <v>11</v>
      </c>
      <c r="I29" s="13">
        <v>0</v>
      </c>
      <c r="J29" s="2">
        <v>0</v>
      </c>
      <c r="L29" s="2"/>
    </row>
    <row r="30" spans="2:12" x14ac:dyDescent="0.5">
      <c r="B30" s="10" t="s">
        <v>12</v>
      </c>
      <c r="C30" s="13">
        <v>0</v>
      </c>
      <c r="D30" s="2">
        <v>0</v>
      </c>
      <c r="F30" s="2"/>
      <c r="H30" s="10" t="s">
        <v>12</v>
      </c>
      <c r="I30" s="13">
        <v>0</v>
      </c>
      <c r="J30" s="2">
        <v>0</v>
      </c>
      <c r="L30" s="2"/>
    </row>
    <row r="31" spans="2:12" ht="14.7" thickBot="1" x14ac:dyDescent="0.55000000000000004">
      <c r="B31" s="11" t="s">
        <v>26</v>
      </c>
      <c r="C31" s="14">
        <v>11</v>
      </c>
      <c r="D31" s="4">
        <v>1100</v>
      </c>
      <c r="F31" s="2"/>
      <c r="H31" s="11" t="s">
        <v>26</v>
      </c>
      <c r="I31" s="14">
        <v>3</v>
      </c>
      <c r="J31" s="4">
        <v>1100</v>
      </c>
      <c r="L31" s="2"/>
    </row>
    <row r="32" spans="2:12" ht="14.7" thickBot="1" x14ac:dyDescent="0.55000000000000004">
      <c r="B32" s="1"/>
      <c r="F32" s="2"/>
      <c r="H32" s="1"/>
      <c r="L32" s="2"/>
    </row>
    <row r="33" spans="2:12" ht="14.7" thickBot="1" x14ac:dyDescent="0.55000000000000004">
      <c r="B33" s="32" t="s">
        <v>21</v>
      </c>
      <c r="C33" s="34"/>
      <c r="F33" s="2"/>
      <c r="H33" s="32" t="s">
        <v>21</v>
      </c>
      <c r="I33" s="34"/>
      <c r="L33" s="2"/>
    </row>
    <row r="34" spans="2:12" ht="14.7" thickBot="1" x14ac:dyDescent="0.55000000000000004">
      <c r="B34" s="18" t="s">
        <v>25</v>
      </c>
      <c r="C34" s="4">
        <v>2</v>
      </c>
      <c r="F34" s="2"/>
      <c r="H34" s="18" t="s">
        <v>25</v>
      </c>
      <c r="I34" s="4">
        <v>2</v>
      </c>
      <c r="L34" s="2"/>
    </row>
    <row r="35" spans="2:12" ht="14.7" thickBot="1" x14ac:dyDescent="0.55000000000000004">
      <c r="B35" s="1"/>
      <c r="F35" s="2"/>
      <c r="H35" s="1"/>
      <c r="L35" s="2"/>
    </row>
    <row r="36" spans="2:12" ht="14.7" thickBot="1" x14ac:dyDescent="0.55000000000000004">
      <c r="B36" s="32" t="s">
        <v>13</v>
      </c>
      <c r="C36" s="33"/>
      <c r="D36" s="34"/>
      <c r="F36" s="2"/>
      <c r="H36" s="32" t="s">
        <v>13</v>
      </c>
      <c r="I36" s="33"/>
      <c r="J36" s="34"/>
      <c r="L36" s="2"/>
    </row>
    <row r="37" spans="2:12" ht="14.7" thickBot="1" x14ac:dyDescent="0.55000000000000004">
      <c r="B37" s="18" t="s">
        <v>23</v>
      </c>
      <c r="C37" s="19" t="s">
        <v>24</v>
      </c>
      <c r="D37" s="20" t="s">
        <v>25</v>
      </c>
      <c r="F37" s="2"/>
      <c r="H37" s="18" t="s">
        <v>23</v>
      </c>
      <c r="I37" s="19" t="s">
        <v>24</v>
      </c>
      <c r="J37" s="20" t="s">
        <v>25</v>
      </c>
      <c r="L37" s="2"/>
    </row>
    <row r="38" spans="2:12" x14ac:dyDescent="0.5">
      <c r="B38" s="10" t="s">
        <v>14</v>
      </c>
      <c r="C38" s="13">
        <v>1</v>
      </c>
      <c r="D38" s="2">
        <v>1000</v>
      </c>
      <c r="F38" s="2"/>
      <c r="H38" s="10" t="s">
        <v>14</v>
      </c>
      <c r="I38" s="13">
        <v>1</v>
      </c>
      <c r="J38" s="2">
        <v>1000</v>
      </c>
      <c r="L38" s="2"/>
    </row>
    <row r="39" spans="2:12" x14ac:dyDescent="0.5">
      <c r="B39" s="10" t="s">
        <v>15</v>
      </c>
      <c r="C39" s="13">
        <v>0</v>
      </c>
      <c r="D39" s="2">
        <v>0</v>
      </c>
      <c r="F39" s="2"/>
      <c r="H39" s="10" t="s">
        <v>15</v>
      </c>
      <c r="I39" s="13">
        <v>0</v>
      </c>
      <c r="J39" s="2">
        <v>0</v>
      </c>
      <c r="L39" s="2"/>
    </row>
    <row r="40" spans="2:12" x14ac:dyDescent="0.5">
      <c r="B40" s="10" t="s">
        <v>16</v>
      </c>
      <c r="C40" s="13">
        <v>0</v>
      </c>
      <c r="D40" s="2">
        <v>0</v>
      </c>
      <c r="F40" s="2"/>
      <c r="H40" s="10" t="s">
        <v>16</v>
      </c>
      <c r="I40" s="13">
        <v>0</v>
      </c>
      <c r="J40" s="2">
        <v>0</v>
      </c>
      <c r="L40" s="2"/>
    </row>
    <row r="41" spans="2:12" ht="14.7" thickBot="1" x14ac:dyDescent="0.55000000000000004">
      <c r="B41" s="11" t="s">
        <v>26</v>
      </c>
      <c r="C41" s="14">
        <v>1</v>
      </c>
      <c r="D41" s="4">
        <v>1000</v>
      </c>
      <c r="F41" s="2"/>
      <c r="H41" s="11" t="s">
        <v>26</v>
      </c>
      <c r="I41" s="14">
        <v>1</v>
      </c>
      <c r="J41" s="4">
        <v>1000</v>
      </c>
      <c r="L41" s="2"/>
    </row>
    <row r="42" spans="2:12" ht="14.7" thickBot="1" x14ac:dyDescent="0.55000000000000004">
      <c r="B42" s="1"/>
      <c r="F42" s="2"/>
      <c r="H42" s="1"/>
      <c r="L42" s="2"/>
    </row>
    <row r="43" spans="2:12" ht="14.7" thickBot="1" x14ac:dyDescent="0.55000000000000004">
      <c r="B43" s="32" t="s">
        <v>27</v>
      </c>
      <c r="C43" s="33"/>
      <c r="D43" s="34"/>
      <c r="F43" s="2"/>
      <c r="H43" s="32" t="s">
        <v>27</v>
      </c>
      <c r="I43" s="33"/>
      <c r="J43" s="34"/>
      <c r="L43" s="2"/>
    </row>
    <row r="44" spans="2:12" ht="14.7" thickBot="1" x14ac:dyDescent="0.55000000000000004">
      <c r="B44" s="18" t="s">
        <v>23</v>
      </c>
      <c r="C44" s="19" t="s">
        <v>24</v>
      </c>
      <c r="D44" s="20" t="s">
        <v>25</v>
      </c>
      <c r="F44" s="2"/>
      <c r="H44" s="18" t="s">
        <v>23</v>
      </c>
      <c r="I44" s="19" t="s">
        <v>24</v>
      </c>
      <c r="J44" s="20" t="s">
        <v>25</v>
      </c>
      <c r="L44" s="2"/>
    </row>
    <row r="45" spans="2:12" ht="14.7" thickBot="1" x14ac:dyDescent="0.55000000000000004">
      <c r="B45" s="11" t="s">
        <v>18</v>
      </c>
      <c r="C45" s="14">
        <v>66</v>
      </c>
      <c r="D45" s="4">
        <v>1160.28</v>
      </c>
      <c r="F45" s="2"/>
      <c r="H45" s="11" t="s">
        <v>18</v>
      </c>
      <c r="I45" s="14">
        <v>66</v>
      </c>
      <c r="J45" s="4">
        <v>1160.28</v>
      </c>
      <c r="L45" s="2"/>
    </row>
    <row r="46" spans="2:12" ht="14.7" thickBot="1" x14ac:dyDescent="0.55000000000000004">
      <c r="B46" s="1"/>
      <c r="F46" s="2"/>
      <c r="H46" s="1"/>
      <c r="L46" s="2"/>
    </row>
    <row r="47" spans="2:12" ht="14.7" thickBot="1" x14ac:dyDescent="0.55000000000000004">
      <c r="B47" s="32" t="s">
        <v>28</v>
      </c>
      <c r="C47" s="34"/>
      <c r="F47" s="2"/>
      <c r="H47" s="32" t="s">
        <v>28</v>
      </c>
      <c r="I47" s="34"/>
      <c r="L47" s="2"/>
    </row>
    <row r="48" spans="2:12" ht="14.7" thickBot="1" x14ac:dyDescent="0.55000000000000004">
      <c r="B48" s="18" t="s">
        <v>29</v>
      </c>
      <c r="C48" s="4">
        <v>14110</v>
      </c>
      <c r="F48" s="2"/>
      <c r="H48" s="18" t="s">
        <v>29</v>
      </c>
      <c r="I48" s="4">
        <v>14110</v>
      </c>
      <c r="L48" s="2"/>
    </row>
    <row r="49" spans="2:12" ht="14.7" thickBot="1" x14ac:dyDescent="0.55000000000000004">
      <c r="B49" s="1"/>
      <c r="F49" s="2"/>
      <c r="H49" s="1"/>
      <c r="L49" s="2"/>
    </row>
    <row r="50" spans="2:12" ht="14.7" thickBot="1" x14ac:dyDescent="0.55000000000000004">
      <c r="B50" s="32" t="s">
        <v>34</v>
      </c>
      <c r="C50" s="33"/>
      <c r="D50" s="34"/>
      <c r="F50" s="2"/>
      <c r="H50" s="32" t="s">
        <v>34</v>
      </c>
      <c r="I50" s="33"/>
      <c r="J50" s="34"/>
      <c r="L50" s="2"/>
    </row>
    <row r="51" spans="2:12" ht="14.7" thickBot="1" x14ac:dyDescent="0.55000000000000004">
      <c r="B51" s="18" t="s">
        <v>31</v>
      </c>
      <c r="C51" s="19" t="s">
        <v>32</v>
      </c>
      <c r="D51" s="20" t="s">
        <v>33</v>
      </c>
      <c r="F51" s="2"/>
      <c r="H51" s="18" t="s">
        <v>31</v>
      </c>
      <c r="I51" s="19" t="s">
        <v>32</v>
      </c>
      <c r="J51" s="20" t="s">
        <v>33</v>
      </c>
      <c r="L51" s="2"/>
    </row>
    <row r="52" spans="2:12" x14ac:dyDescent="0.5">
      <c r="B52" s="10" t="s">
        <v>35</v>
      </c>
      <c r="C52" s="16">
        <v>1723802.6046563601</v>
      </c>
      <c r="D52" s="2">
        <f>C52*25</f>
        <v>43095065.116409004</v>
      </c>
      <c r="F52" s="2"/>
      <c r="H52" s="10" t="s">
        <v>35</v>
      </c>
      <c r="I52" s="13">
        <v>1339419.21</v>
      </c>
      <c r="J52" s="2">
        <f>I52*25</f>
        <v>33485480.25</v>
      </c>
      <c r="L52" s="2"/>
    </row>
    <row r="53" spans="2:12" ht="17.45" customHeight="1" thickBot="1" x14ac:dyDescent="0.55000000000000004">
      <c r="B53" s="11" t="s">
        <v>36</v>
      </c>
      <c r="C53" s="17">
        <v>429710.90114921</v>
      </c>
      <c r="D53" s="4">
        <f>C53*25</f>
        <v>10742772.528730249</v>
      </c>
      <c r="F53" s="2"/>
      <c r="H53" s="11" t="s">
        <v>36</v>
      </c>
      <c r="I53" s="14">
        <v>372964.84879999998</v>
      </c>
      <c r="J53" s="4">
        <f>I53*25</f>
        <v>9324121.2199999988</v>
      </c>
      <c r="L53" s="2"/>
    </row>
    <row r="54" spans="2:12" ht="14.7" thickBot="1" x14ac:dyDescent="0.55000000000000004">
      <c r="B54" s="1"/>
      <c r="F54" s="2"/>
      <c r="H54" s="1"/>
      <c r="L54" s="2"/>
    </row>
    <row r="55" spans="2:12" ht="14.7" thickBot="1" x14ac:dyDescent="0.55000000000000004">
      <c r="B55" s="32" t="s">
        <v>30</v>
      </c>
      <c r="C55" s="33"/>
      <c r="D55" s="34"/>
      <c r="F55" s="2"/>
      <c r="H55" s="32" t="s">
        <v>30</v>
      </c>
      <c r="I55" s="33"/>
      <c r="J55" s="34"/>
      <c r="L55" s="2"/>
    </row>
    <row r="56" spans="2:12" ht="14.7" thickBot="1" x14ac:dyDescent="0.55000000000000004">
      <c r="B56" s="18" t="s">
        <v>31</v>
      </c>
      <c r="C56" s="21" t="s">
        <v>32</v>
      </c>
      <c r="D56" s="20" t="s">
        <v>33</v>
      </c>
      <c r="F56" s="2"/>
      <c r="H56" s="18" t="s">
        <v>31</v>
      </c>
      <c r="I56" s="19" t="s">
        <v>32</v>
      </c>
      <c r="J56" s="20" t="s">
        <v>33</v>
      </c>
      <c r="L56" s="2"/>
    </row>
    <row r="57" spans="2:12" x14ac:dyDescent="0.5">
      <c r="B57" s="10" t="s">
        <v>35</v>
      </c>
      <c r="C57" s="16">
        <v>468193.30003012298</v>
      </c>
      <c r="D57" s="2">
        <f>C57*25</f>
        <v>11704832.500753075</v>
      </c>
      <c r="F57" s="2"/>
      <c r="H57" s="10" t="s">
        <v>35</v>
      </c>
      <c r="I57" s="13">
        <v>363792.87119999999</v>
      </c>
      <c r="J57" s="2">
        <f>I57*25</f>
        <v>9094821.7799999993</v>
      </c>
      <c r="L57" s="2"/>
    </row>
    <row r="58" spans="2:12" ht="21.45" customHeight="1" thickBot="1" x14ac:dyDescent="0.55000000000000004">
      <c r="B58" s="11" t="s">
        <v>36</v>
      </c>
      <c r="C58" s="17">
        <v>209209.02574117319</v>
      </c>
      <c r="D58" s="4">
        <f>C58*25</f>
        <v>5230225.6435293294</v>
      </c>
      <c r="F58" s="2"/>
      <c r="H58" s="11" t="s">
        <v>36</v>
      </c>
      <c r="I58" s="14">
        <v>193796.51773999998</v>
      </c>
      <c r="J58" s="4">
        <f>I58*25</f>
        <v>4844912.9434999991</v>
      </c>
      <c r="L58" s="2"/>
    </row>
    <row r="59" spans="2:12" ht="14.7" thickBot="1" x14ac:dyDescent="0.55000000000000004">
      <c r="B59" s="1"/>
      <c r="F59" s="2"/>
      <c r="H59" s="1"/>
      <c r="L59" s="2"/>
    </row>
    <row r="60" spans="2:12" ht="14.7" thickBot="1" x14ac:dyDescent="0.55000000000000004">
      <c r="B60" s="32" t="s">
        <v>37</v>
      </c>
      <c r="C60" s="34"/>
      <c r="F60" s="2"/>
      <c r="H60" s="32" t="s">
        <v>37</v>
      </c>
      <c r="I60" s="34"/>
      <c r="L60" s="2"/>
    </row>
    <row r="61" spans="2:12" ht="14.7" thickBot="1" x14ac:dyDescent="0.55000000000000004">
      <c r="B61" s="18" t="s">
        <v>38</v>
      </c>
      <c r="C61" s="4">
        <v>126987.98745343</v>
      </c>
      <c r="F61" s="2"/>
      <c r="H61" s="18" t="s">
        <v>38</v>
      </c>
      <c r="I61" s="4">
        <v>126987.9875</v>
      </c>
      <c r="L61" s="2"/>
    </row>
    <row r="62" spans="2:12" ht="14.7" thickBot="1" x14ac:dyDescent="0.55000000000000004">
      <c r="B62" s="1"/>
      <c r="F62" s="2"/>
      <c r="H62" s="1"/>
      <c r="L62" s="2"/>
    </row>
    <row r="63" spans="2:12" ht="14.7" thickBot="1" x14ac:dyDescent="0.55000000000000004">
      <c r="B63" s="32" t="s">
        <v>57</v>
      </c>
      <c r="C63" s="34"/>
      <c r="F63" s="2"/>
      <c r="H63" s="32" t="s">
        <v>57</v>
      </c>
      <c r="I63" s="34"/>
      <c r="L63" s="2"/>
    </row>
    <row r="64" spans="2:12" ht="14.7" thickBot="1" x14ac:dyDescent="0.55000000000000004">
      <c r="B64" s="40">
        <f>E23/B68</f>
        <v>1.1079246776116298</v>
      </c>
      <c r="C64" s="41"/>
      <c r="D64" s="3"/>
      <c r="E64" s="3"/>
      <c r="F64" s="4"/>
      <c r="H64" s="40">
        <f>K23/B68</f>
        <v>0.53403197952589754</v>
      </c>
      <c r="I64" s="41"/>
      <c r="J64" s="3"/>
      <c r="K64" s="3"/>
      <c r="L64" s="4"/>
    </row>
    <row r="65" spans="2:12" ht="14.7" thickBot="1" x14ac:dyDescent="0.55000000000000004">
      <c r="B65" s="26"/>
      <c r="C65" s="27"/>
      <c r="H65" s="27"/>
      <c r="I65" s="27"/>
      <c r="L65" s="2"/>
    </row>
    <row r="66" spans="2:12" ht="14.7" thickBot="1" x14ac:dyDescent="0.55000000000000004">
      <c r="B66" s="32" t="s">
        <v>58</v>
      </c>
      <c r="C66" s="34"/>
      <c r="H66" s="27"/>
      <c r="I66" s="27"/>
      <c r="L66" s="2"/>
    </row>
    <row r="67" spans="2:12" ht="14.7" thickBot="1" x14ac:dyDescent="0.55000000000000004">
      <c r="B67" s="28" t="s">
        <v>59</v>
      </c>
      <c r="C67" s="25" t="s">
        <v>39</v>
      </c>
      <c r="H67" s="27"/>
      <c r="I67" s="27"/>
      <c r="L67" s="2"/>
    </row>
    <row r="68" spans="2:12" ht="14.7" thickBot="1" x14ac:dyDescent="0.55000000000000004">
      <c r="B68" s="18">
        <f>C107</f>
        <v>1668815.9852827182</v>
      </c>
      <c r="C68" s="4">
        <f>D107</f>
        <v>41720399.632067956</v>
      </c>
      <c r="D68" s="3"/>
      <c r="E68" s="3"/>
      <c r="F68" s="3"/>
      <c r="G68" s="3"/>
      <c r="H68" s="3"/>
      <c r="I68" s="3"/>
      <c r="J68" s="3"/>
      <c r="K68" s="3"/>
      <c r="L68" s="4"/>
    </row>
    <row r="70" spans="2:12" ht="14.7" thickBot="1" x14ac:dyDescent="0.55000000000000004"/>
    <row r="71" spans="2:12" ht="14.7" thickBot="1" x14ac:dyDescent="0.55000000000000004">
      <c r="B71" s="37" t="s">
        <v>40</v>
      </c>
      <c r="C71" s="38"/>
      <c r="D71" s="38"/>
      <c r="E71" s="38"/>
      <c r="F71" s="39"/>
    </row>
    <row r="72" spans="2:12" ht="14.7" thickBot="1" x14ac:dyDescent="0.55000000000000004">
      <c r="B72" s="32" t="s">
        <v>41</v>
      </c>
      <c r="C72" s="33"/>
      <c r="D72" s="33"/>
      <c r="E72" s="33"/>
      <c r="F72" s="34"/>
    </row>
    <row r="73" spans="2:12" ht="14.7" thickBot="1" x14ac:dyDescent="0.55000000000000004">
      <c r="B73" s="24" t="s">
        <v>42</v>
      </c>
      <c r="C73" s="21" t="s">
        <v>4</v>
      </c>
      <c r="D73" s="19" t="s">
        <v>5</v>
      </c>
      <c r="E73" s="19" t="s">
        <v>6</v>
      </c>
      <c r="F73" s="20" t="s">
        <v>7</v>
      </c>
    </row>
    <row r="74" spans="2:12" x14ac:dyDescent="0.5">
      <c r="B74" s="10" t="s">
        <v>9</v>
      </c>
      <c r="C74" s="13">
        <v>12771.442313861329</v>
      </c>
      <c r="D74" s="13">
        <v>29800</v>
      </c>
      <c r="E74" s="13">
        <f>C74+D74</f>
        <v>42571.442313861327</v>
      </c>
      <c r="F74" s="2">
        <f>E74*25</f>
        <v>1064286.0578465331</v>
      </c>
    </row>
    <row r="75" spans="2:12" x14ac:dyDescent="0.5">
      <c r="B75" s="10" t="s">
        <v>10</v>
      </c>
      <c r="C75" s="13">
        <v>0</v>
      </c>
      <c r="D75" s="13">
        <v>0</v>
      </c>
      <c r="E75" s="13">
        <f t="shared" ref="E75:E77" si="2">C75+D75</f>
        <v>0</v>
      </c>
      <c r="F75" s="2">
        <f t="shared" ref="F75:F77" si="3">E75*25</f>
        <v>0</v>
      </c>
    </row>
    <row r="76" spans="2:12" x14ac:dyDescent="0.5">
      <c r="B76" s="10" t="s">
        <v>14</v>
      </c>
      <c r="C76" s="13">
        <v>0</v>
      </c>
      <c r="D76" s="13">
        <v>0</v>
      </c>
      <c r="E76" s="13">
        <f t="shared" si="2"/>
        <v>0</v>
      </c>
      <c r="F76" s="2">
        <f t="shared" si="3"/>
        <v>0</v>
      </c>
    </row>
    <row r="77" spans="2:12" x14ac:dyDescent="0.5">
      <c r="B77" s="10" t="s">
        <v>43</v>
      </c>
      <c r="C77" s="13">
        <v>0</v>
      </c>
      <c r="D77" s="13">
        <v>0</v>
      </c>
      <c r="E77" s="13">
        <f t="shared" si="2"/>
        <v>0</v>
      </c>
      <c r="F77" s="2">
        <f t="shared" si="3"/>
        <v>0</v>
      </c>
    </row>
    <row r="78" spans="2:12" ht="14.7" thickBot="1" x14ac:dyDescent="0.55000000000000004">
      <c r="B78" s="10" t="s">
        <v>44</v>
      </c>
      <c r="C78" s="13"/>
      <c r="D78" s="13">
        <f>C99*2.0865</f>
        <v>404671.18421052559</v>
      </c>
      <c r="E78" s="13">
        <f>D78</f>
        <v>404671.18421052559</v>
      </c>
      <c r="F78" s="2">
        <f>E78*25</f>
        <v>10116779.60526314</v>
      </c>
    </row>
    <row r="79" spans="2:12" ht="14.7" thickBot="1" x14ac:dyDescent="0.55000000000000004">
      <c r="B79" s="24" t="s">
        <v>45</v>
      </c>
      <c r="C79" s="21" t="s">
        <v>4</v>
      </c>
      <c r="D79" s="19" t="s">
        <v>5</v>
      </c>
      <c r="E79" s="19" t="s">
        <v>6</v>
      </c>
      <c r="F79" s="20" t="s">
        <v>7</v>
      </c>
    </row>
    <row r="80" spans="2:12" x14ac:dyDescent="0.5">
      <c r="B80" s="10" t="s">
        <v>18</v>
      </c>
      <c r="C80" s="13">
        <v>14896.619050498441</v>
      </c>
      <c r="D80" s="13">
        <v>18564.48</v>
      </c>
      <c r="E80" s="13">
        <f>C80+D80</f>
        <v>33461.099050498437</v>
      </c>
      <c r="F80" s="2">
        <f>E80*25</f>
        <v>836527.47626246093</v>
      </c>
    </row>
    <row r="81" spans="2:6" ht="14.7" thickBot="1" x14ac:dyDescent="0.55000000000000004">
      <c r="B81" s="11" t="s">
        <v>46</v>
      </c>
      <c r="C81" s="14"/>
      <c r="D81" s="14">
        <f>D100*2.0865</f>
        <v>22358360.791047174</v>
      </c>
      <c r="E81" s="14">
        <f>D81</f>
        <v>22358360.791047174</v>
      </c>
      <c r="F81" s="4">
        <f>E81*25</f>
        <v>558959019.77617931</v>
      </c>
    </row>
    <row r="82" spans="2:6" ht="14.7" thickBot="1" x14ac:dyDescent="0.55000000000000004">
      <c r="B82" s="35" t="s">
        <v>22</v>
      </c>
      <c r="C82" s="21" t="s">
        <v>4</v>
      </c>
      <c r="D82" s="19" t="s">
        <v>5</v>
      </c>
      <c r="E82" s="19" t="s">
        <v>6</v>
      </c>
      <c r="F82" s="20" t="s">
        <v>7</v>
      </c>
    </row>
    <row r="83" spans="2:6" ht="14.7" thickBot="1" x14ac:dyDescent="0.55000000000000004">
      <c r="B83" s="36"/>
      <c r="C83" s="17">
        <v>27668.061364359772</v>
      </c>
      <c r="D83" s="14">
        <v>1347370.095852413</v>
      </c>
      <c r="E83" s="14">
        <v>1375038.157216772</v>
      </c>
      <c r="F83" s="4">
        <f>E83*25</f>
        <v>34375953.930419296</v>
      </c>
    </row>
    <row r="84" spans="2:6" ht="14.7" thickBot="1" x14ac:dyDescent="0.55000000000000004">
      <c r="B84" s="1"/>
      <c r="F84" s="2"/>
    </row>
    <row r="85" spans="2:6" ht="14.7" thickBot="1" x14ac:dyDescent="0.55000000000000004">
      <c r="B85" s="32" t="s">
        <v>42</v>
      </c>
      <c r="C85" s="33"/>
      <c r="D85" s="34"/>
      <c r="F85" s="2"/>
    </row>
    <row r="86" spans="2:6" ht="14.7" thickBot="1" x14ac:dyDescent="0.55000000000000004">
      <c r="B86" s="18" t="s">
        <v>23</v>
      </c>
      <c r="C86" s="19" t="s">
        <v>24</v>
      </c>
      <c r="D86" s="20" t="s">
        <v>25</v>
      </c>
      <c r="F86" s="2"/>
    </row>
    <row r="87" spans="2:6" x14ac:dyDescent="0.5">
      <c r="B87" s="10" t="s">
        <v>9</v>
      </c>
      <c r="C87" s="13">
        <v>2</v>
      </c>
      <c r="D87" s="2">
        <v>200</v>
      </c>
      <c r="F87" s="2"/>
    </row>
    <row r="88" spans="2:6" x14ac:dyDescent="0.5">
      <c r="B88" s="10" t="s">
        <v>10</v>
      </c>
      <c r="C88" s="13">
        <v>0</v>
      </c>
      <c r="D88" s="2">
        <v>0</v>
      </c>
      <c r="F88" s="2"/>
    </row>
    <row r="89" spans="2:6" x14ac:dyDescent="0.5">
      <c r="B89" s="10" t="s">
        <v>14</v>
      </c>
      <c r="C89" s="13">
        <v>0</v>
      </c>
      <c r="D89" s="2">
        <v>0</v>
      </c>
      <c r="F89" s="2"/>
    </row>
    <row r="90" spans="2:6" x14ac:dyDescent="0.5">
      <c r="B90" s="10" t="s">
        <v>43</v>
      </c>
      <c r="C90" s="13">
        <v>0</v>
      </c>
      <c r="D90" s="2">
        <v>0</v>
      </c>
      <c r="F90" s="2"/>
    </row>
    <row r="91" spans="2:6" ht="14.7" thickBot="1" x14ac:dyDescent="0.55000000000000004">
      <c r="B91" s="11" t="s">
        <v>26</v>
      </c>
      <c r="C91" s="14">
        <v>2</v>
      </c>
      <c r="D91" s="4">
        <v>200</v>
      </c>
      <c r="F91" s="2"/>
    </row>
    <row r="92" spans="2:6" ht="14.7" thickBot="1" x14ac:dyDescent="0.55000000000000004">
      <c r="B92" s="1"/>
      <c r="F92" s="2"/>
    </row>
    <row r="93" spans="2:6" ht="14.7" thickBot="1" x14ac:dyDescent="0.55000000000000004">
      <c r="B93" s="32" t="s">
        <v>47</v>
      </c>
      <c r="C93" s="33"/>
      <c r="D93" s="34"/>
      <c r="F93" s="2"/>
    </row>
    <row r="94" spans="2:6" ht="14.7" thickBot="1" x14ac:dyDescent="0.55000000000000004">
      <c r="B94" s="18" t="s">
        <v>23</v>
      </c>
      <c r="C94" s="19" t="s">
        <v>24</v>
      </c>
      <c r="D94" s="20" t="s">
        <v>25</v>
      </c>
      <c r="F94" s="2"/>
    </row>
    <row r="95" spans="2:6" ht="14.7" thickBot="1" x14ac:dyDescent="0.55000000000000004">
      <c r="B95" s="11" t="s">
        <v>18</v>
      </c>
      <c r="C95" s="14">
        <v>66</v>
      </c>
      <c r="D95" s="4">
        <v>1160.28</v>
      </c>
      <c r="F95" s="2"/>
    </row>
    <row r="96" spans="2:6" ht="14.7" thickBot="1" x14ac:dyDescent="0.55000000000000004">
      <c r="B96" s="1"/>
      <c r="F96" s="2"/>
    </row>
    <row r="97" spans="2:6" ht="14.7" thickBot="1" x14ac:dyDescent="0.55000000000000004">
      <c r="B97" s="32" t="s">
        <v>48</v>
      </c>
      <c r="C97" s="33"/>
      <c r="D97" s="34"/>
      <c r="F97" s="2"/>
    </row>
    <row r="98" spans="2:6" x14ac:dyDescent="0.5">
      <c r="B98" s="10" t="s">
        <v>49</v>
      </c>
      <c r="C98" s="13" t="s">
        <v>50</v>
      </c>
      <c r="D98" s="2" t="s">
        <v>51</v>
      </c>
      <c r="F98" s="2"/>
    </row>
    <row r="99" spans="2:6" x14ac:dyDescent="0.5">
      <c r="B99" s="10" t="s">
        <v>52</v>
      </c>
      <c r="C99" s="13">
        <v>193947.36842105229</v>
      </c>
      <c r="D99" s="2">
        <f>C99*25</f>
        <v>4848684.2105263071</v>
      </c>
      <c r="F99" s="2"/>
    </row>
    <row r="100" spans="2:6" x14ac:dyDescent="0.5">
      <c r="B100" s="10" t="s">
        <v>53</v>
      </c>
      <c r="C100" s="13">
        <v>428629.01109124703</v>
      </c>
      <c r="D100" s="2">
        <f>C100*25</f>
        <v>10715725.277281176</v>
      </c>
      <c r="F100" s="2"/>
    </row>
    <row r="101" spans="2:6" ht="14.7" thickBot="1" x14ac:dyDescent="0.55000000000000004">
      <c r="B101" s="11" t="s">
        <v>26</v>
      </c>
      <c r="C101" s="14">
        <f>C99+C100</f>
        <v>622576.37951229932</v>
      </c>
      <c r="D101" s="4">
        <f>D99+D100</f>
        <v>15564409.487807482</v>
      </c>
      <c r="F101" s="2"/>
    </row>
    <row r="102" spans="2:6" ht="14.7" thickBot="1" x14ac:dyDescent="0.55000000000000004">
      <c r="B102" s="1"/>
      <c r="F102" s="2"/>
    </row>
    <row r="103" spans="2:6" ht="14.7" thickBot="1" x14ac:dyDescent="0.55000000000000004">
      <c r="B103" s="32" t="s">
        <v>54</v>
      </c>
      <c r="C103" s="33"/>
      <c r="D103" s="34"/>
      <c r="F103" s="2"/>
    </row>
    <row r="104" spans="2:6" ht="14.7" thickBot="1" x14ac:dyDescent="0.55000000000000004">
      <c r="B104" s="22"/>
      <c r="C104" s="23" t="s">
        <v>55</v>
      </c>
      <c r="D104" s="20" t="s">
        <v>56</v>
      </c>
      <c r="F104" s="2"/>
    </row>
    <row r="105" spans="2:6" x14ac:dyDescent="0.5">
      <c r="B105" s="10" t="s">
        <v>52</v>
      </c>
      <c r="C105" s="13">
        <f t="shared" ref="C105:D107" si="4">2.6805*C99</f>
        <v>519875.92105263064</v>
      </c>
      <c r="D105" s="29">
        <f t="shared" si="4"/>
        <v>12996898.026315765</v>
      </c>
      <c r="F105" s="2"/>
    </row>
    <row r="106" spans="2:6" x14ac:dyDescent="0.5">
      <c r="B106" s="10" t="s">
        <v>53</v>
      </c>
      <c r="C106" s="13">
        <f t="shared" si="4"/>
        <v>1148940.0642300877</v>
      </c>
      <c r="D106" s="29">
        <f t="shared" si="4"/>
        <v>28723501.605752192</v>
      </c>
      <c r="F106" s="2"/>
    </row>
    <row r="107" spans="2:6" ht="14.7" thickBot="1" x14ac:dyDescent="0.55000000000000004">
      <c r="B107" s="11" t="s">
        <v>26</v>
      </c>
      <c r="C107" s="14">
        <f t="shared" si="4"/>
        <v>1668815.9852827182</v>
      </c>
      <c r="D107" s="30">
        <f t="shared" si="4"/>
        <v>41720399.632067956</v>
      </c>
      <c r="E107" s="3"/>
      <c r="F107" s="4"/>
    </row>
  </sheetData>
  <mergeCells count="33">
    <mergeCell ref="B5:L5"/>
    <mergeCell ref="H6:L6"/>
    <mergeCell ref="B6:F6"/>
    <mergeCell ref="B22:B23"/>
    <mergeCell ref="H22:H23"/>
    <mergeCell ref="B25:D25"/>
    <mergeCell ref="B33:C33"/>
    <mergeCell ref="B36:D36"/>
    <mergeCell ref="B43:D43"/>
    <mergeCell ref="H25:J25"/>
    <mergeCell ref="H33:I33"/>
    <mergeCell ref="H36:J36"/>
    <mergeCell ref="H43:J43"/>
    <mergeCell ref="H63:I63"/>
    <mergeCell ref="H50:J50"/>
    <mergeCell ref="B64:C64"/>
    <mergeCell ref="H64:I64"/>
    <mergeCell ref="H47:I47"/>
    <mergeCell ref="B47:C47"/>
    <mergeCell ref="B50:D50"/>
    <mergeCell ref="B55:D55"/>
    <mergeCell ref="H55:J55"/>
    <mergeCell ref="H60:I60"/>
    <mergeCell ref="B103:D103"/>
    <mergeCell ref="B82:B83"/>
    <mergeCell ref="B60:C60"/>
    <mergeCell ref="B63:C63"/>
    <mergeCell ref="B71:F71"/>
    <mergeCell ref="B72:F72"/>
    <mergeCell ref="B85:D85"/>
    <mergeCell ref="B93:D93"/>
    <mergeCell ref="B97:D97"/>
    <mergeCell ref="B66:C66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Arctic Bay</vt:lpstr>
      <vt:lpstr>Aupaluk</vt:lpstr>
      <vt:lpstr>Beaver Creek</vt:lpstr>
      <vt:lpstr>Brochet</vt:lpstr>
      <vt:lpstr>Fort Chipewyan</vt:lpstr>
      <vt:lpstr>Fort Good Hope</vt:lpstr>
      <vt:lpstr>Fort McPherson</vt:lpstr>
      <vt:lpstr>Fort Simpson</vt:lpstr>
      <vt:lpstr>Francois</vt:lpstr>
      <vt:lpstr>Inukjuak</vt:lpstr>
      <vt:lpstr>Iqaluit</vt:lpstr>
      <vt:lpstr>Kangiqsualujjuaq</vt:lpstr>
      <vt:lpstr>Kangiqsujuaq</vt:lpstr>
      <vt:lpstr>Keewaywin</vt:lpstr>
      <vt:lpstr>Kingfisher Lake</vt:lpstr>
      <vt:lpstr>Kuujjuaq</vt:lpstr>
      <vt:lpstr>Kwadacha</vt:lpstr>
      <vt:lpstr>Makkovik</vt:lpstr>
      <vt:lpstr>Natuashish</vt:lpstr>
      <vt:lpstr>Naujaat</vt:lpstr>
      <vt:lpstr>Old Crow</vt:lpstr>
      <vt:lpstr>Old Masset</vt:lpstr>
      <vt:lpstr>Peawanuck</vt:lpstr>
      <vt:lpstr>Pond Inlet</vt:lpstr>
      <vt:lpstr>Port Clements</vt:lpstr>
      <vt:lpstr>Port Hope Simpson</vt:lpstr>
      <vt:lpstr>Ramea</vt:lpstr>
      <vt:lpstr>Rankin Inlet</vt:lpstr>
      <vt:lpstr>Resolute Bay</vt:lpstr>
      <vt:lpstr>Shamattawa</vt:lpstr>
      <vt:lpstr>Tadoule Lake</vt:lpstr>
      <vt:lpstr>Tsiigehtchic</vt:lpstr>
      <vt:lpstr>Umiujaq</vt:lpstr>
      <vt:lpstr>Watson Lake</vt:lpstr>
      <vt:lpstr>Weagamow Lake</vt:lpstr>
      <vt:lpstr>Whati</vt:lpstr>
      <vt:lpstr>Wrigley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David MacKay</cp:lastModifiedBy>
  <dcterms:created xsi:type="dcterms:W3CDTF">2025-01-17T16:01:50Z</dcterms:created>
  <dcterms:modified xsi:type="dcterms:W3CDTF">2025-01-22T13:29:08Z</dcterms:modified>
</cp:coreProperties>
</file>