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cmailcarletonca-my.sharepoint.com/personal/davidmackay_cmail_carleton_ca/Documents/Research (2024-2025)/Updating Manuscript/SI/"/>
    </mc:Choice>
  </mc:AlternateContent>
  <xr:revisionPtr revIDLastSave="0" documentId="8_{039D17B7-2C8D-480D-9D76-EA03D2C43CBD}" xr6:coauthVersionLast="47" xr6:coauthVersionMax="47" xr10:uidLastSave="{00000000-0000-0000-0000-000000000000}"/>
  <bookViews>
    <workbookView xWindow="-93" yWindow="-93" windowWidth="25786" windowHeight="15466" xr2:uid="{00000000-000D-0000-FFFF-FFFF00000000}"/>
  </bookViews>
  <sheets>
    <sheet name="Arctic Bay" sheetId="1" r:id="rId1"/>
    <sheet name="Aupaluk" sheetId="2" r:id="rId2"/>
    <sheet name="Beaver Creek" sheetId="3" r:id="rId3"/>
    <sheet name="Brochet" sheetId="4" r:id="rId4"/>
    <sheet name="Fort Chipewyan" sheetId="5" r:id="rId5"/>
    <sheet name="Fort Good Hope" sheetId="6" r:id="rId6"/>
    <sheet name="Fort McPherson" sheetId="7" r:id="rId7"/>
    <sheet name="Fort Simpson" sheetId="8" r:id="rId8"/>
    <sheet name="Francois" sheetId="9" r:id="rId9"/>
    <sheet name="Inukjuak" sheetId="10" r:id="rId10"/>
    <sheet name="Iqaluit" sheetId="11" r:id="rId11"/>
    <sheet name="Kangiqsualujjuaq" sheetId="12" r:id="rId12"/>
    <sheet name="Kangiqsujuaq" sheetId="13" r:id="rId13"/>
    <sheet name="Keewaywin" sheetId="14" r:id="rId14"/>
    <sheet name="Kingfisher Lake" sheetId="15" r:id="rId15"/>
    <sheet name="Kuujjuaq" sheetId="16" r:id="rId16"/>
    <sheet name="Kwadacha" sheetId="17" r:id="rId17"/>
    <sheet name="Makkovik" sheetId="18" r:id="rId18"/>
    <sheet name="Natuashish" sheetId="19" r:id="rId19"/>
    <sheet name="Naujaat" sheetId="20" r:id="rId20"/>
    <sheet name="Old Crow" sheetId="21" r:id="rId21"/>
    <sheet name="Old Masset" sheetId="22" r:id="rId22"/>
    <sheet name="Peawanuck" sheetId="23" r:id="rId23"/>
    <sheet name="Pond Inlet" sheetId="24" r:id="rId24"/>
    <sheet name="Port Clements" sheetId="25" r:id="rId25"/>
    <sheet name="Port Hope Simpson" sheetId="26" r:id="rId26"/>
    <sheet name="Ramea" sheetId="27" r:id="rId27"/>
    <sheet name="Rankin Inlet" sheetId="28" r:id="rId28"/>
    <sheet name="Resolute Bay" sheetId="29" r:id="rId29"/>
    <sheet name="Shamattawa" sheetId="30" r:id="rId30"/>
    <sheet name="Tadoule Lake" sheetId="31" r:id="rId31"/>
    <sheet name="Tsiigehtchic" sheetId="32" r:id="rId32"/>
    <sheet name="Umiujaq" sheetId="33" r:id="rId33"/>
    <sheet name="Watson Lake" sheetId="34" r:id="rId34"/>
    <sheet name="Weagamow Lake" sheetId="35" r:id="rId35"/>
    <sheet name="Whati" sheetId="36" r:id="rId36"/>
    <sheet name="Wrigley" sheetId="37" r:id="rId3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2" i="1" l="1"/>
  <c r="J52" i="2"/>
  <c r="J52" i="3"/>
  <c r="J52" i="4"/>
  <c r="J52" i="5"/>
  <c r="J52" i="7"/>
  <c r="J52" i="8"/>
  <c r="J52" i="9"/>
  <c r="J52" i="10"/>
  <c r="J52" i="11"/>
  <c r="J52" i="12"/>
  <c r="J52" i="13"/>
  <c r="J52" i="14"/>
  <c r="J52" i="15"/>
  <c r="J52" i="16"/>
  <c r="J52" i="17"/>
  <c r="J52" i="18"/>
  <c r="J52" i="19"/>
  <c r="J52" i="20"/>
  <c r="J52" i="21"/>
  <c r="J52" i="22"/>
  <c r="J52" i="23"/>
  <c r="J52" i="24"/>
  <c r="J52" i="25"/>
  <c r="J52" i="26"/>
  <c r="J52" i="27"/>
  <c r="J52" i="28"/>
  <c r="J52" i="29"/>
  <c r="J52" i="30"/>
  <c r="J52" i="31"/>
  <c r="J52" i="32"/>
  <c r="J52" i="33"/>
  <c r="J52" i="34"/>
  <c r="J52" i="35"/>
  <c r="J52" i="36"/>
  <c r="J52" i="37"/>
  <c r="J52" i="6"/>
  <c r="C107" i="37" l="1"/>
  <c r="D107" i="37" s="1"/>
  <c r="C106" i="37"/>
  <c r="D106" i="37" s="1"/>
  <c r="C102" i="37"/>
  <c r="D102" i="37" s="1"/>
  <c r="D101" i="37"/>
  <c r="D100" i="37"/>
  <c r="F84" i="37"/>
  <c r="E82" i="37"/>
  <c r="F82" i="37" s="1"/>
  <c r="E81" i="37"/>
  <c r="F81" i="37" s="1"/>
  <c r="E79" i="37"/>
  <c r="F79" i="37" s="1"/>
  <c r="E78" i="37"/>
  <c r="F78" i="37" s="1"/>
  <c r="E77" i="37"/>
  <c r="F77" i="37" s="1"/>
  <c r="E76" i="37"/>
  <c r="F76" i="37" s="1"/>
  <c r="E75" i="37"/>
  <c r="F75" i="37" s="1"/>
  <c r="J57" i="37"/>
  <c r="D58" i="37"/>
  <c r="J56" i="37"/>
  <c r="D57" i="37"/>
  <c r="J53" i="37"/>
  <c r="D53" i="37"/>
  <c r="J51" i="37"/>
  <c r="D52" i="37"/>
  <c r="L23" i="37"/>
  <c r="F23" i="37"/>
  <c r="K21" i="37"/>
  <c r="L21" i="37" s="1"/>
  <c r="E21" i="37"/>
  <c r="F21" i="37" s="1"/>
  <c r="I19" i="37"/>
  <c r="K19" i="37" s="1"/>
  <c r="L19" i="37" s="1"/>
  <c r="C19" i="37"/>
  <c r="E19" i="37" s="1"/>
  <c r="F19" i="37" s="1"/>
  <c r="K17" i="37"/>
  <c r="L17" i="37" s="1"/>
  <c r="E17" i="37"/>
  <c r="F17" i="37" s="1"/>
  <c r="J15" i="37"/>
  <c r="I15" i="37"/>
  <c r="K15" i="37" s="1"/>
  <c r="L15" i="37" s="1"/>
  <c r="D15" i="37"/>
  <c r="C15" i="37"/>
  <c r="E15" i="37" s="1"/>
  <c r="F15" i="37" s="1"/>
  <c r="J14" i="37"/>
  <c r="I14" i="37"/>
  <c r="K14" i="37" s="1"/>
  <c r="L14" i="37" s="1"/>
  <c r="D14" i="37"/>
  <c r="C14" i="37"/>
  <c r="J13" i="37"/>
  <c r="I13" i="37"/>
  <c r="D13" i="37"/>
  <c r="C13" i="37"/>
  <c r="J11" i="37"/>
  <c r="I11" i="37"/>
  <c r="K11" i="37" s="1"/>
  <c r="L11" i="37" s="1"/>
  <c r="D11" i="37"/>
  <c r="C11" i="37"/>
  <c r="E11" i="37" s="1"/>
  <c r="F11" i="37" s="1"/>
  <c r="J10" i="37"/>
  <c r="I10" i="37"/>
  <c r="D10" i="37"/>
  <c r="C10" i="37"/>
  <c r="E10" i="37" s="1"/>
  <c r="F10" i="37" s="1"/>
  <c r="J9" i="37"/>
  <c r="I9" i="37"/>
  <c r="K9" i="37" s="1"/>
  <c r="L9" i="37" s="1"/>
  <c r="D9" i="37"/>
  <c r="C9" i="37"/>
  <c r="J8" i="37"/>
  <c r="I8" i="37"/>
  <c r="D8" i="37"/>
  <c r="C8" i="37"/>
  <c r="C107" i="36"/>
  <c r="D107" i="36" s="1"/>
  <c r="C106" i="36"/>
  <c r="D106" i="36" s="1"/>
  <c r="C102" i="36"/>
  <c r="D102" i="36" s="1"/>
  <c r="D101" i="36"/>
  <c r="D100" i="36"/>
  <c r="F84" i="36"/>
  <c r="E82" i="36"/>
  <c r="F82" i="36" s="1"/>
  <c r="E81" i="36"/>
  <c r="F81" i="36" s="1"/>
  <c r="E79" i="36"/>
  <c r="F79" i="36" s="1"/>
  <c r="E78" i="36"/>
  <c r="F78" i="36" s="1"/>
  <c r="E77" i="36"/>
  <c r="F77" i="36" s="1"/>
  <c r="E76" i="36"/>
  <c r="F76" i="36" s="1"/>
  <c r="E75" i="36"/>
  <c r="F75" i="36" s="1"/>
  <c r="J57" i="36"/>
  <c r="D58" i="36"/>
  <c r="J56" i="36"/>
  <c r="D57" i="36"/>
  <c r="J53" i="36"/>
  <c r="D53" i="36"/>
  <c r="J51" i="36"/>
  <c r="D52" i="36"/>
  <c r="L23" i="36"/>
  <c r="F23" i="36"/>
  <c r="K21" i="36"/>
  <c r="L21" i="36" s="1"/>
  <c r="E21" i="36"/>
  <c r="F21" i="36" s="1"/>
  <c r="I19" i="36"/>
  <c r="K19" i="36" s="1"/>
  <c r="L19" i="36" s="1"/>
  <c r="C19" i="36"/>
  <c r="E19" i="36" s="1"/>
  <c r="F19" i="36" s="1"/>
  <c r="K17" i="36"/>
  <c r="L17" i="36" s="1"/>
  <c r="E17" i="36"/>
  <c r="F17" i="36" s="1"/>
  <c r="J15" i="36"/>
  <c r="I15" i="36"/>
  <c r="D15" i="36"/>
  <c r="C15" i="36"/>
  <c r="J14" i="36"/>
  <c r="I14" i="36"/>
  <c r="D14" i="36"/>
  <c r="C14" i="36"/>
  <c r="J13" i="36"/>
  <c r="I13" i="36"/>
  <c r="K13" i="36" s="1"/>
  <c r="L13" i="36" s="1"/>
  <c r="D13" i="36"/>
  <c r="C13" i="36"/>
  <c r="J11" i="36"/>
  <c r="I11" i="36"/>
  <c r="D11" i="36"/>
  <c r="C11" i="36"/>
  <c r="E11" i="36" s="1"/>
  <c r="F11" i="36" s="1"/>
  <c r="J10" i="36"/>
  <c r="I10" i="36"/>
  <c r="D10" i="36"/>
  <c r="C10" i="36"/>
  <c r="J9" i="36"/>
  <c r="I9" i="36"/>
  <c r="K9" i="36" s="1"/>
  <c r="L9" i="36" s="1"/>
  <c r="D9" i="36"/>
  <c r="C9" i="36"/>
  <c r="J8" i="36"/>
  <c r="I8" i="36"/>
  <c r="K8" i="36" s="1"/>
  <c r="L8" i="36" s="1"/>
  <c r="D8" i="36"/>
  <c r="C8" i="36"/>
  <c r="C107" i="35"/>
  <c r="D107" i="35" s="1"/>
  <c r="C106" i="35"/>
  <c r="D106" i="35" s="1"/>
  <c r="C102" i="35"/>
  <c r="C108" i="35" s="1"/>
  <c r="D101" i="35"/>
  <c r="D100" i="35"/>
  <c r="F84" i="35"/>
  <c r="E82" i="35"/>
  <c r="F82" i="35" s="1"/>
  <c r="E81" i="35"/>
  <c r="F81" i="35" s="1"/>
  <c r="E79" i="35"/>
  <c r="F79" i="35" s="1"/>
  <c r="E78" i="35"/>
  <c r="F78" i="35" s="1"/>
  <c r="E77" i="35"/>
  <c r="F77" i="35" s="1"/>
  <c r="E76" i="35"/>
  <c r="F76" i="35" s="1"/>
  <c r="E75" i="35"/>
  <c r="F75" i="35" s="1"/>
  <c r="J58" i="35"/>
  <c r="J57" i="35"/>
  <c r="D58" i="35"/>
  <c r="D57" i="35"/>
  <c r="J53" i="35"/>
  <c r="D53" i="35"/>
  <c r="D52" i="35"/>
  <c r="L23" i="35"/>
  <c r="F23" i="35"/>
  <c r="K21" i="35"/>
  <c r="L21" i="35" s="1"/>
  <c r="E21" i="35"/>
  <c r="F21" i="35" s="1"/>
  <c r="I19" i="35"/>
  <c r="K19" i="35" s="1"/>
  <c r="L19" i="35" s="1"/>
  <c r="C19" i="35"/>
  <c r="E19" i="35" s="1"/>
  <c r="F19" i="35" s="1"/>
  <c r="K17" i="35"/>
  <c r="L17" i="35" s="1"/>
  <c r="E17" i="35"/>
  <c r="F17" i="35" s="1"/>
  <c r="J15" i="35"/>
  <c r="I15" i="35"/>
  <c r="K15" i="35" s="1"/>
  <c r="L15" i="35" s="1"/>
  <c r="D15" i="35"/>
  <c r="C15" i="35"/>
  <c r="E15" i="35" s="1"/>
  <c r="F15" i="35" s="1"/>
  <c r="J14" i="35"/>
  <c r="I14" i="35"/>
  <c r="D14" i="35"/>
  <c r="C14" i="35"/>
  <c r="J13" i="35"/>
  <c r="I13" i="35"/>
  <c r="D13" i="35"/>
  <c r="C13" i="35"/>
  <c r="E13" i="35" s="1"/>
  <c r="F13" i="35" s="1"/>
  <c r="J11" i="35"/>
  <c r="I11" i="35"/>
  <c r="K11" i="35" s="1"/>
  <c r="L11" i="35" s="1"/>
  <c r="D11" i="35"/>
  <c r="C11" i="35"/>
  <c r="J10" i="35"/>
  <c r="I10" i="35"/>
  <c r="K10" i="35" s="1"/>
  <c r="L10" i="35" s="1"/>
  <c r="D10" i="35"/>
  <c r="C10" i="35"/>
  <c r="E10" i="35" s="1"/>
  <c r="F10" i="35" s="1"/>
  <c r="J9" i="35"/>
  <c r="I9" i="35"/>
  <c r="D9" i="35"/>
  <c r="C9" i="35"/>
  <c r="J8" i="35"/>
  <c r="I8" i="35"/>
  <c r="D8" i="35"/>
  <c r="C8" i="35"/>
  <c r="E8" i="35" s="1"/>
  <c r="F8" i="35" s="1"/>
  <c r="C107" i="34"/>
  <c r="D107" i="34" s="1"/>
  <c r="C106" i="34"/>
  <c r="D106" i="34" s="1"/>
  <c r="C102" i="34"/>
  <c r="C108" i="34" s="1"/>
  <c r="D101" i="34"/>
  <c r="D100" i="34"/>
  <c r="F84" i="34"/>
  <c r="E82" i="34"/>
  <c r="F82" i="34" s="1"/>
  <c r="E81" i="34"/>
  <c r="F81" i="34" s="1"/>
  <c r="E79" i="34"/>
  <c r="F79" i="34" s="1"/>
  <c r="E78" i="34"/>
  <c r="F78" i="34" s="1"/>
  <c r="E77" i="34"/>
  <c r="F77" i="34" s="1"/>
  <c r="E76" i="34"/>
  <c r="F76" i="34" s="1"/>
  <c r="E75" i="34"/>
  <c r="F75" i="34" s="1"/>
  <c r="J58" i="34"/>
  <c r="J57" i="34"/>
  <c r="D58" i="34"/>
  <c r="D57" i="34"/>
  <c r="J53" i="34"/>
  <c r="D53" i="34"/>
  <c r="D52" i="34"/>
  <c r="L23" i="34"/>
  <c r="F23" i="34"/>
  <c r="K21" i="34"/>
  <c r="L21" i="34" s="1"/>
  <c r="E21" i="34"/>
  <c r="F21" i="34" s="1"/>
  <c r="I19" i="34"/>
  <c r="K19" i="34" s="1"/>
  <c r="L19" i="34" s="1"/>
  <c r="C19" i="34"/>
  <c r="E19" i="34" s="1"/>
  <c r="F19" i="34" s="1"/>
  <c r="K17" i="34"/>
  <c r="L17" i="34" s="1"/>
  <c r="E17" i="34"/>
  <c r="F17" i="34" s="1"/>
  <c r="J15" i="34"/>
  <c r="I15" i="34"/>
  <c r="D15" i="34"/>
  <c r="C15" i="34"/>
  <c r="E15" i="34" s="1"/>
  <c r="F15" i="34" s="1"/>
  <c r="J14" i="34"/>
  <c r="I14" i="34"/>
  <c r="K14" i="34" s="1"/>
  <c r="L14" i="34" s="1"/>
  <c r="D14" i="34"/>
  <c r="C14" i="34"/>
  <c r="E14" i="34" s="1"/>
  <c r="F14" i="34" s="1"/>
  <c r="J13" i="34"/>
  <c r="I13" i="34"/>
  <c r="D13" i="34"/>
  <c r="C13" i="34"/>
  <c r="E13" i="34" s="1"/>
  <c r="F13" i="34" s="1"/>
  <c r="J11" i="34"/>
  <c r="I11" i="34"/>
  <c r="K11" i="34" s="1"/>
  <c r="L11" i="34" s="1"/>
  <c r="D11" i="34"/>
  <c r="C11" i="34"/>
  <c r="E11" i="34" s="1"/>
  <c r="F11" i="34" s="1"/>
  <c r="J10" i="34"/>
  <c r="I10" i="34"/>
  <c r="D10" i="34"/>
  <c r="C10" i="34"/>
  <c r="E10" i="34" s="1"/>
  <c r="F10" i="34" s="1"/>
  <c r="J9" i="34"/>
  <c r="I9" i="34"/>
  <c r="K9" i="34" s="1"/>
  <c r="L9" i="34" s="1"/>
  <c r="D9" i="34"/>
  <c r="C9" i="34"/>
  <c r="E9" i="34" s="1"/>
  <c r="F9" i="34" s="1"/>
  <c r="J8" i="34"/>
  <c r="I8" i="34"/>
  <c r="D8" i="34"/>
  <c r="C8" i="34"/>
  <c r="E8" i="34" s="1"/>
  <c r="F8" i="34" s="1"/>
  <c r="C107" i="33"/>
  <c r="D107" i="33" s="1"/>
  <c r="C106" i="33"/>
  <c r="D106" i="33" s="1"/>
  <c r="C102" i="33"/>
  <c r="D102" i="33" s="1"/>
  <c r="D101" i="33"/>
  <c r="D100" i="33"/>
  <c r="F84" i="33"/>
  <c r="E82" i="33"/>
  <c r="F82" i="33" s="1"/>
  <c r="E81" i="33"/>
  <c r="F81" i="33" s="1"/>
  <c r="E79" i="33"/>
  <c r="F79" i="33" s="1"/>
  <c r="E78" i="33"/>
  <c r="F78" i="33" s="1"/>
  <c r="E77" i="33"/>
  <c r="F77" i="33" s="1"/>
  <c r="E76" i="33"/>
  <c r="F76" i="33" s="1"/>
  <c r="E75" i="33"/>
  <c r="F75" i="33" s="1"/>
  <c r="J58" i="33"/>
  <c r="J57" i="33"/>
  <c r="D58" i="33"/>
  <c r="D57" i="33"/>
  <c r="J53" i="33"/>
  <c r="D53" i="33"/>
  <c r="D52" i="33"/>
  <c r="L23" i="33"/>
  <c r="F23" i="33"/>
  <c r="K21" i="33"/>
  <c r="L21" i="33" s="1"/>
  <c r="E21" i="33"/>
  <c r="F21" i="33" s="1"/>
  <c r="I19" i="33"/>
  <c r="K19" i="33" s="1"/>
  <c r="L19" i="33" s="1"/>
  <c r="C19" i="33"/>
  <c r="E19" i="33" s="1"/>
  <c r="F19" i="33" s="1"/>
  <c r="K17" i="33"/>
  <c r="L17" i="33" s="1"/>
  <c r="E17" i="33"/>
  <c r="F17" i="33" s="1"/>
  <c r="J15" i="33"/>
  <c r="I15" i="33"/>
  <c r="K15" i="33" s="1"/>
  <c r="L15" i="33" s="1"/>
  <c r="D15" i="33"/>
  <c r="C15" i="33"/>
  <c r="E15" i="33" s="1"/>
  <c r="F15" i="33" s="1"/>
  <c r="J14" i="33"/>
  <c r="I14" i="33"/>
  <c r="D14" i="33"/>
  <c r="C14" i="33"/>
  <c r="J13" i="33"/>
  <c r="I13" i="33"/>
  <c r="D13" i="33"/>
  <c r="C13" i="33"/>
  <c r="J11" i="33"/>
  <c r="I11" i="33"/>
  <c r="K11" i="33" s="1"/>
  <c r="L11" i="33" s="1"/>
  <c r="D11" i="33"/>
  <c r="C11" i="33"/>
  <c r="E11" i="33" s="1"/>
  <c r="F11" i="33" s="1"/>
  <c r="J10" i="33"/>
  <c r="I10" i="33"/>
  <c r="D10" i="33"/>
  <c r="C10" i="33"/>
  <c r="J9" i="33"/>
  <c r="I9" i="33"/>
  <c r="D9" i="33"/>
  <c r="C9" i="33"/>
  <c r="J8" i="33"/>
  <c r="I8" i="33"/>
  <c r="D8" i="33"/>
  <c r="C8" i="33"/>
  <c r="C107" i="32"/>
  <c r="D107" i="32" s="1"/>
  <c r="C106" i="32"/>
  <c r="D106" i="32" s="1"/>
  <c r="C102" i="32"/>
  <c r="D101" i="32"/>
  <c r="D100" i="32"/>
  <c r="F84" i="32"/>
  <c r="E82" i="32"/>
  <c r="F82" i="32" s="1"/>
  <c r="E81" i="32"/>
  <c r="F81" i="32" s="1"/>
  <c r="E79" i="32"/>
  <c r="F79" i="32" s="1"/>
  <c r="E78" i="32"/>
  <c r="F78" i="32" s="1"/>
  <c r="E77" i="32"/>
  <c r="F77" i="32" s="1"/>
  <c r="E76" i="32"/>
  <c r="F76" i="32" s="1"/>
  <c r="E75" i="32"/>
  <c r="F75" i="32" s="1"/>
  <c r="J58" i="32"/>
  <c r="J57" i="32"/>
  <c r="D58" i="32"/>
  <c r="D57" i="32"/>
  <c r="J53" i="32"/>
  <c r="D53" i="32"/>
  <c r="D52" i="32"/>
  <c r="L23" i="32"/>
  <c r="F23" i="32"/>
  <c r="K21" i="32"/>
  <c r="L21" i="32" s="1"/>
  <c r="E21" i="32"/>
  <c r="F21" i="32" s="1"/>
  <c r="I19" i="32"/>
  <c r="K19" i="32" s="1"/>
  <c r="L19" i="32" s="1"/>
  <c r="C19" i="32"/>
  <c r="E19" i="32" s="1"/>
  <c r="F19" i="32" s="1"/>
  <c r="K17" i="32"/>
  <c r="L17" i="32" s="1"/>
  <c r="E17" i="32"/>
  <c r="F17" i="32" s="1"/>
  <c r="J15" i="32"/>
  <c r="I15" i="32"/>
  <c r="D15" i="32"/>
  <c r="C15" i="32"/>
  <c r="E15" i="32" s="1"/>
  <c r="F15" i="32" s="1"/>
  <c r="J14" i="32"/>
  <c r="I14" i="32"/>
  <c r="D14" i="32"/>
  <c r="C14" i="32"/>
  <c r="E14" i="32" s="1"/>
  <c r="F14" i="32" s="1"/>
  <c r="J13" i="32"/>
  <c r="I13" i="32"/>
  <c r="K13" i="32" s="1"/>
  <c r="L13" i="32" s="1"/>
  <c r="D13" i="32"/>
  <c r="C13" i="32"/>
  <c r="E13" i="32" s="1"/>
  <c r="F13" i="32" s="1"/>
  <c r="J11" i="32"/>
  <c r="I11" i="32"/>
  <c r="D11" i="32"/>
  <c r="C11" i="32"/>
  <c r="J10" i="32"/>
  <c r="I10" i="32"/>
  <c r="D10" i="32"/>
  <c r="C10" i="32"/>
  <c r="E10" i="32" s="1"/>
  <c r="F10" i="32" s="1"/>
  <c r="J9" i="32"/>
  <c r="I9" i="32"/>
  <c r="D9" i="32"/>
  <c r="C9" i="32"/>
  <c r="E9" i="32" s="1"/>
  <c r="F9" i="32" s="1"/>
  <c r="J8" i="32"/>
  <c r="I8" i="32"/>
  <c r="K8" i="32" s="1"/>
  <c r="L8" i="32" s="1"/>
  <c r="D8" i="32"/>
  <c r="C8" i="32"/>
  <c r="E8" i="32" s="1"/>
  <c r="F8" i="32" s="1"/>
  <c r="C107" i="31"/>
  <c r="D107" i="31" s="1"/>
  <c r="C106" i="31"/>
  <c r="D106" i="31" s="1"/>
  <c r="C102" i="31"/>
  <c r="D102" i="31" s="1"/>
  <c r="D101" i="31"/>
  <c r="D100" i="31"/>
  <c r="F84" i="31"/>
  <c r="E82" i="31"/>
  <c r="F82" i="31" s="1"/>
  <c r="E81" i="31"/>
  <c r="F81" i="31" s="1"/>
  <c r="E79" i="31"/>
  <c r="F79" i="31" s="1"/>
  <c r="E78" i="31"/>
  <c r="F78" i="31" s="1"/>
  <c r="E77" i="31"/>
  <c r="F77" i="31" s="1"/>
  <c r="E76" i="31"/>
  <c r="F76" i="31" s="1"/>
  <c r="E75" i="31"/>
  <c r="F75" i="31" s="1"/>
  <c r="J58" i="31"/>
  <c r="J57" i="31"/>
  <c r="D58" i="31"/>
  <c r="D57" i="31"/>
  <c r="J53" i="31"/>
  <c r="D53" i="31"/>
  <c r="D52" i="31"/>
  <c r="L23" i="31"/>
  <c r="F23" i="31"/>
  <c r="K21" i="31"/>
  <c r="L21" i="31" s="1"/>
  <c r="E21" i="31"/>
  <c r="F21" i="31" s="1"/>
  <c r="I19" i="31"/>
  <c r="K19" i="31" s="1"/>
  <c r="L19" i="31" s="1"/>
  <c r="C19" i="31"/>
  <c r="E19" i="31" s="1"/>
  <c r="F19" i="31" s="1"/>
  <c r="K17" i="31"/>
  <c r="L17" i="31" s="1"/>
  <c r="E17" i="31"/>
  <c r="F17" i="31" s="1"/>
  <c r="J15" i="31"/>
  <c r="I15" i="31"/>
  <c r="D15" i="31"/>
  <c r="C15" i="31"/>
  <c r="E15" i="31" s="1"/>
  <c r="F15" i="31" s="1"/>
  <c r="J14" i="31"/>
  <c r="I14" i="31"/>
  <c r="D14" i="31"/>
  <c r="C14" i="31"/>
  <c r="J13" i="31"/>
  <c r="I13" i="31"/>
  <c r="K13" i="31" s="1"/>
  <c r="L13" i="31" s="1"/>
  <c r="D13" i="31"/>
  <c r="C13" i="31"/>
  <c r="J11" i="31"/>
  <c r="I11" i="31"/>
  <c r="K11" i="31" s="1"/>
  <c r="L11" i="31" s="1"/>
  <c r="D11" i="31"/>
  <c r="C11" i="31"/>
  <c r="J10" i="31"/>
  <c r="I10" i="31"/>
  <c r="D10" i="31"/>
  <c r="C10" i="31"/>
  <c r="E10" i="31" s="1"/>
  <c r="F10" i="31" s="1"/>
  <c r="J9" i="31"/>
  <c r="I9" i="31"/>
  <c r="D9" i="31"/>
  <c r="C9" i="31"/>
  <c r="J8" i="31"/>
  <c r="I8" i="31"/>
  <c r="D8" i="31"/>
  <c r="C8" i="31"/>
  <c r="C107" i="30"/>
  <c r="D107" i="30" s="1"/>
  <c r="C106" i="30"/>
  <c r="D106" i="30" s="1"/>
  <c r="C102" i="30"/>
  <c r="C108" i="30" s="1"/>
  <c r="D101" i="30"/>
  <c r="D100" i="30"/>
  <c r="F84" i="30"/>
  <c r="E82" i="30"/>
  <c r="F82" i="30" s="1"/>
  <c r="E81" i="30"/>
  <c r="F81" i="30" s="1"/>
  <c r="E79" i="30"/>
  <c r="F79" i="30" s="1"/>
  <c r="E78" i="30"/>
  <c r="F78" i="30" s="1"/>
  <c r="E77" i="30"/>
  <c r="F77" i="30" s="1"/>
  <c r="E76" i="30"/>
  <c r="F76" i="30" s="1"/>
  <c r="E75" i="30"/>
  <c r="F75" i="30" s="1"/>
  <c r="J58" i="30"/>
  <c r="J57" i="30"/>
  <c r="D58" i="30"/>
  <c r="D57" i="30"/>
  <c r="J53" i="30"/>
  <c r="D53" i="30"/>
  <c r="D52" i="30"/>
  <c r="L23" i="30"/>
  <c r="F23" i="30"/>
  <c r="K21" i="30"/>
  <c r="L21" i="30" s="1"/>
  <c r="E21" i="30"/>
  <c r="F21" i="30" s="1"/>
  <c r="I19" i="30"/>
  <c r="K19" i="30" s="1"/>
  <c r="L19" i="30" s="1"/>
  <c r="C19" i="30"/>
  <c r="E19" i="30" s="1"/>
  <c r="F19" i="30" s="1"/>
  <c r="K17" i="30"/>
  <c r="L17" i="30" s="1"/>
  <c r="E17" i="30"/>
  <c r="F17" i="30" s="1"/>
  <c r="J15" i="30"/>
  <c r="I15" i="30"/>
  <c r="D15" i="30"/>
  <c r="C15" i="30"/>
  <c r="E15" i="30" s="1"/>
  <c r="F15" i="30" s="1"/>
  <c r="J14" i="30"/>
  <c r="I14" i="30"/>
  <c r="K14" i="30" s="1"/>
  <c r="L14" i="30" s="1"/>
  <c r="D14" i="30"/>
  <c r="C14" i="30"/>
  <c r="E14" i="30" s="1"/>
  <c r="F14" i="30" s="1"/>
  <c r="J13" i="30"/>
  <c r="I13" i="30"/>
  <c r="D13" i="30"/>
  <c r="C13" i="30"/>
  <c r="J11" i="30"/>
  <c r="I11" i="30"/>
  <c r="D11" i="30"/>
  <c r="C11" i="30"/>
  <c r="J10" i="30"/>
  <c r="I10" i="30"/>
  <c r="K10" i="30" s="1"/>
  <c r="L10" i="30" s="1"/>
  <c r="D10" i="30"/>
  <c r="C10" i="30"/>
  <c r="J9" i="30"/>
  <c r="I9" i="30"/>
  <c r="K9" i="30" s="1"/>
  <c r="L9" i="30" s="1"/>
  <c r="D9" i="30"/>
  <c r="C9" i="30"/>
  <c r="E9" i="30" s="1"/>
  <c r="F9" i="30" s="1"/>
  <c r="J8" i="30"/>
  <c r="I8" i="30"/>
  <c r="D8" i="30"/>
  <c r="C8" i="30"/>
  <c r="C107" i="29"/>
  <c r="D107" i="29" s="1"/>
  <c r="C106" i="29"/>
  <c r="D106" i="29" s="1"/>
  <c r="C102" i="29"/>
  <c r="D102" i="29" s="1"/>
  <c r="D101" i="29"/>
  <c r="D100" i="29"/>
  <c r="F84" i="29"/>
  <c r="E82" i="29"/>
  <c r="F82" i="29" s="1"/>
  <c r="E81" i="29"/>
  <c r="F81" i="29" s="1"/>
  <c r="E79" i="29"/>
  <c r="F79" i="29" s="1"/>
  <c r="E78" i="29"/>
  <c r="F78" i="29" s="1"/>
  <c r="E77" i="29"/>
  <c r="F77" i="29" s="1"/>
  <c r="E76" i="29"/>
  <c r="F76" i="29" s="1"/>
  <c r="E75" i="29"/>
  <c r="F75" i="29" s="1"/>
  <c r="J58" i="29"/>
  <c r="J57" i="29"/>
  <c r="D58" i="29"/>
  <c r="D57" i="29"/>
  <c r="J53" i="29"/>
  <c r="D53" i="29"/>
  <c r="D52" i="29"/>
  <c r="L23" i="29"/>
  <c r="F23" i="29"/>
  <c r="K21" i="29"/>
  <c r="L21" i="29" s="1"/>
  <c r="E21" i="29"/>
  <c r="F21" i="29" s="1"/>
  <c r="I19" i="29"/>
  <c r="K19" i="29" s="1"/>
  <c r="L19" i="29" s="1"/>
  <c r="C19" i="29"/>
  <c r="E19" i="29" s="1"/>
  <c r="F19" i="29" s="1"/>
  <c r="K17" i="29"/>
  <c r="L17" i="29" s="1"/>
  <c r="E17" i="29"/>
  <c r="F17" i="29" s="1"/>
  <c r="J15" i="29"/>
  <c r="I15" i="29"/>
  <c r="D15" i="29"/>
  <c r="C15" i="29"/>
  <c r="E15" i="29" s="1"/>
  <c r="F15" i="29" s="1"/>
  <c r="J14" i="29"/>
  <c r="I14" i="29"/>
  <c r="D14" i="29"/>
  <c r="C14" i="29"/>
  <c r="J13" i="29"/>
  <c r="I13" i="29"/>
  <c r="D13" i="29"/>
  <c r="C13" i="29"/>
  <c r="E13" i="29" s="1"/>
  <c r="F13" i="29" s="1"/>
  <c r="J11" i="29"/>
  <c r="I11" i="29"/>
  <c r="D11" i="29"/>
  <c r="C11" i="29"/>
  <c r="E11" i="29" s="1"/>
  <c r="F11" i="29" s="1"/>
  <c r="J10" i="29"/>
  <c r="I10" i="29"/>
  <c r="D10" i="29"/>
  <c r="C10" i="29"/>
  <c r="J9" i="29"/>
  <c r="I9" i="29"/>
  <c r="D9" i="29"/>
  <c r="C9" i="29"/>
  <c r="J8" i="29"/>
  <c r="I8" i="29"/>
  <c r="D8" i="29"/>
  <c r="C8" i="29"/>
  <c r="E8" i="29" s="1"/>
  <c r="F8" i="29" s="1"/>
  <c r="C107" i="28"/>
  <c r="D107" i="28" s="1"/>
  <c r="C106" i="28"/>
  <c r="D106" i="28" s="1"/>
  <c r="C102" i="28"/>
  <c r="D101" i="28"/>
  <c r="D100" i="28"/>
  <c r="F84" i="28"/>
  <c r="E82" i="28"/>
  <c r="F82" i="28" s="1"/>
  <c r="E81" i="28"/>
  <c r="F81" i="28" s="1"/>
  <c r="E79" i="28"/>
  <c r="F79" i="28" s="1"/>
  <c r="E78" i="28"/>
  <c r="F78" i="28" s="1"/>
  <c r="E77" i="28"/>
  <c r="F77" i="28" s="1"/>
  <c r="E76" i="28"/>
  <c r="F76" i="28" s="1"/>
  <c r="E75" i="28"/>
  <c r="F75" i="28" s="1"/>
  <c r="J58" i="28"/>
  <c r="J57" i="28"/>
  <c r="D58" i="28"/>
  <c r="D57" i="28"/>
  <c r="J53" i="28"/>
  <c r="D53" i="28"/>
  <c r="D52" i="28"/>
  <c r="L23" i="28"/>
  <c r="F23" i="28"/>
  <c r="K21" i="28"/>
  <c r="L21" i="28" s="1"/>
  <c r="E21" i="28"/>
  <c r="F21" i="28" s="1"/>
  <c r="I19" i="28"/>
  <c r="K19" i="28" s="1"/>
  <c r="L19" i="28" s="1"/>
  <c r="C19" i="28"/>
  <c r="E19" i="28" s="1"/>
  <c r="F19" i="28" s="1"/>
  <c r="K17" i="28"/>
  <c r="L17" i="28" s="1"/>
  <c r="E17" i="28"/>
  <c r="F17" i="28" s="1"/>
  <c r="J15" i="28"/>
  <c r="I15" i="28"/>
  <c r="K15" i="28" s="1"/>
  <c r="L15" i="28" s="1"/>
  <c r="D15" i="28"/>
  <c r="C15" i="28"/>
  <c r="J14" i="28"/>
  <c r="I14" i="28"/>
  <c r="D14" i="28"/>
  <c r="C14" i="28"/>
  <c r="J13" i="28"/>
  <c r="I13" i="28"/>
  <c r="D13" i="28"/>
  <c r="C13" i="28"/>
  <c r="J11" i="28"/>
  <c r="I11" i="28"/>
  <c r="K11" i="28" s="1"/>
  <c r="L11" i="28" s="1"/>
  <c r="D11" i="28"/>
  <c r="C11" i="28"/>
  <c r="J10" i="28"/>
  <c r="I10" i="28"/>
  <c r="D10" i="28"/>
  <c r="C10" i="28"/>
  <c r="E10" i="28" s="1"/>
  <c r="F10" i="28" s="1"/>
  <c r="J9" i="28"/>
  <c r="I9" i="28"/>
  <c r="D9" i="28"/>
  <c r="C9" i="28"/>
  <c r="E9" i="28" s="1"/>
  <c r="F9" i="28" s="1"/>
  <c r="J8" i="28"/>
  <c r="I8" i="28"/>
  <c r="D8" i="28"/>
  <c r="C8" i="28"/>
  <c r="E8" i="28" s="1"/>
  <c r="F8" i="28" s="1"/>
  <c r="C107" i="27"/>
  <c r="D107" i="27" s="1"/>
  <c r="C106" i="27"/>
  <c r="D106" i="27" s="1"/>
  <c r="C102" i="27"/>
  <c r="C108" i="27" s="1"/>
  <c r="D101" i="27"/>
  <c r="D100" i="27"/>
  <c r="F84" i="27"/>
  <c r="E82" i="27"/>
  <c r="F82" i="27" s="1"/>
  <c r="E81" i="27"/>
  <c r="F81" i="27" s="1"/>
  <c r="E79" i="27"/>
  <c r="F79" i="27" s="1"/>
  <c r="E78" i="27"/>
  <c r="F78" i="27" s="1"/>
  <c r="E77" i="27"/>
  <c r="F77" i="27" s="1"/>
  <c r="E76" i="27"/>
  <c r="F76" i="27" s="1"/>
  <c r="E75" i="27"/>
  <c r="F75" i="27" s="1"/>
  <c r="J58" i="27"/>
  <c r="J57" i="27"/>
  <c r="D58" i="27"/>
  <c r="D57" i="27"/>
  <c r="J53" i="27"/>
  <c r="D53" i="27"/>
  <c r="D52" i="27"/>
  <c r="L23" i="27"/>
  <c r="F23" i="27"/>
  <c r="K21" i="27"/>
  <c r="L21" i="27" s="1"/>
  <c r="E21" i="27"/>
  <c r="F21" i="27" s="1"/>
  <c r="I19" i="27"/>
  <c r="K19" i="27" s="1"/>
  <c r="L19" i="27" s="1"/>
  <c r="C19" i="27"/>
  <c r="E19" i="27" s="1"/>
  <c r="F19" i="27" s="1"/>
  <c r="K17" i="27"/>
  <c r="L17" i="27" s="1"/>
  <c r="E17" i="27"/>
  <c r="F17" i="27" s="1"/>
  <c r="J15" i="27"/>
  <c r="I15" i="27"/>
  <c r="D15" i="27"/>
  <c r="C15" i="27"/>
  <c r="E15" i="27" s="1"/>
  <c r="F15" i="27" s="1"/>
  <c r="J14" i="27"/>
  <c r="I14" i="27"/>
  <c r="D14" i="27"/>
  <c r="C14" i="27"/>
  <c r="J13" i="27"/>
  <c r="I13" i="27"/>
  <c r="D13" i="27"/>
  <c r="C13" i="27"/>
  <c r="E13" i="27" s="1"/>
  <c r="F13" i="27" s="1"/>
  <c r="J11" i="27"/>
  <c r="I11" i="27"/>
  <c r="D11" i="27"/>
  <c r="C11" i="27"/>
  <c r="J10" i="27"/>
  <c r="I10" i="27"/>
  <c r="K10" i="27" s="1"/>
  <c r="L10" i="27" s="1"/>
  <c r="D10" i="27"/>
  <c r="C10" i="27"/>
  <c r="E10" i="27" s="1"/>
  <c r="F10" i="27" s="1"/>
  <c r="J9" i="27"/>
  <c r="I9" i="27"/>
  <c r="D9" i="27"/>
  <c r="C9" i="27"/>
  <c r="J8" i="27"/>
  <c r="I8" i="27"/>
  <c r="K8" i="27" s="1"/>
  <c r="L8" i="27" s="1"/>
  <c r="D8" i="27"/>
  <c r="C8" i="27"/>
  <c r="C107" i="26"/>
  <c r="D107" i="26" s="1"/>
  <c r="C106" i="26"/>
  <c r="D106" i="26" s="1"/>
  <c r="C102" i="26"/>
  <c r="C108" i="26" s="1"/>
  <c r="D108" i="26" s="1"/>
  <c r="C70" i="26" s="1"/>
  <c r="D101" i="26"/>
  <c r="D100" i="26"/>
  <c r="F84" i="26"/>
  <c r="E82" i="26"/>
  <c r="F82" i="26" s="1"/>
  <c r="E81" i="26"/>
  <c r="F81" i="26" s="1"/>
  <c r="E79" i="26"/>
  <c r="F79" i="26" s="1"/>
  <c r="E78" i="26"/>
  <c r="F78" i="26" s="1"/>
  <c r="E77" i="26"/>
  <c r="F77" i="26" s="1"/>
  <c r="E76" i="26"/>
  <c r="F76" i="26" s="1"/>
  <c r="E75" i="26"/>
  <c r="F75" i="26" s="1"/>
  <c r="J58" i="26"/>
  <c r="J57" i="26"/>
  <c r="D58" i="26"/>
  <c r="D57" i="26"/>
  <c r="J53" i="26"/>
  <c r="D53" i="26"/>
  <c r="D52" i="26"/>
  <c r="L23" i="26"/>
  <c r="F23" i="26"/>
  <c r="K21" i="26"/>
  <c r="L21" i="26" s="1"/>
  <c r="E21" i="26"/>
  <c r="F21" i="26" s="1"/>
  <c r="I19" i="26"/>
  <c r="K19" i="26" s="1"/>
  <c r="L19" i="26" s="1"/>
  <c r="C19" i="26"/>
  <c r="E19" i="26" s="1"/>
  <c r="F19" i="26" s="1"/>
  <c r="K17" i="26"/>
  <c r="L17" i="26" s="1"/>
  <c r="E17" i="26"/>
  <c r="F17" i="26" s="1"/>
  <c r="J15" i="26"/>
  <c r="I15" i="26"/>
  <c r="K15" i="26" s="1"/>
  <c r="L15" i="26" s="1"/>
  <c r="D15" i="26"/>
  <c r="C15" i="26"/>
  <c r="E15" i="26" s="1"/>
  <c r="F15" i="26" s="1"/>
  <c r="J14" i="26"/>
  <c r="I14" i="26"/>
  <c r="K14" i="26" s="1"/>
  <c r="L14" i="26" s="1"/>
  <c r="D14" i="26"/>
  <c r="C14" i="26"/>
  <c r="J13" i="26"/>
  <c r="I13" i="26"/>
  <c r="D13" i="26"/>
  <c r="C13" i="26"/>
  <c r="J11" i="26"/>
  <c r="I11" i="26"/>
  <c r="K11" i="26" s="1"/>
  <c r="L11" i="26" s="1"/>
  <c r="D11" i="26"/>
  <c r="C11" i="26"/>
  <c r="J10" i="26"/>
  <c r="I10" i="26"/>
  <c r="K10" i="26" s="1"/>
  <c r="L10" i="26" s="1"/>
  <c r="D10" i="26"/>
  <c r="C10" i="26"/>
  <c r="J9" i="26"/>
  <c r="I9" i="26"/>
  <c r="K9" i="26" s="1"/>
  <c r="L9" i="26" s="1"/>
  <c r="D9" i="26"/>
  <c r="C9" i="26"/>
  <c r="J8" i="26"/>
  <c r="I8" i="26"/>
  <c r="D8" i="26"/>
  <c r="C8" i="26"/>
  <c r="E8" i="26" s="1"/>
  <c r="F8" i="26" s="1"/>
  <c r="C107" i="25"/>
  <c r="D107" i="25" s="1"/>
  <c r="C106" i="25"/>
  <c r="D106" i="25" s="1"/>
  <c r="C102" i="25"/>
  <c r="C108" i="25" s="1"/>
  <c r="D101" i="25"/>
  <c r="D100" i="25"/>
  <c r="F84" i="25"/>
  <c r="E82" i="25"/>
  <c r="F82" i="25" s="1"/>
  <c r="E81" i="25"/>
  <c r="F81" i="25" s="1"/>
  <c r="E79" i="25"/>
  <c r="F79" i="25" s="1"/>
  <c r="E78" i="25"/>
  <c r="F78" i="25" s="1"/>
  <c r="E77" i="25"/>
  <c r="F77" i="25" s="1"/>
  <c r="E76" i="25"/>
  <c r="F76" i="25" s="1"/>
  <c r="E75" i="25"/>
  <c r="F75" i="25" s="1"/>
  <c r="J58" i="25"/>
  <c r="J57" i="25"/>
  <c r="D58" i="25"/>
  <c r="D57" i="25"/>
  <c r="J53" i="25"/>
  <c r="D53" i="25"/>
  <c r="D52" i="25"/>
  <c r="L23" i="25"/>
  <c r="F23" i="25"/>
  <c r="K21" i="25"/>
  <c r="L21" i="25" s="1"/>
  <c r="E21" i="25"/>
  <c r="F21" i="25" s="1"/>
  <c r="I19" i="25"/>
  <c r="K19" i="25" s="1"/>
  <c r="L19" i="25" s="1"/>
  <c r="C19" i="25"/>
  <c r="E19" i="25" s="1"/>
  <c r="F19" i="25" s="1"/>
  <c r="K17" i="25"/>
  <c r="L17" i="25" s="1"/>
  <c r="E17" i="25"/>
  <c r="F17" i="25" s="1"/>
  <c r="J15" i="25"/>
  <c r="I15" i="25"/>
  <c r="D15" i="25"/>
  <c r="C15" i="25"/>
  <c r="E15" i="25" s="1"/>
  <c r="F15" i="25" s="1"/>
  <c r="J14" i="25"/>
  <c r="I14" i="25"/>
  <c r="D14" i="25"/>
  <c r="C14" i="25"/>
  <c r="J13" i="25"/>
  <c r="I13" i="25"/>
  <c r="D13" i="25"/>
  <c r="C13" i="25"/>
  <c r="J11" i="25"/>
  <c r="I11" i="25"/>
  <c r="D11" i="25"/>
  <c r="C11" i="25"/>
  <c r="J10" i="25"/>
  <c r="I10" i="25"/>
  <c r="D10" i="25"/>
  <c r="C10" i="25"/>
  <c r="J9" i="25"/>
  <c r="I9" i="25"/>
  <c r="D9" i="25"/>
  <c r="C9" i="25"/>
  <c r="J8" i="25"/>
  <c r="I8" i="25"/>
  <c r="K8" i="25" s="1"/>
  <c r="L8" i="25" s="1"/>
  <c r="D8" i="25"/>
  <c r="C8" i="25"/>
  <c r="C107" i="24"/>
  <c r="D107" i="24" s="1"/>
  <c r="C106" i="24"/>
  <c r="D106" i="24" s="1"/>
  <c r="C102" i="24"/>
  <c r="D101" i="24"/>
  <c r="D100" i="24"/>
  <c r="F84" i="24"/>
  <c r="E82" i="24"/>
  <c r="F82" i="24" s="1"/>
  <c r="E81" i="24"/>
  <c r="F81" i="24" s="1"/>
  <c r="E79" i="24"/>
  <c r="F79" i="24" s="1"/>
  <c r="E78" i="24"/>
  <c r="F78" i="24" s="1"/>
  <c r="E77" i="24"/>
  <c r="F77" i="24" s="1"/>
  <c r="E76" i="24"/>
  <c r="F76" i="24" s="1"/>
  <c r="E75" i="24"/>
  <c r="F75" i="24" s="1"/>
  <c r="J58" i="24"/>
  <c r="J57" i="24"/>
  <c r="D58" i="24"/>
  <c r="D57" i="24"/>
  <c r="J53" i="24"/>
  <c r="D53" i="24"/>
  <c r="D52" i="24"/>
  <c r="L23" i="24"/>
  <c r="F23" i="24"/>
  <c r="K21" i="24"/>
  <c r="L21" i="24" s="1"/>
  <c r="E21" i="24"/>
  <c r="F21" i="24" s="1"/>
  <c r="I19" i="24"/>
  <c r="K19" i="24" s="1"/>
  <c r="L19" i="24" s="1"/>
  <c r="C19" i="24"/>
  <c r="E19" i="24" s="1"/>
  <c r="F19" i="24" s="1"/>
  <c r="K17" i="24"/>
  <c r="L17" i="24" s="1"/>
  <c r="E17" i="24"/>
  <c r="F17" i="24" s="1"/>
  <c r="J15" i="24"/>
  <c r="I15" i="24"/>
  <c r="D15" i="24"/>
  <c r="C15" i="24"/>
  <c r="E15" i="24" s="1"/>
  <c r="F15" i="24" s="1"/>
  <c r="J14" i="24"/>
  <c r="I14" i="24"/>
  <c r="D14" i="24"/>
  <c r="C14" i="24"/>
  <c r="J13" i="24"/>
  <c r="I13" i="24"/>
  <c r="D13" i="24"/>
  <c r="C13" i="24"/>
  <c r="E13" i="24" s="1"/>
  <c r="F13" i="24" s="1"/>
  <c r="J11" i="24"/>
  <c r="I11" i="24"/>
  <c r="K11" i="24" s="1"/>
  <c r="L11" i="24" s="1"/>
  <c r="D11" i="24"/>
  <c r="C11" i="24"/>
  <c r="J10" i="24"/>
  <c r="I10" i="24"/>
  <c r="D10" i="24"/>
  <c r="C10" i="24"/>
  <c r="E10" i="24" s="1"/>
  <c r="F10" i="24" s="1"/>
  <c r="J9" i="24"/>
  <c r="I9" i="24"/>
  <c r="K9" i="24" s="1"/>
  <c r="L9" i="24" s="1"/>
  <c r="D9" i="24"/>
  <c r="C9" i="24"/>
  <c r="J8" i="24"/>
  <c r="I8" i="24"/>
  <c r="D8" i="24"/>
  <c r="C8" i="24"/>
  <c r="E8" i="24" s="1"/>
  <c r="F8" i="24" s="1"/>
  <c r="C107" i="23"/>
  <c r="D107" i="23" s="1"/>
  <c r="C106" i="23"/>
  <c r="D106" i="23" s="1"/>
  <c r="C102" i="23"/>
  <c r="C108" i="23" s="1"/>
  <c r="B70" i="23" s="1"/>
  <c r="B64" i="23" s="1"/>
  <c r="D101" i="23"/>
  <c r="D100" i="23"/>
  <c r="F84" i="23"/>
  <c r="E82" i="23"/>
  <c r="F82" i="23" s="1"/>
  <c r="E81" i="23"/>
  <c r="F81" i="23" s="1"/>
  <c r="E79" i="23"/>
  <c r="F79" i="23" s="1"/>
  <c r="E78" i="23"/>
  <c r="F78" i="23" s="1"/>
  <c r="E77" i="23"/>
  <c r="F77" i="23" s="1"/>
  <c r="E76" i="23"/>
  <c r="F76" i="23" s="1"/>
  <c r="E75" i="23"/>
  <c r="F75" i="23" s="1"/>
  <c r="J58" i="23"/>
  <c r="J57" i="23"/>
  <c r="D58" i="23"/>
  <c r="D57" i="23"/>
  <c r="J53" i="23"/>
  <c r="D53" i="23"/>
  <c r="D52" i="23"/>
  <c r="L23" i="23"/>
  <c r="F23" i="23"/>
  <c r="K21" i="23"/>
  <c r="L21" i="23" s="1"/>
  <c r="E21" i="23"/>
  <c r="F21" i="23" s="1"/>
  <c r="I19" i="23"/>
  <c r="K19" i="23" s="1"/>
  <c r="L19" i="23" s="1"/>
  <c r="C19" i="23"/>
  <c r="E19" i="23" s="1"/>
  <c r="F19" i="23" s="1"/>
  <c r="K17" i="23"/>
  <c r="L17" i="23" s="1"/>
  <c r="E17" i="23"/>
  <c r="F17" i="23" s="1"/>
  <c r="J15" i="23"/>
  <c r="I15" i="23"/>
  <c r="D15" i="23"/>
  <c r="C15" i="23"/>
  <c r="E15" i="23" s="1"/>
  <c r="F15" i="23" s="1"/>
  <c r="J14" i="23"/>
  <c r="I14" i="23"/>
  <c r="D14" i="23"/>
  <c r="C14" i="23"/>
  <c r="J13" i="23"/>
  <c r="I13" i="23"/>
  <c r="K13" i="23" s="1"/>
  <c r="L13" i="23" s="1"/>
  <c r="D13" i="23"/>
  <c r="C13" i="23"/>
  <c r="E13" i="23" s="1"/>
  <c r="F13" i="23" s="1"/>
  <c r="J11" i="23"/>
  <c r="I11" i="23"/>
  <c r="K11" i="23" s="1"/>
  <c r="L11" i="23" s="1"/>
  <c r="D11" i="23"/>
  <c r="C11" i="23"/>
  <c r="J10" i="23"/>
  <c r="I10" i="23"/>
  <c r="D10" i="23"/>
  <c r="C10" i="23"/>
  <c r="E10" i="23" s="1"/>
  <c r="F10" i="23" s="1"/>
  <c r="J9" i="23"/>
  <c r="I9" i="23"/>
  <c r="D9" i="23"/>
  <c r="C9" i="23"/>
  <c r="J8" i="23"/>
  <c r="I8" i="23"/>
  <c r="D8" i="23"/>
  <c r="C8" i="23"/>
  <c r="E8" i="23" s="1"/>
  <c r="F8" i="23" s="1"/>
  <c r="C107" i="22"/>
  <c r="D107" i="22" s="1"/>
  <c r="C106" i="22"/>
  <c r="D106" i="22" s="1"/>
  <c r="C102" i="22"/>
  <c r="C108" i="22" s="1"/>
  <c r="D108" i="22" s="1"/>
  <c r="C70" i="22" s="1"/>
  <c r="D101" i="22"/>
  <c r="D100" i="22"/>
  <c r="F84" i="22"/>
  <c r="E82" i="22"/>
  <c r="F82" i="22" s="1"/>
  <c r="E81" i="22"/>
  <c r="F81" i="22" s="1"/>
  <c r="E79" i="22"/>
  <c r="F79" i="22" s="1"/>
  <c r="E78" i="22"/>
  <c r="F78" i="22" s="1"/>
  <c r="E77" i="22"/>
  <c r="F77" i="22" s="1"/>
  <c r="E76" i="22"/>
  <c r="F76" i="22" s="1"/>
  <c r="E75" i="22"/>
  <c r="F75" i="22" s="1"/>
  <c r="J58" i="22"/>
  <c r="J57" i="22"/>
  <c r="D58" i="22"/>
  <c r="D57" i="22"/>
  <c r="J53" i="22"/>
  <c r="D53" i="22"/>
  <c r="D52" i="22"/>
  <c r="L23" i="22"/>
  <c r="F23" i="22"/>
  <c r="K21" i="22"/>
  <c r="L21" i="22" s="1"/>
  <c r="E21" i="22"/>
  <c r="F21" i="22" s="1"/>
  <c r="I19" i="22"/>
  <c r="K19" i="22" s="1"/>
  <c r="L19" i="22" s="1"/>
  <c r="C19" i="22"/>
  <c r="E19" i="22" s="1"/>
  <c r="F19" i="22" s="1"/>
  <c r="K17" i="22"/>
  <c r="L17" i="22" s="1"/>
  <c r="E17" i="22"/>
  <c r="F17" i="22" s="1"/>
  <c r="J15" i="22"/>
  <c r="I15" i="22"/>
  <c r="K15" i="22" s="1"/>
  <c r="L15" i="22" s="1"/>
  <c r="D15" i="22"/>
  <c r="C15" i="22"/>
  <c r="J14" i="22"/>
  <c r="I14" i="22"/>
  <c r="K14" i="22" s="1"/>
  <c r="L14" i="22" s="1"/>
  <c r="D14" i="22"/>
  <c r="C14" i="22"/>
  <c r="J13" i="22"/>
  <c r="I13" i="22"/>
  <c r="D13" i="22"/>
  <c r="C13" i="22"/>
  <c r="J11" i="22"/>
  <c r="I11" i="22"/>
  <c r="K11" i="22" s="1"/>
  <c r="L11" i="22" s="1"/>
  <c r="D11" i="22"/>
  <c r="C11" i="22"/>
  <c r="J10" i="22"/>
  <c r="I10" i="22"/>
  <c r="K10" i="22" s="1"/>
  <c r="L10" i="22" s="1"/>
  <c r="D10" i="22"/>
  <c r="C10" i="22"/>
  <c r="J9" i="22"/>
  <c r="I9" i="22"/>
  <c r="D9" i="22"/>
  <c r="C9" i="22"/>
  <c r="J8" i="22"/>
  <c r="I8" i="22"/>
  <c r="D8" i="22"/>
  <c r="C8" i="22"/>
  <c r="C107" i="21"/>
  <c r="D107" i="21" s="1"/>
  <c r="C106" i="21"/>
  <c r="D106" i="21" s="1"/>
  <c r="C102" i="21"/>
  <c r="D102" i="21" s="1"/>
  <c r="D101" i="21"/>
  <c r="D100" i="21"/>
  <c r="F84" i="21"/>
  <c r="E82" i="21"/>
  <c r="F82" i="21" s="1"/>
  <c r="E81" i="21"/>
  <c r="F81" i="21" s="1"/>
  <c r="E79" i="21"/>
  <c r="F79" i="21" s="1"/>
  <c r="E78" i="21"/>
  <c r="F78" i="21" s="1"/>
  <c r="E77" i="21"/>
  <c r="F77" i="21" s="1"/>
  <c r="E76" i="21"/>
  <c r="F76" i="21" s="1"/>
  <c r="E75" i="21"/>
  <c r="F75" i="21" s="1"/>
  <c r="J58" i="21"/>
  <c r="J57" i="21"/>
  <c r="D58" i="21"/>
  <c r="D57" i="21"/>
  <c r="J53" i="21"/>
  <c r="D53" i="21"/>
  <c r="D52" i="21"/>
  <c r="L23" i="21"/>
  <c r="F23" i="21"/>
  <c r="K21" i="21"/>
  <c r="L21" i="21" s="1"/>
  <c r="E21" i="21"/>
  <c r="F21" i="21" s="1"/>
  <c r="I19" i="21"/>
  <c r="K19" i="21" s="1"/>
  <c r="L19" i="21" s="1"/>
  <c r="C19" i="21"/>
  <c r="E19" i="21" s="1"/>
  <c r="F19" i="21" s="1"/>
  <c r="K17" i="21"/>
  <c r="L17" i="21" s="1"/>
  <c r="E17" i="21"/>
  <c r="F17" i="21" s="1"/>
  <c r="J15" i="21"/>
  <c r="I15" i="21"/>
  <c r="K15" i="21" s="1"/>
  <c r="L15" i="21" s="1"/>
  <c r="D15" i="21"/>
  <c r="C15" i="21"/>
  <c r="E15" i="21" s="1"/>
  <c r="F15" i="21" s="1"/>
  <c r="J14" i="21"/>
  <c r="I14" i="21"/>
  <c r="D14" i="21"/>
  <c r="C14" i="21"/>
  <c r="J13" i="21"/>
  <c r="I13" i="21"/>
  <c r="K13" i="21" s="1"/>
  <c r="L13" i="21" s="1"/>
  <c r="D13" i="21"/>
  <c r="C13" i="21"/>
  <c r="E13" i="21" s="1"/>
  <c r="F13" i="21" s="1"/>
  <c r="J11" i="21"/>
  <c r="I11" i="21"/>
  <c r="D11" i="21"/>
  <c r="C11" i="21"/>
  <c r="J10" i="21"/>
  <c r="I10" i="21"/>
  <c r="K10" i="21" s="1"/>
  <c r="L10" i="21" s="1"/>
  <c r="D10" i="21"/>
  <c r="C10" i="21"/>
  <c r="E10" i="21" s="1"/>
  <c r="F10" i="21" s="1"/>
  <c r="J9" i="21"/>
  <c r="I9" i="21"/>
  <c r="D9" i="21"/>
  <c r="C9" i="21"/>
  <c r="J8" i="21"/>
  <c r="I8" i="21"/>
  <c r="K8" i="21" s="1"/>
  <c r="L8" i="21" s="1"/>
  <c r="D8" i="21"/>
  <c r="C8" i="21"/>
  <c r="C107" i="20"/>
  <c r="D107" i="20" s="1"/>
  <c r="C106" i="20"/>
  <c r="D106" i="20" s="1"/>
  <c r="C102" i="20"/>
  <c r="D101" i="20"/>
  <c r="D100" i="20"/>
  <c r="F84" i="20"/>
  <c r="E82" i="20"/>
  <c r="F82" i="20" s="1"/>
  <c r="E81" i="20"/>
  <c r="F81" i="20" s="1"/>
  <c r="E79" i="20"/>
  <c r="F79" i="20" s="1"/>
  <c r="E78" i="20"/>
  <c r="F78" i="20" s="1"/>
  <c r="E77" i="20"/>
  <c r="F77" i="20" s="1"/>
  <c r="E76" i="20"/>
  <c r="F76" i="20" s="1"/>
  <c r="E75" i="20"/>
  <c r="F75" i="20" s="1"/>
  <c r="J58" i="20"/>
  <c r="J57" i="20"/>
  <c r="D58" i="20"/>
  <c r="D57" i="20"/>
  <c r="J53" i="20"/>
  <c r="D53" i="20"/>
  <c r="D52" i="20"/>
  <c r="L23" i="20"/>
  <c r="F23" i="20"/>
  <c r="K21" i="20"/>
  <c r="L21" i="20" s="1"/>
  <c r="E21" i="20"/>
  <c r="F21" i="20" s="1"/>
  <c r="I19" i="20"/>
  <c r="K19" i="20" s="1"/>
  <c r="L19" i="20" s="1"/>
  <c r="C19" i="20"/>
  <c r="E19" i="20" s="1"/>
  <c r="F19" i="20" s="1"/>
  <c r="K17" i="20"/>
  <c r="L17" i="20" s="1"/>
  <c r="E17" i="20"/>
  <c r="F17" i="20" s="1"/>
  <c r="J15" i="20"/>
  <c r="I15" i="20"/>
  <c r="K15" i="20" s="1"/>
  <c r="L15" i="20" s="1"/>
  <c r="D15" i="20"/>
  <c r="C15" i="20"/>
  <c r="J14" i="20"/>
  <c r="I14" i="20"/>
  <c r="D14" i="20"/>
  <c r="C14" i="20"/>
  <c r="J13" i="20"/>
  <c r="I13" i="20"/>
  <c r="K13" i="20" s="1"/>
  <c r="L13" i="20" s="1"/>
  <c r="D13" i="20"/>
  <c r="C13" i="20"/>
  <c r="E13" i="20" s="1"/>
  <c r="F13" i="20" s="1"/>
  <c r="J11" i="20"/>
  <c r="I11" i="20"/>
  <c r="D11" i="20"/>
  <c r="C11" i="20"/>
  <c r="E11" i="20" s="1"/>
  <c r="F11" i="20" s="1"/>
  <c r="J10" i="20"/>
  <c r="I10" i="20"/>
  <c r="K10" i="20" s="1"/>
  <c r="L10" i="20" s="1"/>
  <c r="D10" i="20"/>
  <c r="C10" i="20"/>
  <c r="E10" i="20" s="1"/>
  <c r="F10" i="20" s="1"/>
  <c r="J9" i="20"/>
  <c r="I9" i="20"/>
  <c r="D9" i="20"/>
  <c r="C9" i="20"/>
  <c r="J8" i="20"/>
  <c r="I8" i="20"/>
  <c r="K8" i="20" s="1"/>
  <c r="L8" i="20" s="1"/>
  <c r="D8" i="20"/>
  <c r="C8" i="20"/>
  <c r="C107" i="19"/>
  <c r="D107" i="19" s="1"/>
  <c r="C106" i="19"/>
  <c r="D106" i="19" s="1"/>
  <c r="C102" i="19"/>
  <c r="C108" i="19" s="1"/>
  <c r="D101" i="19"/>
  <c r="D100" i="19"/>
  <c r="F84" i="19"/>
  <c r="E82" i="19"/>
  <c r="F82" i="19" s="1"/>
  <c r="E81" i="19"/>
  <c r="F81" i="19" s="1"/>
  <c r="E79" i="19"/>
  <c r="F79" i="19" s="1"/>
  <c r="E78" i="19"/>
  <c r="F78" i="19" s="1"/>
  <c r="E77" i="19"/>
  <c r="F77" i="19" s="1"/>
  <c r="E76" i="19"/>
  <c r="F76" i="19" s="1"/>
  <c r="E75" i="19"/>
  <c r="F75" i="19" s="1"/>
  <c r="J58" i="19"/>
  <c r="J57" i="19"/>
  <c r="D58" i="19"/>
  <c r="D57" i="19"/>
  <c r="J53" i="19"/>
  <c r="D53" i="19"/>
  <c r="D52" i="19"/>
  <c r="L23" i="19"/>
  <c r="F23" i="19"/>
  <c r="K21" i="19"/>
  <c r="L21" i="19" s="1"/>
  <c r="E21" i="19"/>
  <c r="F21" i="19" s="1"/>
  <c r="I19" i="19"/>
  <c r="K19" i="19" s="1"/>
  <c r="L19" i="19" s="1"/>
  <c r="C19" i="19"/>
  <c r="E19" i="19" s="1"/>
  <c r="F19" i="19" s="1"/>
  <c r="K17" i="19"/>
  <c r="L17" i="19" s="1"/>
  <c r="E17" i="19"/>
  <c r="F17" i="19" s="1"/>
  <c r="J15" i="19"/>
  <c r="I15" i="19"/>
  <c r="D15" i="19"/>
  <c r="C15" i="19"/>
  <c r="J14" i="19"/>
  <c r="I14" i="19"/>
  <c r="K14" i="19" s="1"/>
  <c r="L14" i="19" s="1"/>
  <c r="D14" i="19"/>
  <c r="C14" i="19"/>
  <c r="E14" i="19" s="1"/>
  <c r="F14" i="19" s="1"/>
  <c r="J13" i="19"/>
  <c r="I13" i="19"/>
  <c r="D13" i="19"/>
  <c r="C13" i="19"/>
  <c r="J11" i="19"/>
  <c r="I11" i="19"/>
  <c r="D11" i="19"/>
  <c r="C11" i="19"/>
  <c r="E11" i="19" s="1"/>
  <c r="F11" i="19" s="1"/>
  <c r="J10" i="19"/>
  <c r="I10" i="19"/>
  <c r="D10" i="19"/>
  <c r="C10" i="19"/>
  <c r="J9" i="19"/>
  <c r="I9" i="19"/>
  <c r="K9" i="19" s="1"/>
  <c r="L9" i="19" s="1"/>
  <c r="D9" i="19"/>
  <c r="C9" i="19"/>
  <c r="E9" i="19" s="1"/>
  <c r="F9" i="19" s="1"/>
  <c r="J8" i="19"/>
  <c r="I8" i="19"/>
  <c r="D8" i="19"/>
  <c r="C8" i="19"/>
  <c r="C107" i="18"/>
  <c r="D107" i="18" s="1"/>
  <c r="C106" i="18"/>
  <c r="D106" i="18" s="1"/>
  <c r="C102" i="18"/>
  <c r="D101" i="18"/>
  <c r="D100" i="18"/>
  <c r="F84" i="18"/>
  <c r="E82" i="18"/>
  <c r="F82" i="18" s="1"/>
  <c r="E81" i="18"/>
  <c r="F81" i="18" s="1"/>
  <c r="E79" i="18"/>
  <c r="F79" i="18" s="1"/>
  <c r="E78" i="18"/>
  <c r="F78" i="18" s="1"/>
  <c r="E77" i="18"/>
  <c r="F77" i="18" s="1"/>
  <c r="E76" i="18"/>
  <c r="F76" i="18" s="1"/>
  <c r="E75" i="18"/>
  <c r="F75" i="18" s="1"/>
  <c r="J58" i="18"/>
  <c r="J57" i="18"/>
  <c r="D58" i="18"/>
  <c r="D57" i="18"/>
  <c r="J53" i="18"/>
  <c r="D53" i="18"/>
  <c r="D52" i="18"/>
  <c r="L23" i="18"/>
  <c r="F23" i="18"/>
  <c r="K21" i="18"/>
  <c r="L21" i="18" s="1"/>
  <c r="E21" i="18"/>
  <c r="F21" i="18" s="1"/>
  <c r="I19" i="18"/>
  <c r="K19" i="18" s="1"/>
  <c r="L19" i="18" s="1"/>
  <c r="C19" i="18"/>
  <c r="E19" i="18" s="1"/>
  <c r="F19" i="18" s="1"/>
  <c r="K17" i="18"/>
  <c r="L17" i="18" s="1"/>
  <c r="E17" i="18"/>
  <c r="F17" i="18" s="1"/>
  <c r="J15" i="18"/>
  <c r="I15" i="18"/>
  <c r="K15" i="18" s="1"/>
  <c r="L15" i="18" s="1"/>
  <c r="D15" i="18"/>
  <c r="C15" i="18"/>
  <c r="J14" i="18"/>
  <c r="I14" i="18"/>
  <c r="D14" i="18"/>
  <c r="C14" i="18"/>
  <c r="E14" i="18" s="1"/>
  <c r="F14" i="18" s="1"/>
  <c r="J13" i="18"/>
  <c r="I13" i="18"/>
  <c r="D13" i="18"/>
  <c r="C13" i="18"/>
  <c r="J11" i="18"/>
  <c r="I11" i="18"/>
  <c r="D11" i="18"/>
  <c r="C11" i="18"/>
  <c r="E11" i="18" s="1"/>
  <c r="F11" i="18" s="1"/>
  <c r="J10" i="18"/>
  <c r="I10" i="18"/>
  <c r="K10" i="18" s="1"/>
  <c r="L10" i="18" s="1"/>
  <c r="D10" i="18"/>
  <c r="C10" i="18"/>
  <c r="J9" i="18"/>
  <c r="I9" i="18"/>
  <c r="D9" i="18"/>
  <c r="C9" i="18"/>
  <c r="E9" i="18" s="1"/>
  <c r="F9" i="18" s="1"/>
  <c r="J8" i="18"/>
  <c r="I8" i="18"/>
  <c r="D8" i="18"/>
  <c r="C8" i="18"/>
  <c r="C107" i="17"/>
  <c r="D107" i="17" s="1"/>
  <c r="C106" i="17"/>
  <c r="D106" i="17" s="1"/>
  <c r="C102" i="17"/>
  <c r="C108" i="17" s="1"/>
  <c r="D101" i="17"/>
  <c r="D100" i="17"/>
  <c r="F84" i="17"/>
  <c r="E82" i="17"/>
  <c r="F82" i="17" s="1"/>
  <c r="E81" i="17"/>
  <c r="F81" i="17" s="1"/>
  <c r="E79" i="17"/>
  <c r="F79" i="17" s="1"/>
  <c r="E78" i="17"/>
  <c r="F78" i="17" s="1"/>
  <c r="E77" i="17"/>
  <c r="F77" i="17" s="1"/>
  <c r="E76" i="17"/>
  <c r="F76" i="17" s="1"/>
  <c r="E75" i="17"/>
  <c r="F75" i="17" s="1"/>
  <c r="J58" i="17"/>
  <c r="J57" i="17"/>
  <c r="D58" i="17"/>
  <c r="D57" i="17"/>
  <c r="J53" i="17"/>
  <c r="D53" i="17"/>
  <c r="D52" i="17"/>
  <c r="L23" i="17"/>
  <c r="F23" i="17"/>
  <c r="K21" i="17"/>
  <c r="L21" i="17" s="1"/>
  <c r="E21" i="17"/>
  <c r="F21" i="17" s="1"/>
  <c r="I19" i="17"/>
  <c r="K19" i="17" s="1"/>
  <c r="L19" i="17" s="1"/>
  <c r="C19" i="17"/>
  <c r="E19" i="17" s="1"/>
  <c r="F19" i="17" s="1"/>
  <c r="K17" i="17"/>
  <c r="L17" i="17" s="1"/>
  <c r="E17" i="17"/>
  <c r="F17" i="17" s="1"/>
  <c r="J15" i="17"/>
  <c r="I15" i="17"/>
  <c r="K15" i="17" s="1"/>
  <c r="L15" i="17" s="1"/>
  <c r="D15" i="17"/>
  <c r="C15" i="17"/>
  <c r="E15" i="17" s="1"/>
  <c r="F15" i="17" s="1"/>
  <c r="J14" i="17"/>
  <c r="I14" i="17"/>
  <c r="D14" i="17"/>
  <c r="C14" i="17"/>
  <c r="J13" i="17"/>
  <c r="I13" i="17"/>
  <c r="D13" i="17"/>
  <c r="C13" i="17"/>
  <c r="J11" i="17"/>
  <c r="I11" i="17"/>
  <c r="D11" i="17"/>
  <c r="C11" i="17"/>
  <c r="J10" i="17"/>
  <c r="I10" i="17"/>
  <c r="K10" i="17" s="1"/>
  <c r="L10" i="17" s="1"/>
  <c r="D10" i="17"/>
  <c r="C10" i="17"/>
  <c r="E10" i="17" s="1"/>
  <c r="F10" i="17" s="1"/>
  <c r="J9" i="17"/>
  <c r="I9" i="17"/>
  <c r="D9" i="17"/>
  <c r="C9" i="17"/>
  <c r="J8" i="17"/>
  <c r="I8" i="17"/>
  <c r="D8" i="17"/>
  <c r="C8" i="17"/>
  <c r="C107" i="16"/>
  <c r="D107" i="16" s="1"/>
  <c r="C106" i="16"/>
  <c r="D106" i="16" s="1"/>
  <c r="C102" i="16"/>
  <c r="D102" i="16" s="1"/>
  <c r="D101" i="16"/>
  <c r="D100" i="16"/>
  <c r="F84" i="16"/>
  <c r="E82" i="16"/>
  <c r="F82" i="16" s="1"/>
  <c r="E81" i="16"/>
  <c r="F81" i="16" s="1"/>
  <c r="E79" i="16"/>
  <c r="F79" i="16" s="1"/>
  <c r="E78" i="16"/>
  <c r="F78" i="16" s="1"/>
  <c r="E77" i="16"/>
  <c r="F77" i="16" s="1"/>
  <c r="E76" i="16"/>
  <c r="F76" i="16" s="1"/>
  <c r="E75" i="16"/>
  <c r="F75" i="16" s="1"/>
  <c r="J58" i="16"/>
  <c r="J57" i="16"/>
  <c r="D58" i="16"/>
  <c r="D57" i="16"/>
  <c r="J53" i="16"/>
  <c r="D53" i="16"/>
  <c r="D52" i="16"/>
  <c r="L23" i="16"/>
  <c r="F23" i="16"/>
  <c r="K21" i="16"/>
  <c r="L21" i="16" s="1"/>
  <c r="E21" i="16"/>
  <c r="F21" i="16" s="1"/>
  <c r="I19" i="16"/>
  <c r="K19" i="16" s="1"/>
  <c r="L19" i="16" s="1"/>
  <c r="C19" i="16"/>
  <c r="E19" i="16" s="1"/>
  <c r="F19" i="16" s="1"/>
  <c r="K17" i="16"/>
  <c r="L17" i="16" s="1"/>
  <c r="E17" i="16"/>
  <c r="F17" i="16" s="1"/>
  <c r="J15" i="16"/>
  <c r="I15" i="16"/>
  <c r="D15" i="16"/>
  <c r="C15" i="16"/>
  <c r="J14" i="16"/>
  <c r="I14" i="16"/>
  <c r="D14" i="16"/>
  <c r="C14" i="16"/>
  <c r="J13" i="16"/>
  <c r="I13" i="16"/>
  <c r="D13" i="16"/>
  <c r="C13" i="16"/>
  <c r="E13" i="16" s="1"/>
  <c r="F13" i="16" s="1"/>
  <c r="J11" i="16"/>
  <c r="I11" i="16"/>
  <c r="K11" i="16" s="1"/>
  <c r="L11" i="16" s="1"/>
  <c r="D11" i="16"/>
  <c r="C11" i="16"/>
  <c r="J10" i="16"/>
  <c r="I10" i="16"/>
  <c r="K10" i="16" s="1"/>
  <c r="L10" i="16" s="1"/>
  <c r="D10" i="16"/>
  <c r="C10" i="16"/>
  <c r="J9" i="16"/>
  <c r="I9" i="16"/>
  <c r="D9" i="16"/>
  <c r="C9" i="16"/>
  <c r="J8" i="16"/>
  <c r="I8" i="16"/>
  <c r="K8" i="16" s="1"/>
  <c r="L8" i="16" s="1"/>
  <c r="D8" i="16"/>
  <c r="C8" i="16"/>
  <c r="E8" i="16" s="1"/>
  <c r="F8" i="16" s="1"/>
  <c r="C107" i="15"/>
  <c r="D107" i="15" s="1"/>
  <c r="C106" i="15"/>
  <c r="D106" i="15" s="1"/>
  <c r="C102" i="15"/>
  <c r="C108" i="15" s="1"/>
  <c r="B70" i="15" s="1"/>
  <c r="D101" i="15"/>
  <c r="D100" i="15"/>
  <c r="F84" i="15"/>
  <c r="E82" i="15"/>
  <c r="F82" i="15" s="1"/>
  <c r="E81" i="15"/>
  <c r="F81" i="15" s="1"/>
  <c r="E79" i="15"/>
  <c r="F79" i="15" s="1"/>
  <c r="E78" i="15"/>
  <c r="F78" i="15" s="1"/>
  <c r="E77" i="15"/>
  <c r="F77" i="15" s="1"/>
  <c r="E76" i="15"/>
  <c r="F76" i="15" s="1"/>
  <c r="E75" i="15"/>
  <c r="F75" i="15" s="1"/>
  <c r="J58" i="15"/>
  <c r="J57" i="15"/>
  <c r="D58" i="15"/>
  <c r="D57" i="15"/>
  <c r="J53" i="15"/>
  <c r="D53" i="15"/>
  <c r="D52" i="15"/>
  <c r="L23" i="15"/>
  <c r="F23" i="15"/>
  <c r="K21" i="15"/>
  <c r="L21" i="15" s="1"/>
  <c r="E21" i="15"/>
  <c r="F21" i="15" s="1"/>
  <c r="I19" i="15"/>
  <c r="K19" i="15" s="1"/>
  <c r="L19" i="15" s="1"/>
  <c r="C19" i="15"/>
  <c r="E19" i="15" s="1"/>
  <c r="F19" i="15" s="1"/>
  <c r="K17" i="15"/>
  <c r="L17" i="15" s="1"/>
  <c r="E17" i="15"/>
  <c r="F17" i="15" s="1"/>
  <c r="J15" i="15"/>
  <c r="I15" i="15"/>
  <c r="D15" i="15"/>
  <c r="C15" i="15"/>
  <c r="J14" i="15"/>
  <c r="I14" i="15"/>
  <c r="K14" i="15" s="1"/>
  <c r="L14" i="15" s="1"/>
  <c r="D14" i="15"/>
  <c r="C14" i="15"/>
  <c r="E14" i="15" s="1"/>
  <c r="F14" i="15" s="1"/>
  <c r="J13" i="15"/>
  <c r="I13" i="15"/>
  <c r="K13" i="15" s="1"/>
  <c r="L13" i="15" s="1"/>
  <c r="D13" i="15"/>
  <c r="C13" i="15"/>
  <c r="J11" i="15"/>
  <c r="I11" i="15"/>
  <c r="D11" i="15"/>
  <c r="C11" i="15"/>
  <c r="E11" i="15" s="1"/>
  <c r="F11" i="15" s="1"/>
  <c r="J10" i="15"/>
  <c r="I10" i="15"/>
  <c r="D10" i="15"/>
  <c r="C10" i="15"/>
  <c r="J9" i="15"/>
  <c r="I9" i="15"/>
  <c r="D9" i="15"/>
  <c r="C9" i="15"/>
  <c r="E9" i="15" s="1"/>
  <c r="F9" i="15" s="1"/>
  <c r="J8" i="15"/>
  <c r="I8" i="15"/>
  <c r="D8" i="15"/>
  <c r="C8" i="15"/>
  <c r="C107" i="14"/>
  <c r="D107" i="14" s="1"/>
  <c r="C106" i="14"/>
  <c r="D106" i="14" s="1"/>
  <c r="C102" i="14"/>
  <c r="D101" i="14"/>
  <c r="D100" i="14"/>
  <c r="F84" i="14"/>
  <c r="E82" i="14"/>
  <c r="F82" i="14" s="1"/>
  <c r="E81" i="14"/>
  <c r="F81" i="14" s="1"/>
  <c r="E79" i="14"/>
  <c r="F79" i="14" s="1"/>
  <c r="E78" i="14"/>
  <c r="F78" i="14" s="1"/>
  <c r="E77" i="14"/>
  <c r="F77" i="14" s="1"/>
  <c r="E76" i="14"/>
  <c r="F76" i="14" s="1"/>
  <c r="E75" i="14"/>
  <c r="F75" i="14" s="1"/>
  <c r="J58" i="14"/>
  <c r="J57" i="14"/>
  <c r="D58" i="14"/>
  <c r="D57" i="14"/>
  <c r="J53" i="14"/>
  <c r="D53" i="14"/>
  <c r="D52" i="14"/>
  <c r="L23" i="14"/>
  <c r="F23" i="14"/>
  <c r="K21" i="14"/>
  <c r="L21" i="14" s="1"/>
  <c r="E21" i="14"/>
  <c r="F21" i="14" s="1"/>
  <c r="I19" i="14"/>
  <c r="K19" i="14" s="1"/>
  <c r="L19" i="14" s="1"/>
  <c r="C19" i="14"/>
  <c r="E19" i="14" s="1"/>
  <c r="F19" i="14" s="1"/>
  <c r="K17" i="14"/>
  <c r="L17" i="14" s="1"/>
  <c r="E17" i="14"/>
  <c r="F17" i="14" s="1"/>
  <c r="J15" i="14"/>
  <c r="I15" i="14"/>
  <c r="K15" i="14" s="1"/>
  <c r="L15" i="14" s="1"/>
  <c r="D15" i="14"/>
  <c r="C15" i="14"/>
  <c r="J14" i="14"/>
  <c r="I14" i="14"/>
  <c r="D14" i="14"/>
  <c r="C14" i="14"/>
  <c r="E14" i="14" s="1"/>
  <c r="F14" i="14" s="1"/>
  <c r="J13" i="14"/>
  <c r="I13" i="14"/>
  <c r="D13" i="14"/>
  <c r="C13" i="14"/>
  <c r="J11" i="14"/>
  <c r="I11" i="14"/>
  <c r="D11" i="14"/>
  <c r="C11" i="14"/>
  <c r="E11" i="14" s="1"/>
  <c r="F11" i="14" s="1"/>
  <c r="J10" i="14"/>
  <c r="I10" i="14"/>
  <c r="K10" i="14" s="1"/>
  <c r="L10" i="14" s="1"/>
  <c r="D10" i="14"/>
  <c r="C10" i="14"/>
  <c r="J9" i="14"/>
  <c r="I9" i="14"/>
  <c r="D9" i="14"/>
  <c r="C9" i="14"/>
  <c r="E9" i="14" s="1"/>
  <c r="F9" i="14" s="1"/>
  <c r="J8" i="14"/>
  <c r="I8" i="14"/>
  <c r="D8" i="14"/>
  <c r="C8" i="14"/>
  <c r="C107" i="13"/>
  <c r="D107" i="13" s="1"/>
  <c r="C106" i="13"/>
  <c r="D106" i="13" s="1"/>
  <c r="C102" i="13"/>
  <c r="D101" i="13"/>
  <c r="D100" i="13"/>
  <c r="F84" i="13"/>
  <c r="E82" i="13"/>
  <c r="F82" i="13" s="1"/>
  <c r="E81" i="13"/>
  <c r="F81" i="13" s="1"/>
  <c r="E79" i="13"/>
  <c r="F79" i="13" s="1"/>
  <c r="E78" i="13"/>
  <c r="F78" i="13" s="1"/>
  <c r="E77" i="13"/>
  <c r="F77" i="13" s="1"/>
  <c r="E76" i="13"/>
  <c r="F76" i="13" s="1"/>
  <c r="E75" i="13"/>
  <c r="F75" i="13" s="1"/>
  <c r="J58" i="13"/>
  <c r="J57" i="13"/>
  <c r="D58" i="13"/>
  <c r="D57" i="13"/>
  <c r="J53" i="13"/>
  <c r="D53" i="13"/>
  <c r="D52" i="13"/>
  <c r="L23" i="13"/>
  <c r="F23" i="13"/>
  <c r="K21" i="13"/>
  <c r="L21" i="13" s="1"/>
  <c r="E21" i="13"/>
  <c r="F21" i="13" s="1"/>
  <c r="I19" i="13"/>
  <c r="K19" i="13" s="1"/>
  <c r="L19" i="13" s="1"/>
  <c r="C19" i="13"/>
  <c r="E19" i="13" s="1"/>
  <c r="F19" i="13" s="1"/>
  <c r="K17" i="13"/>
  <c r="L17" i="13" s="1"/>
  <c r="E17" i="13"/>
  <c r="F17" i="13" s="1"/>
  <c r="J15" i="13"/>
  <c r="I15" i="13"/>
  <c r="K15" i="13" s="1"/>
  <c r="L15" i="13" s="1"/>
  <c r="D15" i="13"/>
  <c r="C15" i="13"/>
  <c r="E15" i="13" s="1"/>
  <c r="F15" i="13" s="1"/>
  <c r="J14" i="13"/>
  <c r="I14" i="13"/>
  <c r="D14" i="13"/>
  <c r="C14" i="13"/>
  <c r="E14" i="13" s="1"/>
  <c r="F14" i="13" s="1"/>
  <c r="J13" i="13"/>
  <c r="I13" i="13"/>
  <c r="D13" i="13"/>
  <c r="C13" i="13"/>
  <c r="J11" i="13"/>
  <c r="I11" i="13"/>
  <c r="D11" i="13"/>
  <c r="C11" i="13"/>
  <c r="E11" i="13" s="1"/>
  <c r="F11" i="13" s="1"/>
  <c r="J10" i="13"/>
  <c r="I10" i="13"/>
  <c r="K10" i="13" s="1"/>
  <c r="L10" i="13" s="1"/>
  <c r="D10" i="13"/>
  <c r="C10" i="13"/>
  <c r="E10" i="13" s="1"/>
  <c r="F10" i="13" s="1"/>
  <c r="J9" i="13"/>
  <c r="I9" i="13"/>
  <c r="D9" i="13"/>
  <c r="C9" i="13"/>
  <c r="E9" i="13" s="1"/>
  <c r="F9" i="13" s="1"/>
  <c r="J8" i="13"/>
  <c r="I8" i="13"/>
  <c r="D8" i="13"/>
  <c r="C8" i="13"/>
  <c r="E8" i="13" s="1"/>
  <c r="F8" i="13" s="1"/>
  <c r="C107" i="12"/>
  <c r="D107" i="12" s="1"/>
  <c r="C106" i="12"/>
  <c r="D106" i="12" s="1"/>
  <c r="C102" i="12"/>
  <c r="C108" i="12" s="1"/>
  <c r="D101" i="12"/>
  <c r="D100" i="12"/>
  <c r="F84" i="12"/>
  <c r="E82" i="12"/>
  <c r="F82" i="12" s="1"/>
  <c r="E81" i="12"/>
  <c r="F81" i="12" s="1"/>
  <c r="E79" i="12"/>
  <c r="F79" i="12" s="1"/>
  <c r="E78" i="12"/>
  <c r="F78" i="12" s="1"/>
  <c r="E77" i="12"/>
  <c r="F77" i="12" s="1"/>
  <c r="E76" i="12"/>
  <c r="F76" i="12" s="1"/>
  <c r="E75" i="12"/>
  <c r="F75" i="12" s="1"/>
  <c r="J58" i="12"/>
  <c r="J57" i="12"/>
  <c r="D58" i="12"/>
  <c r="D57" i="12"/>
  <c r="J53" i="12"/>
  <c r="D53" i="12"/>
  <c r="D52" i="12"/>
  <c r="L23" i="12"/>
  <c r="F23" i="12"/>
  <c r="K21" i="12"/>
  <c r="L21" i="12" s="1"/>
  <c r="E21" i="12"/>
  <c r="F21" i="12" s="1"/>
  <c r="I19" i="12"/>
  <c r="K19" i="12" s="1"/>
  <c r="L19" i="12" s="1"/>
  <c r="C19" i="12"/>
  <c r="E19" i="12" s="1"/>
  <c r="F19" i="12" s="1"/>
  <c r="K17" i="12"/>
  <c r="L17" i="12" s="1"/>
  <c r="E17" i="12"/>
  <c r="F17" i="12" s="1"/>
  <c r="J15" i="12"/>
  <c r="I15" i="12"/>
  <c r="K15" i="12" s="1"/>
  <c r="L15" i="12" s="1"/>
  <c r="D15" i="12"/>
  <c r="C15" i="12"/>
  <c r="E15" i="12" s="1"/>
  <c r="F15" i="12" s="1"/>
  <c r="J14" i="12"/>
  <c r="I14" i="12"/>
  <c r="K14" i="12" s="1"/>
  <c r="L14" i="12" s="1"/>
  <c r="D14" i="12"/>
  <c r="C14" i="12"/>
  <c r="J13" i="12"/>
  <c r="I13" i="12"/>
  <c r="K13" i="12" s="1"/>
  <c r="L13" i="12" s="1"/>
  <c r="D13" i="12"/>
  <c r="C13" i="12"/>
  <c r="E13" i="12" s="1"/>
  <c r="F13" i="12" s="1"/>
  <c r="J11" i="12"/>
  <c r="I11" i="12"/>
  <c r="D11" i="12"/>
  <c r="C11" i="12"/>
  <c r="E11" i="12" s="1"/>
  <c r="F11" i="12" s="1"/>
  <c r="J10" i="12"/>
  <c r="I10" i="12"/>
  <c r="K10" i="12" s="1"/>
  <c r="L10" i="12" s="1"/>
  <c r="D10" i="12"/>
  <c r="C10" i="12"/>
  <c r="J9" i="12"/>
  <c r="I9" i="12"/>
  <c r="K9" i="12" s="1"/>
  <c r="L9" i="12" s="1"/>
  <c r="D9" i="12"/>
  <c r="C9" i="12"/>
  <c r="J8" i="12"/>
  <c r="I8" i="12"/>
  <c r="K8" i="12" s="1"/>
  <c r="L8" i="12" s="1"/>
  <c r="D8" i="12"/>
  <c r="C8" i="12"/>
  <c r="C107" i="11"/>
  <c r="D107" i="11" s="1"/>
  <c r="C106" i="11"/>
  <c r="D106" i="11" s="1"/>
  <c r="C102" i="11"/>
  <c r="C108" i="11" s="1"/>
  <c r="D101" i="11"/>
  <c r="D100" i="11"/>
  <c r="F84" i="11"/>
  <c r="E82" i="11"/>
  <c r="F82" i="11" s="1"/>
  <c r="E81" i="11"/>
  <c r="F81" i="11" s="1"/>
  <c r="E79" i="11"/>
  <c r="F79" i="11" s="1"/>
  <c r="E78" i="11"/>
  <c r="F78" i="11" s="1"/>
  <c r="E77" i="11"/>
  <c r="F77" i="11" s="1"/>
  <c r="E76" i="11"/>
  <c r="F76" i="11" s="1"/>
  <c r="E75" i="11"/>
  <c r="F75" i="11" s="1"/>
  <c r="J58" i="11"/>
  <c r="J57" i="11"/>
  <c r="D58" i="11"/>
  <c r="D57" i="11"/>
  <c r="J53" i="11"/>
  <c r="D53" i="11"/>
  <c r="D52" i="11"/>
  <c r="L23" i="11"/>
  <c r="F23" i="11"/>
  <c r="K21" i="11"/>
  <c r="L21" i="11" s="1"/>
  <c r="E21" i="11"/>
  <c r="F21" i="11" s="1"/>
  <c r="I19" i="11"/>
  <c r="K19" i="11" s="1"/>
  <c r="L19" i="11" s="1"/>
  <c r="C19" i="11"/>
  <c r="E19" i="11" s="1"/>
  <c r="F19" i="11" s="1"/>
  <c r="K17" i="11"/>
  <c r="L17" i="11" s="1"/>
  <c r="E17" i="11"/>
  <c r="F17" i="11" s="1"/>
  <c r="J15" i="11"/>
  <c r="I15" i="11"/>
  <c r="D15" i="11"/>
  <c r="C15" i="11"/>
  <c r="E15" i="11" s="1"/>
  <c r="F15" i="11" s="1"/>
  <c r="J14" i="11"/>
  <c r="I14" i="11"/>
  <c r="K14" i="11" s="1"/>
  <c r="L14" i="11" s="1"/>
  <c r="D14" i="11"/>
  <c r="C14" i="11"/>
  <c r="E14" i="11" s="1"/>
  <c r="F14" i="11" s="1"/>
  <c r="J13" i="11"/>
  <c r="I13" i="11"/>
  <c r="D13" i="11"/>
  <c r="C13" i="11"/>
  <c r="E13" i="11" s="1"/>
  <c r="F13" i="11" s="1"/>
  <c r="J11" i="11"/>
  <c r="I11" i="11"/>
  <c r="K11" i="11" s="1"/>
  <c r="L11" i="11" s="1"/>
  <c r="D11" i="11"/>
  <c r="C11" i="11"/>
  <c r="E11" i="11" s="1"/>
  <c r="F11" i="11" s="1"/>
  <c r="J10" i="11"/>
  <c r="I10" i="11"/>
  <c r="K10" i="11" s="1"/>
  <c r="L10" i="11" s="1"/>
  <c r="D10" i="11"/>
  <c r="C10" i="11"/>
  <c r="J9" i="11"/>
  <c r="I9" i="11"/>
  <c r="K9" i="11" s="1"/>
  <c r="L9" i="11" s="1"/>
  <c r="D9" i="11"/>
  <c r="C9" i="11"/>
  <c r="E9" i="11" s="1"/>
  <c r="F9" i="11" s="1"/>
  <c r="J8" i="11"/>
  <c r="I8" i="11"/>
  <c r="K8" i="11" s="1"/>
  <c r="L8" i="11" s="1"/>
  <c r="D8" i="11"/>
  <c r="C8" i="11"/>
  <c r="E8" i="11" s="1"/>
  <c r="F8" i="11" s="1"/>
  <c r="C107" i="10"/>
  <c r="D107" i="10" s="1"/>
  <c r="C106" i="10"/>
  <c r="D106" i="10" s="1"/>
  <c r="C102" i="10"/>
  <c r="D101" i="10"/>
  <c r="D100" i="10"/>
  <c r="F84" i="10"/>
  <c r="E82" i="10"/>
  <c r="F82" i="10" s="1"/>
  <c r="E81" i="10"/>
  <c r="F81" i="10" s="1"/>
  <c r="E79" i="10"/>
  <c r="F79" i="10" s="1"/>
  <c r="E78" i="10"/>
  <c r="F78" i="10" s="1"/>
  <c r="E77" i="10"/>
  <c r="F77" i="10" s="1"/>
  <c r="E76" i="10"/>
  <c r="F76" i="10" s="1"/>
  <c r="E75" i="10"/>
  <c r="F75" i="10" s="1"/>
  <c r="J58" i="10"/>
  <c r="J57" i="10"/>
  <c r="D58" i="10"/>
  <c r="D57" i="10"/>
  <c r="J53" i="10"/>
  <c r="D53" i="10"/>
  <c r="D52" i="10"/>
  <c r="L23" i="10"/>
  <c r="F23" i="10"/>
  <c r="K21" i="10"/>
  <c r="L21" i="10" s="1"/>
  <c r="E21" i="10"/>
  <c r="F21" i="10" s="1"/>
  <c r="I19" i="10"/>
  <c r="K19" i="10" s="1"/>
  <c r="L19" i="10" s="1"/>
  <c r="C19" i="10"/>
  <c r="E19" i="10" s="1"/>
  <c r="F19" i="10" s="1"/>
  <c r="K17" i="10"/>
  <c r="L17" i="10" s="1"/>
  <c r="E17" i="10"/>
  <c r="F17" i="10" s="1"/>
  <c r="J15" i="10"/>
  <c r="I15" i="10"/>
  <c r="K15" i="10" s="1"/>
  <c r="L15" i="10" s="1"/>
  <c r="D15" i="10"/>
  <c r="C15" i="10"/>
  <c r="J14" i="10"/>
  <c r="I14" i="10"/>
  <c r="K14" i="10" s="1"/>
  <c r="L14" i="10" s="1"/>
  <c r="D14" i="10"/>
  <c r="C14" i="10"/>
  <c r="E14" i="10" s="1"/>
  <c r="F14" i="10" s="1"/>
  <c r="J13" i="10"/>
  <c r="I13" i="10"/>
  <c r="K13" i="10" s="1"/>
  <c r="L13" i="10" s="1"/>
  <c r="D13" i="10"/>
  <c r="C13" i="10"/>
  <c r="E13" i="10" s="1"/>
  <c r="F13" i="10" s="1"/>
  <c r="J11" i="10"/>
  <c r="I11" i="10"/>
  <c r="D11" i="10"/>
  <c r="C11" i="10"/>
  <c r="E11" i="10" s="1"/>
  <c r="F11" i="10" s="1"/>
  <c r="J10" i="10"/>
  <c r="I10" i="10"/>
  <c r="K10" i="10" s="1"/>
  <c r="L10" i="10" s="1"/>
  <c r="D10" i="10"/>
  <c r="C10" i="10"/>
  <c r="E10" i="10" s="1"/>
  <c r="F10" i="10" s="1"/>
  <c r="J9" i="10"/>
  <c r="I9" i="10"/>
  <c r="K9" i="10" s="1"/>
  <c r="L9" i="10" s="1"/>
  <c r="D9" i="10"/>
  <c r="C9" i="10"/>
  <c r="E9" i="10" s="1"/>
  <c r="F9" i="10" s="1"/>
  <c r="J8" i="10"/>
  <c r="I8" i="10"/>
  <c r="K8" i="10" s="1"/>
  <c r="L8" i="10" s="1"/>
  <c r="D8" i="10"/>
  <c r="C8" i="10"/>
  <c r="C107" i="9"/>
  <c r="D107" i="9" s="1"/>
  <c r="C106" i="9"/>
  <c r="D106" i="9" s="1"/>
  <c r="C102" i="9"/>
  <c r="D102" i="9" s="1"/>
  <c r="D101" i="9"/>
  <c r="D100" i="9"/>
  <c r="F84" i="9"/>
  <c r="E82" i="9"/>
  <c r="F82" i="9" s="1"/>
  <c r="E81" i="9"/>
  <c r="F81" i="9" s="1"/>
  <c r="E79" i="9"/>
  <c r="F79" i="9" s="1"/>
  <c r="E78" i="9"/>
  <c r="F78" i="9" s="1"/>
  <c r="E77" i="9"/>
  <c r="F77" i="9" s="1"/>
  <c r="E76" i="9"/>
  <c r="F76" i="9" s="1"/>
  <c r="E75" i="9"/>
  <c r="F75" i="9" s="1"/>
  <c r="J58" i="9"/>
  <c r="J57" i="9"/>
  <c r="D58" i="9"/>
  <c r="D57" i="9"/>
  <c r="J53" i="9"/>
  <c r="D53" i="9"/>
  <c r="D52" i="9"/>
  <c r="L23" i="9"/>
  <c r="F23" i="9"/>
  <c r="K21" i="9"/>
  <c r="L21" i="9" s="1"/>
  <c r="E21" i="9"/>
  <c r="F21" i="9" s="1"/>
  <c r="I19" i="9"/>
  <c r="K19" i="9" s="1"/>
  <c r="L19" i="9" s="1"/>
  <c r="C19" i="9"/>
  <c r="E19" i="9" s="1"/>
  <c r="F19" i="9" s="1"/>
  <c r="K17" i="9"/>
  <c r="L17" i="9" s="1"/>
  <c r="E17" i="9"/>
  <c r="F17" i="9" s="1"/>
  <c r="J15" i="9"/>
  <c r="I15" i="9"/>
  <c r="K15" i="9" s="1"/>
  <c r="L15" i="9" s="1"/>
  <c r="D15" i="9"/>
  <c r="C15" i="9"/>
  <c r="E15" i="9" s="1"/>
  <c r="F15" i="9" s="1"/>
  <c r="J14" i="9"/>
  <c r="I14" i="9"/>
  <c r="K14" i="9" s="1"/>
  <c r="L14" i="9" s="1"/>
  <c r="D14" i="9"/>
  <c r="C14" i="9"/>
  <c r="E14" i="9" s="1"/>
  <c r="F14" i="9" s="1"/>
  <c r="J13" i="9"/>
  <c r="I13" i="9"/>
  <c r="D13" i="9"/>
  <c r="C13" i="9"/>
  <c r="E13" i="9" s="1"/>
  <c r="F13" i="9" s="1"/>
  <c r="J11" i="9"/>
  <c r="I11" i="9"/>
  <c r="K11" i="9" s="1"/>
  <c r="L11" i="9" s="1"/>
  <c r="D11" i="9"/>
  <c r="C11" i="9"/>
  <c r="E11" i="9" s="1"/>
  <c r="F11" i="9" s="1"/>
  <c r="J10" i="9"/>
  <c r="I10" i="9"/>
  <c r="D10" i="9"/>
  <c r="C10" i="9"/>
  <c r="E10" i="9" s="1"/>
  <c r="F10" i="9" s="1"/>
  <c r="J9" i="9"/>
  <c r="I9" i="9"/>
  <c r="D9" i="9"/>
  <c r="C9" i="9"/>
  <c r="J8" i="9"/>
  <c r="I8" i="9"/>
  <c r="D8" i="9"/>
  <c r="C8" i="9"/>
  <c r="E8" i="9" s="1"/>
  <c r="F8" i="9" s="1"/>
  <c r="C107" i="8"/>
  <c r="D107" i="8" s="1"/>
  <c r="C106" i="8"/>
  <c r="D106" i="8" s="1"/>
  <c r="C102" i="8"/>
  <c r="D101" i="8"/>
  <c r="D100" i="8"/>
  <c r="F84" i="8"/>
  <c r="E82" i="8"/>
  <c r="F82" i="8" s="1"/>
  <c r="E81" i="8"/>
  <c r="F81" i="8" s="1"/>
  <c r="E79" i="8"/>
  <c r="F79" i="8" s="1"/>
  <c r="E78" i="8"/>
  <c r="F78" i="8" s="1"/>
  <c r="E77" i="8"/>
  <c r="F77" i="8" s="1"/>
  <c r="E76" i="8"/>
  <c r="F76" i="8" s="1"/>
  <c r="E75" i="8"/>
  <c r="F75" i="8" s="1"/>
  <c r="J58" i="8"/>
  <c r="J57" i="8"/>
  <c r="D58" i="8"/>
  <c r="D57" i="8"/>
  <c r="J53" i="8"/>
  <c r="D53" i="8"/>
  <c r="D52" i="8"/>
  <c r="L23" i="8"/>
  <c r="F23" i="8"/>
  <c r="K21" i="8"/>
  <c r="L21" i="8" s="1"/>
  <c r="E21" i="8"/>
  <c r="F21" i="8" s="1"/>
  <c r="I19" i="8"/>
  <c r="K19" i="8" s="1"/>
  <c r="L19" i="8" s="1"/>
  <c r="C19" i="8"/>
  <c r="E19" i="8" s="1"/>
  <c r="F19" i="8" s="1"/>
  <c r="K17" i="8"/>
  <c r="L17" i="8" s="1"/>
  <c r="E17" i="8"/>
  <c r="F17" i="8" s="1"/>
  <c r="J15" i="8"/>
  <c r="I15" i="8"/>
  <c r="K15" i="8" s="1"/>
  <c r="L15" i="8" s="1"/>
  <c r="D15" i="8"/>
  <c r="C15" i="8"/>
  <c r="E15" i="8" s="1"/>
  <c r="F15" i="8" s="1"/>
  <c r="J14" i="8"/>
  <c r="I14" i="8"/>
  <c r="D14" i="8"/>
  <c r="C14" i="8"/>
  <c r="E14" i="8" s="1"/>
  <c r="F14" i="8" s="1"/>
  <c r="J13" i="8"/>
  <c r="I13" i="8"/>
  <c r="D13" i="8"/>
  <c r="C13" i="8"/>
  <c r="J11" i="8"/>
  <c r="I11" i="8"/>
  <c r="K11" i="8" s="1"/>
  <c r="L11" i="8" s="1"/>
  <c r="D11" i="8"/>
  <c r="C11" i="8"/>
  <c r="E11" i="8" s="1"/>
  <c r="F11" i="8" s="1"/>
  <c r="J10" i="8"/>
  <c r="I10" i="8"/>
  <c r="D10" i="8"/>
  <c r="C10" i="8"/>
  <c r="J9" i="8"/>
  <c r="I9" i="8"/>
  <c r="D9" i="8"/>
  <c r="C9" i="8"/>
  <c r="E9" i="8" s="1"/>
  <c r="F9" i="8" s="1"/>
  <c r="J8" i="8"/>
  <c r="I8" i="8"/>
  <c r="K8" i="8" s="1"/>
  <c r="L8" i="8" s="1"/>
  <c r="D8" i="8"/>
  <c r="C8" i="8"/>
  <c r="C107" i="7"/>
  <c r="D107" i="7" s="1"/>
  <c r="C106" i="7"/>
  <c r="D106" i="7" s="1"/>
  <c r="C102" i="7"/>
  <c r="D102" i="7" s="1"/>
  <c r="D101" i="7"/>
  <c r="D100" i="7"/>
  <c r="F84" i="7"/>
  <c r="E82" i="7"/>
  <c r="F82" i="7" s="1"/>
  <c r="E81" i="7"/>
  <c r="F81" i="7" s="1"/>
  <c r="E79" i="7"/>
  <c r="F79" i="7" s="1"/>
  <c r="E78" i="7"/>
  <c r="F78" i="7" s="1"/>
  <c r="E77" i="7"/>
  <c r="F77" i="7" s="1"/>
  <c r="E76" i="7"/>
  <c r="F76" i="7" s="1"/>
  <c r="E75" i="7"/>
  <c r="F75" i="7" s="1"/>
  <c r="J58" i="7"/>
  <c r="J57" i="7"/>
  <c r="D58" i="7"/>
  <c r="D57" i="7"/>
  <c r="J53" i="7"/>
  <c r="D53" i="7"/>
  <c r="D52" i="7"/>
  <c r="L23" i="7"/>
  <c r="F23" i="7"/>
  <c r="K21" i="7"/>
  <c r="L21" i="7" s="1"/>
  <c r="E21" i="7"/>
  <c r="F21" i="7" s="1"/>
  <c r="I19" i="7"/>
  <c r="K19" i="7" s="1"/>
  <c r="L19" i="7" s="1"/>
  <c r="C19" i="7"/>
  <c r="E19" i="7" s="1"/>
  <c r="F19" i="7" s="1"/>
  <c r="K17" i="7"/>
  <c r="L17" i="7" s="1"/>
  <c r="E17" i="7"/>
  <c r="F17" i="7" s="1"/>
  <c r="J15" i="7"/>
  <c r="I15" i="7"/>
  <c r="D15" i="7"/>
  <c r="C15" i="7"/>
  <c r="J14" i="7"/>
  <c r="I14" i="7"/>
  <c r="D14" i="7"/>
  <c r="C14" i="7"/>
  <c r="J13" i="7"/>
  <c r="I13" i="7"/>
  <c r="K13" i="7" s="1"/>
  <c r="L13" i="7" s="1"/>
  <c r="D13" i="7"/>
  <c r="C13" i="7"/>
  <c r="E13" i="7" s="1"/>
  <c r="F13" i="7" s="1"/>
  <c r="J11" i="7"/>
  <c r="I11" i="7"/>
  <c r="K11" i="7" s="1"/>
  <c r="L11" i="7" s="1"/>
  <c r="D11" i="7"/>
  <c r="C11" i="7"/>
  <c r="E11" i="7" s="1"/>
  <c r="F11" i="7" s="1"/>
  <c r="J10" i="7"/>
  <c r="I10" i="7"/>
  <c r="K10" i="7" s="1"/>
  <c r="L10" i="7" s="1"/>
  <c r="D10" i="7"/>
  <c r="C10" i="7"/>
  <c r="E10" i="7" s="1"/>
  <c r="F10" i="7" s="1"/>
  <c r="J9" i="7"/>
  <c r="I9" i="7"/>
  <c r="D9" i="7"/>
  <c r="C9" i="7"/>
  <c r="J8" i="7"/>
  <c r="I8" i="7"/>
  <c r="D8" i="7"/>
  <c r="C8" i="7"/>
  <c r="C107" i="6"/>
  <c r="D107" i="6" s="1"/>
  <c r="C106" i="6"/>
  <c r="D106" i="6" s="1"/>
  <c r="C102" i="6"/>
  <c r="D102" i="6" s="1"/>
  <c r="D101" i="6"/>
  <c r="D100" i="6"/>
  <c r="F84" i="6"/>
  <c r="E82" i="6"/>
  <c r="F82" i="6" s="1"/>
  <c r="E81" i="6"/>
  <c r="F81" i="6" s="1"/>
  <c r="E79" i="6"/>
  <c r="F79" i="6" s="1"/>
  <c r="E78" i="6"/>
  <c r="F78" i="6" s="1"/>
  <c r="E77" i="6"/>
  <c r="F77" i="6" s="1"/>
  <c r="E76" i="6"/>
  <c r="F76" i="6" s="1"/>
  <c r="E75" i="6"/>
  <c r="F75" i="6" s="1"/>
  <c r="J58" i="6"/>
  <c r="J57" i="6"/>
  <c r="D58" i="6"/>
  <c r="D57" i="6"/>
  <c r="J53" i="6"/>
  <c r="D53" i="6"/>
  <c r="D52" i="6"/>
  <c r="L23" i="6"/>
  <c r="F23" i="6"/>
  <c r="K21" i="6"/>
  <c r="L21" i="6" s="1"/>
  <c r="E21" i="6"/>
  <c r="F21" i="6" s="1"/>
  <c r="I19" i="6"/>
  <c r="K19" i="6" s="1"/>
  <c r="L19" i="6" s="1"/>
  <c r="C19" i="6"/>
  <c r="E19" i="6" s="1"/>
  <c r="F19" i="6" s="1"/>
  <c r="K17" i="6"/>
  <c r="L17" i="6" s="1"/>
  <c r="E17" i="6"/>
  <c r="F17" i="6" s="1"/>
  <c r="J15" i="6"/>
  <c r="I15" i="6"/>
  <c r="D15" i="6"/>
  <c r="C15" i="6"/>
  <c r="E15" i="6" s="1"/>
  <c r="F15" i="6" s="1"/>
  <c r="J14" i="6"/>
  <c r="I14" i="6"/>
  <c r="K14" i="6" s="1"/>
  <c r="L14" i="6" s="1"/>
  <c r="D14" i="6"/>
  <c r="C14" i="6"/>
  <c r="J13" i="6"/>
  <c r="I13" i="6"/>
  <c r="D13" i="6"/>
  <c r="C13" i="6"/>
  <c r="J11" i="6"/>
  <c r="I11" i="6"/>
  <c r="K11" i="6" s="1"/>
  <c r="L11" i="6" s="1"/>
  <c r="D11" i="6"/>
  <c r="C11" i="6"/>
  <c r="J10" i="6"/>
  <c r="I10" i="6"/>
  <c r="K10" i="6" s="1"/>
  <c r="L10" i="6" s="1"/>
  <c r="D10" i="6"/>
  <c r="C10" i="6"/>
  <c r="J9" i="6"/>
  <c r="I9" i="6"/>
  <c r="K9" i="6" s="1"/>
  <c r="L9" i="6" s="1"/>
  <c r="D9" i="6"/>
  <c r="C9" i="6"/>
  <c r="E9" i="6" s="1"/>
  <c r="F9" i="6" s="1"/>
  <c r="J8" i="6"/>
  <c r="I8" i="6"/>
  <c r="D8" i="6"/>
  <c r="C8" i="6"/>
  <c r="C107" i="5"/>
  <c r="D107" i="5" s="1"/>
  <c r="C106" i="5"/>
  <c r="D106" i="5" s="1"/>
  <c r="C102" i="5"/>
  <c r="D102" i="5" s="1"/>
  <c r="D101" i="5"/>
  <c r="D100" i="5"/>
  <c r="F84" i="5"/>
  <c r="E82" i="5"/>
  <c r="F82" i="5" s="1"/>
  <c r="E81" i="5"/>
  <c r="F81" i="5" s="1"/>
  <c r="E79" i="5"/>
  <c r="F79" i="5" s="1"/>
  <c r="E78" i="5"/>
  <c r="F78" i="5" s="1"/>
  <c r="E77" i="5"/>
  <c r="F77" i="5" s="1"/>
  <c r="E76" i="5"/>
  <c r="F76" i="5" s="1"/>
  <c r="E75" i="5"/>
  <c r="F75" i="5" s="1"/>
  <c r="J58" i="5"/>
  <c r="J57" i="5"/>
  <c r="D58" i="5"/>
  <c r="D57" i="5"/>
  <c r="J53" i="5"/>
  <c r="D53" i="5"/>
  <c r="D52" i="5"/>
  <c r="L23" i="5"/>
  <c r="F23" i="5"/>
  <c r="K21" i="5"/>
  <c r="L21" i="5" s="1"/>
  <c r="E21" i="5"/>
  <c r="F21" i="5" s="1"/>
  <c r="I19" i="5"/>
  <c r="K19" i="5" s="1"/>
  <c r="L19" i="5" s="1"/>
  <c r="C19" i="5"/>
  <c r="E19" i="5" s="1"/>
  <c r="F19" i="5" s="1"/>
  <c r="K17" i="5"/>
  <c r="L17" i="5" s="1"/>
  <c r="E17" i="5"/>
  <c r="F17" i="5" s="1"/>
  <c r="J15" i="5"/>
  <c r="I15" i="5"/>
  <c r="K15" i="5" s="1"/>
  <c r="L15" i="5" s="1"/>
  <c r="D15" i="5"/>
  <c r="C15" i="5"/>
  <c r="J14" i="5"/>
  <c r="I14" i="5"/>
  <c r="D14" i="5"/>
  <c r="C14" i="5"/>
  <c r="J13" i="5"/>
  <c r="I13" i="5"/>
  <c r="K13" i="5" s="1"/>
  <c r="L13" i="5" s="1"/>
  <c r="D13" i="5"/>
  <c r="C13" i="5"/>
  <c r="J11" i="5"/>
  <c r="I11" i="5"/>
  <c r="D11" i="5"/>
  <c r="C11" i="5"/>
  <c r="J10" i="5"/>
  <c r="I10" i="5"/>
  <c r="K10" i="5" s="1"/>
  <c r="L10" i="5" s="1"/>
  <c r="D10" i="5"/>
  <c r="C10" i="5"/>
  <c r="E10" i="5" s="1"/>
  <c r="F10" i="5" s="1"/>
  <c r="J9" i="5"/>
  <c r="I9" i="5"/>
  <c r="K9" i="5" s="1"/>
  <c r="L9" i="5" s="1"/>
  <c r="D9" i="5"/>
  <c r="C9" i="5"/>
  <c r="J8" i="5"/>
  <c r="I8" i="5"/>
  <c r="K8" i="5" s="1"/>
  <c r="L8" i="5" s="1"/>
  <c r="D8" i="5"/>
  <c r="C8" i="5"/>
  <c r="E8" i="5" s="1"/>
  <c r="F8" i="5" s="1"/>
  <c r="C107" i="4"/>
  <c r="D107" i="4" s="1"/>
  <c r="C106" i="4"/>
  <c r="D106" i="4" s="1"/>
  <c r="C102" i="4"/>
  <c r="C108" i="4" s="1"/>
  <c r="B70" i="4" s="1"/>
  <c r="D101" i="4"/>
  <c r="D100" i="4"/>
  <c r="F84" i="4"/>
  <c r="E82" i="4"/>
  <c r="F82" i="4" s="1"/>
  <c r="E81" i="4"/>
  <c r="F81" i="4" s="1"/>
  <c r="E79" i="4"/>
  <c r="F79" i="4" s="1"/>
  <c r="E78" i="4"/>
  <c r="F78" i="4" s="1"/>
  <c r="E77" i="4"/>
  <c r="F77" i="4" s="1"/>
  <c r="E76" i="4"/>
  <c r="F76" i="4" s="1"/>
  <c r="E75" i="4"/>
  <c r="F75" i="4" s="1"/>
  <c r="J58" i="4"/>
  <c r="J57" i="4"/>
  <c r="D58" i="4"/>
  <c r="D57" i="4"/>
  <c r="J53" i="4"/>
  <c r="D53" i="4"/>
  <c r="D52" i="4"/>
  <c r="L23" i="4"/>
  <c r="F23" i="4"/>
  <c r="K21" i="4"/>
  <c r="L21" i="4" s="1"/>
  <c r="E21" i="4"/>
  <c r="F21" i="4" s="1"/>
  <c r="I19" i="4"/>
  <c r="K19" i="4" s="1"/>
  <c r="L19" i="4" s="1"/>
  <c r="C19" i="4"/>
  <c r="E19" i="4" s="1"/>
  <c r="F19" i="4" s="1"/>
  <c r="K17" i="4"/>
  <c r="L17" i="4" s="1"/>
  <c r="E17" i="4"/>
  <c r="F17" i="4" s="1"/>
  <c r="J15" i="4"/>
  <c r="I15" i="4"/>
  <c r="K15" i="4" s="1"/>
  <c r="L15" i="4" s="1"/>
  <c r="D15" i="4"/>
  <c r="C15" i="4"/>
  <c r="J14" i="4"/>
  <c r="I14" i="4"/>
  <c r="D14" i="4"/>
  <c r="C14" i="4"/>
  <c r="J13" i="4"/>
  <c r="I13" i="4"/>
  <c r="D13" i="4"/>
  <c r="C13" i="4"/>
  <c r="J11" i="4"/>
  <c r="I11" i="4"/>
  <c r="D11" i="4"/>
  <c r="C11" i="4"/>
  <c r="E11" i="4" s="1"/>
  <c r="F11" i="4" s="1"/>
  <c r="J10" i="4"/>
  <c r="I10" i="4"/>
  <c r="K10" i="4" s="1"/>
  <c r="L10" i="4" s="1"/>
  <c r="D10" i="4"/>
  <c r="C10" i="4"/>
  <c r="E10" i="4" s="1"/>
  <c r="F10" i="4" s="1"/>
  <c r="J9" i="4"/>
  <c r="I9" i="4"/>
  <c r="D9" i="4"/>
  <c r="C9" i="4"/>
  <c r="E9" i="4" s="1"/>
  <c r="F9" i="4" s="1"/>
  <c r="J8" i="4"/>
  <c r="I8" i="4"/>
  <c r="D8" i="4"/>
  <c r="C8" i="4"/>
  <c r="E8" i="4" s="1"/>
  <c r="F8" i="4" s="1"/>
  <c r="C107" i="3"/>
  <c r="D107" i="3" s="1"/>
  <c r="C106" i="3"/>
  <c r="D106" i="3" s="1"/>
  <c r="C102" i="3"/>
  <c r="C108" i="3" s="1"/>
  <c r="D101" i="3"/>
  <c r="D100" i="3"/>
  <c r="F84" i="3"/>
  <c r="E82" i="3"/>
  <c r="F82" i="3" s="1"/>
  <c r="E81" i="3"/>
  <c r="F81" i="3" s="1"/>
  <c r="E79" i="3"/>
  <c r="F79" i="3" s="1"/>
  <c r="E78" i="3"/>
  <c r="F78" i="3" s="1"/>
  <c r="E77" i="3"/>
  <c r="F77" i="3" s="1"/>
  <c r="E76" i="3"/>
  <c r="F76" i="3" s="1"/>
  <c r="E75" i="3"/>
  <c r="F75" i="3" s="1"/>
  <c r="J58" i="3"/>
  <c r="J57" i="3"/>
  <c r="D58" i="3"/>
  <c r="D57" i="3"/>
  <c r="J53" i="3"/>
  <c r="D53" i="3"/>
  <c r="D52" i="3"/>
  <c r="L23" i="3"/>
  <c r="F23" i="3"/>
  <c r="K21" i="3"/>
  <c r="L21" i="3" s="1"/>
  <c r="E21" i="3"/>
  <c r="F21" i="3" s="1"/>
  <c r="I19" i="3"/>
  <c r="K19" i="3" s="1"/>
  <c r="L19" i="3" s="1"/>
  <c r="C19" i="3"/>
  <c r="E19" i="3" s="1"/>
  <c r="F19" i="3" s="1"/>
  <c r="K17" i="3"/>
  <c r="L17" i="3" s="1"/>
  <c r="E17" i="3"/>
  <c r="F17" i="3" s="1"/>
  <c r="J15" i="3"/>
  <c r="I15" i="3"/>
  <c r="K15" i="3" s="1"/>
  <c r="L15" i="3" s="1"/>
  <c r="D15" i="3"/>
  <c r="C15" i="3"/>
  <c r="E15" i="3" s="1"/>
  <c r="F15" i="3" s="1"/>
  <c r="J14" i="3"/>
  <c r="I14" i="3"/>
  <c r="D14" i="3"/>
  <c r="C14" i="3"/>
  <c r="E14" i="3" s="1"/>
  <c r="F14" i="3" s="1"/>
  <c r="J13" i="3"/>
  <c r="I13" i="3"/>
  <c r="D13" i="3"/>
  <c r="C13" i="3"/>
  <c r="E13" i="3" s="1"/>
  <c r="F13" i="3" s="1"/>
  <c r="J11" i="3"/>
  <c r="I11" i="3"/>
  <c r="D11" i="3"/>
  <c r="C11" i="3"/>
  <c r="E11" i="3" s="1"/>
  <c r="F11" i="3" s="1"/>
  <c r="J10" i="3"/>
  <c r="I10" i="3"/>
  <c r="K10" i="3" s="1"/>
  <c r="L10" i="3" s="1"/>
  <c r="D10" i="3"/>
  <c r="C10" i="3"/>
  <c r="E10" i="3" s="1"/>
  <c r="F10" i="3" s="1"/>
  <c r="J9" i="3"/>
  <c r="I9" i="3"/>
  <c r="D9" i="3"/>
  <c r="C9" i="3"/>
  <c r="E9" i="3" s="1"/>
  <c r="F9" i="3" s="1"/>
  <c r="J8" i="3"/>
  <c r="I8" i="3"/>
  <c r="D8" i="3"/>
  <c r="C8" i="3"/>
  <c r="E8" i="3" s="1"/>
  <c r="F8" i="3" s="1"/>
  <c r="C107" i="2"/>
  <c r="D107" i="2" s="1"/>
  <c r="C106" i="2"/>
  <c r="D106" i="2" s="1"/>
  <c r="C102" i="2"/>
  <c r="D101" i="2"/>
  <c r="D100" i="2"/>
  <c r="F84" i="2"/>
  <c r="E82" i="2"/>
  <c r="F82" i="2" s="1"/>
  <c r="E81" i="2"/>
  <c r="F81" i="2" s="1"/>
  <c r="E79" i="2"/>
  <c r="F79" i="2" s="1"/>
  <c r="E78" i="2"/>
  <c r="F78" i="2" s="1"/>
  <c r="E77" i="2"/>
  <c r="F77" i="2" s="1"/>
  <c r="E76" i="2"/>
  <c r="F76" i="2" s="1"/>
  <c r="E75" i="2"/>
  <c r="F75" i="2" s="1"/>
  <c r="J58" i="2"/>
  <c r="J57" i="2"/>
  <c r="D58" i="2"/>
  <c r="D57" i="2"/>
  <c r="J53" i="2"/>
  <c r="D53" i="2"/>
  <c r="D52" i="2"/>
  <c r="L23" i="2"/>
  <c r="F23" i="2"/>
  <c r="K21" i="2"/>
  <c r="L21" i="2" s="1"/>
  <c r="E21" i="2"/>
  <c r="F21" i="2" s="1"/>
  <c r="I19" i="2"/>
  <c r="K19" i="2" s="1"/>
  <c r="L19" i="2" s="1"/>
  <c r="C19" i="2"/>
  <c r="E19" i="2" s="1"/>
  <c r="F19" i="2" s="1"/>
  <c r="K17" i="2"/>
  <c r="L17" i="2" s="1"/>
  <c r="E17" i="2"/>
  <c r="F17" i="2" s="1"/>
  <c r="J15" i="2"/>
  <c r="I15" i="2"/>
  <c r="K15" i="2" s="1"/>
  <c r="L15" i="2" s="1"/>
  <c r="D15" i="2"/>
  <c r="C15" i="2"/>
  <c r="E15" i="2" s="1"/>
  <c r="F15" i="2" s="1"/>
  <c r="J14" i="2"/>
  <c r="I14" i="2"/>
  <c r="D14" i="2"/>
  <c r="C14" i="2"/>
  <c r="J13" i="2"/>
  <c r="I13" i="2"/>
  <c r="K13" i="2" s="1"/>
  <c r="L13" i="2" s="1"/>
  <c r="D13" i="2"/>
  <c r="C13" i="2"/>
  <c r="E13" i="2" s="1"/>
  <c r="F13" i="2" s="1"/>
  <c r="J11" i="2"/>
  <c r="I11" i="2"/>
  <c r="K11" i="2" s="1"/>
  <c r="L11" i="2" s="1"/>
  <c r="D11" i="2"/>
  <c r="C11" i="2"/>
  <c r="J10" i="2"/>
  <c r="I10" i="2"/>
  <c r="K10" i="2" s="1"/>
  <c r="L10" i="2" s="1"/>
  <c r="D10" i="2"/>
  <c r="C10" i="2"/>
  <c r="E10" i="2" s="1"/>
  <c r="F10" i="2" s="1"/>
  <c r="J9" i="2"/>
  <c r="I9" i="2"/>
  <c r="D9" i="2"/>
  <c r="C9" i="2"/>
  <c r="J8" i="2"/>
  <c r="I8" i="2"/>
  <c r="K8" i="2" s="1"/>
  <c r="L8" i="2" s="1"/>
  <c r="D8" i="2"/>
  <c r="C8" i="2"/>
  <c r="E8" i="2" s="1"/>
  <c r="F8" i="2" s="1"/>
  <c r="C107" i="1"/>
  <c r="D107" i="1" s="1"/>
  <c r="C106" i="1"/>
  <c r="D106" i="1" s="1"/>
  <c r="C102" i="1"/>
  <c r="D102" i="1" s="1"/>
  <c r="D101" i="1"/>
  <c r="D100" i="1"/>
  <c r="F84" i="1"/>
  <c r="E82" i="1"/>
  <c r="F82" i="1" s="1"/>
  <c r="E81" i="1"/>
  <c r="F81" i="1" s="1"/>
  <c r="E79" i="1"/>
  <c r="F79" i="1" s="1"/>
  <c r="E78" i="1"/>
  <c r="F78" i="1" s="1"/>
  <c r="E77" i="1"/>
  <c r="F77" i="1" s="1"/>
  <c r="E76" i="1"/>
  <c r="F76" i="1" s="1"/>
  <c r="E75" i="1"/>
  <c r="F75" i="1" s="1"/>
  <c r="J57" i="1"/>
  <c r="D58" i="1"/>
  <c r="J56" i="1"/>
  <c r="D57" i="1"/>
  <c r="J53" i="1"/>
  <c r="D53" i="1"/>
  <c r="J51" i="1"/>
  <c r="D52" i="1"/>
  <c r="L23" i="1"/>
  <c r="F23" i="1"/>
  <c r="K21" i="1"/>
  <c r="L21" i="1" s="1"/>
  <c r="E21" i="1"/>
  <c r="F21" i="1" s="1"/>
  <c r="I19" i="1"/>
  <c r="K19" i="1" s="1"/>
  <c r="L19" i="1" s="1"/>
  <c r="C19" i="1"/>
  <c r="E19" i="1" s="1"/>
  <c r="F19" i="1" s="1"/>
  <c r="K17" i="1"/>
  <c r="L17" i="1" s="1"/>
  <c r="E17" i="1"/>
  <c r="F17" i="1" s="1"/>
  <c r="J15" i="1"/>
  <c r="I15" i="1"/>
  <c r="K15" i="1" s="1"/>
  <c r="L15" i="1" s="1"/>
  <c r="D15" i="1"/>
  <c r="C15" i="1"/>
  <c r="J14" i="1"/>
  <c r="I14" i="1"/>
  <c r="D14" i="1"/>
  <c r="C14" i="1"/>
  <c r="E14" i="1" s="1"/>
  <c r="F14" i="1" s="1"/>
  <c r="J13" i="1"/>
  <c r="I13" i="1"/>
  <c r="D13" i="1"/>
  <c r="C13" i="1"/>
  <c r="J11" i="1"/>
  <c r="I11" i="1"/>
  <c r="D11" i="1"/>
  <c r="C11" i="1"/>
  <c r="J10" i="1"/>
  <c r="I10" i="1"/>
  <c r="K10" i="1" s="1"/>
  <c r="L10" i="1" s="1"/>
  <c r="D10" i="1"/>
  <c r="C10" i="1"/>
  <c r="J9" i="1"/>
  <c r="I9" i="1"/>
  <c r="D9" i="1"/>
  <c r="C9" i="1"/>
  <c r="E9" i="1" s="1"/>
  <c r="F9" i="1" s="1"/>
  <c r="J8" i="1"/>
  <c r="I8" i="1"/>
  <c r="D8" i="1"/>
  <c r="C8" i="1"/>
  <c r="C108" i="31" l="1"/>
  <c r="K13" i="26"/>
  <c r="L13" i="26" s="1"/>
  <c r="E9" i="21"/>
  <c r="F9" i="21" s="1"/>
  <c r="E14" i="21"/>
  <c r="F14" i="21" s="1"/>
  <c r="E11" i="22"/>
  <c r="F11" i="22" s="1"/>
  <c r="E14" i="23"/>
  <c r="F14" i="23" s="1"/>
  <c r="E14" i="25"/>
  <c r="F14" i="25" s="1"/>
  <c r="E11" i="28"/>
  <c r="F11" i="28" s="1"/>
  <c r="E9" i="29"/>
  <c r="F9" i="29" s="1"/>
  <c r="E11" i="30"/>
  <c r="F11" i="30" s="1"/>
  <c r="D108" i="30"/>
  <c r="C70" i="30" s="1"/>
  <c r="B70" i="30"/>
  <c r="H64" i="30" s="1"/>
  <c r="C108" i="7"/>
  <c r="B70" i="7" s="1"/>
  <c r="H64" i="7" s="1"/>
  <c r="E15" i="7"/>
  <c r="F15" i="7" s="1"/>
  <c r="D102" i="30"/>
  <c r="D108" i="4"/>
  <c r="C70" i="4" s="1"/>
  <c r="C108" i="29"/>
  <c r="D108" i="29" s="1"/>
  <c r="C70" i="29" s="1"/>
  <c r="C108" i="33"/>
  <c r="B70" i="33" s="1"/>
  <c r="K11" i="15"/>
  <c r="L11" i="15" s="1"/>
  <c r="K9" i="16"/>
  <c r="L9" i="16" s="1"/>
  <c r="K14" i="16"/>
  <c r="L14" i="16" s="1"/>
  <c r="E11" i="21"/>
  <c r="F11" i="21" s="1"/>
  <c r="K15" i="23"/>
  <c r="L15" i="23" s="1"/>
  <c r="K8" i="24"/>
  <c r="L8" i="24" s="1"/>
  <c r="K13" i="24"/>
  <c r="L13" i="24" s="1"/>
  <c r="K10" i="25"/>
  <c r="L10" i="25" s="1"/>
  <c r="K15" i="25"/>
  <c r="L15" i="25" s="1"/>
  <c r="K10" i="32"/>
  <c r="L10" i="32" s="1"/>
  <c r="K15" i="32"/>
  <c r="L15" i="32" s="1"/>
  <c r="K8" i="33"/>
  <c r="L8" i="33" s="1"/>
  <c r="K13" i="33"/>
  <c r="L13" i="33" s="1"/>
  <c r="E13" i="13"/>
  <c r="F13" i="13" s="1"/>
  <c r="K9" i="20"/>
  <c r="L9" i="20" s="1"/>
  <c r="K10" i="29"/>
  <c r="L10" i="29" s="1"/>
  <c r="K15" i="29"/>
  <c r="L15" i="29" s="1"/>
  <c r="K10" i="36"/>
  <c r="L10" i="36" s="1"/>
  <c r="K15" i="36"/>
  <c r="L15" i="36" s="1"/>
  <c r="B70" i="26"/>
  <c r="B64" i="26" s="1"/>
  <c r="K13" i="1"/>
  <c r="L13" i="1" s="1"/>
  <c r="K13" i="14"/>
  <c r="L13" i="14" s="1"/>
  <c r="C108" i="21"/>
  <c r="D108" i="21" s="1"/>
  <c r="C70" i="21" s="1"/>
  <c r="K11" i="4"/>
  <c r="L11" i="4" s="1"/>
  <c r="E14" i="5"/>
  <c r="F14" i="5" s="1"/>
  <c r="E11" i="6"/>
  <c r="F11" i="6" s="1"/>
  <c r="E14" i="7"/>
  <c r="F14" i="7" s="1"/>
  <c r="E10" i="14"/>
  <c r="F10" i="14" s="1"/>
  <c r="E10" i="16"/>
  <c r="F10" i="16" s="1"/>
  <c r="E15" i="16"/>
  <c r="F15" i="16" s="1"/>
  <c r="E8" i="17"/>
  <c r="F8" i="17" s="1"/>
  <c r="E13" i="17"/>
  <c r="F13" i="17" s="1"/>
  <c r="K14" i="20"/>
  <c r="L14" i="20" s="1"/>
  <c r="E9" i="22"/>
  <c r="F9" i="22" s="1"/>
  <c r="E11" i="23"/>
  <c r="F11" i="23" s="1"/>
  <c r="E9" i="24"/>
  <c r="F9" i="24" s="1"/>
  <c r="E14" i="24"/>
  <c r="F14" i="24" s="1"/>
  <c r="E11" i="25"/>
  <c r="F11" i="25" s="1"/>
  <c r="K9" i="31"/>
  <c r="L9" i="31" s="1"/>
  <c r="K14" i="31"/>
  <c r="L14" i="31" s="1"/>
  <c r="E9" i="33"/>
  <c r="F9" i="33" s="1"/>
  <c r="E14" i="33"/>
  <c r="F14" i="33" s="1"/>
  <c r="K8" i="37"/>
  <c r="L8" i="37" s="1"/>
  <c r="K13" i="37"/>
  <c r="L13" i="37" s="1"/>
  <c r="C108" i="1"/>
  <c r="B70" i="1" s="1"/>
  <c r="B64" i="1" s="1"/>
  <c r="K9" i="22"/>
  <c r="L9" i="22" s="1"/>
  <c r="E9" i="25"/>
  <c r="F9" i="25" s="1"/>
  <c r="K10" i="37"/>
  <c r="L10" i="37" s="1"/>
  <c r="E15" i="28"/>
  <c r="F15" i="28" s="1"/>
  <c r="K13" i="8"/>
  <c r="L13" i="8" s="1"/>
  <c r="C108" i="16"/>
  <c r="D108" i="16" s="1"/>
  <c r="C70" i="16" s="1"/>
  <c r="K10" i="19"/>
  <c r="L10" i="19" s="1"/>
  <c r="K15" i="19"/>
  <c r="L15" i="19" s="1"/>
  <c r="K15" i="6"/>
  <c r="L15" i="6" s="1"/>
  <c r="C108" i="36"/>
  <c r="B70" i="36" s="1"/>
  <c r="H64" i="36" s="1"/>
  <c r="K8" i="1"/>
  <c r="L8" i="1" s="1"/>
  <c r="K9" i="2"/>
  <c r="L9" i="2" s="1"/>
  <c r="K14" i="2"/>
  <c r="L14" i="2" s="1"/>
  <c r="K9" i="8"/>
  <c r="L9" i="8" s="1"/>
  <c r="K14" i="8"/>
  <c r="L14" i="8" s="1"/>
  <c r="E8" i="10"/>
  <c r="F8" i="10" s="1"/>
  <c r="K11" i="10"/>
  <c r="L11" i="10" s="1"/>
  <c r="K13" i="11"/>
  <c r="L13" i="11" s="1"/>
  <c r="E10" i="12"/>
  <c r="F10" i="12" s="1"/>
  <c r="K8" i="14"/>
  <c r="L8" i="14" s="1"/>
  <c r="K8" i="17"/>
  <c r="L8" i="17" s="1"/>
  <c r="K13" i="17"/>
  <c r="L13" i="17" s="1"/>
  <c r="E9" i="20"/>
  <c r="F9" i="20" s="1"/>
  <c r="B70" i="22"/>
  <c r="K8" i="29"/>
  <c r="L8" i="29" s="1"/>
  <c r="K13" i="29"/>
  <c r="L13" i="29" s="1"/>
  <c r="E10" i="30"/>
  <c r="F10" i="30" s="1"/>
  <c r="K11" i="32"/>
  <c r="L11" i="32" s="1"/>
  <c r="K9" i="33"/>
  <c r="L9" i="33" s="1"/>
  <c r="K14" i="33"/>
  <c r="L14" i="33" s="1"/>
  <c r="E8" i="37"/>
  <c r="F8" i="37" s="1"/>
  <c r="E13" i="37"/>
  <c r="F13" i="37" s="1"/>
  <c r="E9" i="9"/>
  <c r="F9" i="9" s="1"/>
  <c r="D102" i="19"/>
  <c r="E8" i="27"/>
  <c r="F8" i="27" s="1"/>
  <c r="C108" i="37"/>
  <c r="D108" i="37" s="1"/>
  <c r="C70" i="37" s="1"/>
  <c r="K8" i="4"/>
  <c r="L8" i="4" s="1"/>
  <c r="K13" i="4"/>
  <c r="L13" i="4" s="1"/>
  <c r="K9" i="7"/>
  <c r="L9" i="7" s="1"/>
  <c r="E9" i="26"/>
  <c r="F9" i="26" s="1"/>
  <c r="E13" i="28"/>
  <c r="F13" i="28" s="1"/>
  <c r="K15" i="30"/>
  <c r="L15" i="30" s="1"/>
  <c r="K13" i="3"/>
  <c r="L13" i="3" s="1"/>
  <c r="K14" i="4"/>
  <c r="L14" i="4" s="1"/>
  <c r="K13" i="6"/>
  <c r="L13" i="6" s="1"/>
  <c r="K8" i="13"/>
  <c r="L8" i="13" s="1"/>
  <c r="K13" i="13"/>
  <c r="L13" i="13" s="1"/>
  <c r="K8" i="19"/>
  <c r="L8" i="19" s="1"/>
  <c r="K13" i="19"/>
  <c r="L13" i="19" s="1"/>
  <c r="E15" i="20"/>
  <c r="F15" i="20" s="1"/>
  <c r="K8" i="22"/>
  <c r="L8" i="22" s="1"/>
  <c r="K9" i="23"/>
  <c r="L9" i="23" s="1"/>
  <c r="K14" i="23"/>
  <c r="L14" i="23" s="1"/>
  <c r="K10" i="24"/>
  <c r="L10" i="24" s="1"/>
  <c r="K15" i="24"/>
  <c r="L15" i="24" s="1"/>
  <c r="K8" i="28"/>
  <c r="L8" i="28" s="1"/>
  <c r="K13" i="28"/>
  <c r="L13" i="28" s="1"/>
  <c r="E8" i="31"/>
  <c r="F8" i="31" s="1"/>
  <c r="E13" i="31"/>
  <c r="F13" i="31" s="1"/>
  <c r="E8" i="36"/>
  <c r="F8" i="36" s="1"/>
  <c r="E14" i="37"/>
  <c r="F14" i="37" s="1"/>
  <c r="E15" i="15"/>
  <c r="F15" i="15" s="1"/>
  <c r="E10" i="11"/>
  <c r="F10" i="11" s="1"/>
  <c r="K15" i="16"/>
  <c r="L15" i="16" s="1"/>
  <c r="E11" i="17"/>
  <c r="F11" i="17" s="1"/>
  <c r="K8" i="18"/>
  <c r="L8" i="18" s="1"/>
  <c r="K13" i="18"/>
  <c r="L13" i="18" s="1"/>
  <c r="D102" i="15"/>
  <c r="D102" i="23"/>
  <c r="K9" i="14"/>
  <c r="L9" i="14" s="1"/>
  <c r="K9" i="3"/>
  <c r="L9" i="3" s="1"/>
  <c r="K14" i="3"/>
  <c r="L14" i="3" s="1"/>
  <c r="E15" i="4"/>
  <c r="F15" i="4" s="1"/>
  <c r="K14" i="7"/>
  <c r="L14" i="7" s="1"/>
  <c r="K14" i="14"/>
  <c r="L14" i="14" s="1"/>
  <c r="D102" i="2"/>
  <c r="C108" i="2"/>
  <c r="E11" i="31"/>
  <c r="F11" i="31" s="1"/>
  <c r="E11" i="2"/>
  <c r="F11" i="2" s="1"/>
  <c r="K8" i="30"/>
  <c r="L8" i="30" s="1"/>
  <c r="E8" i="33"/>
  <c r="F8" i="33" s="1"/>
  <c r="E13" i="33"/>
  <c r="F13" i="33" s="1"/>
  <c r="K13" i="30"/>
  <c r="L13" i="30" s="1"/>
  <c r="D108" i="25"/>
  <c r="C70" i="25" s="1"/>
  <c r="B70" i="25"/>
  <c r="H64" i="25" s="1"/>
  <c r="E11" i="16"/>
  <c r="F11" i="16" s="1"/>
  <c r="E10" i="15"/>
  <c r="F10" i="15" s="1"/>
  <c r="E14" i="26"/>
  <c r="F14" i="26" s="1"/>
  <c r="D102" i="11"/>
  <c r="E9" i="16"/>
  <c r="F9" i="16" s="1"/>
  <c r="E14" i="16"/>
  <c r="F14" i="16" s="1"/>
  <c r="E9" i="17"/>
  <c r="F9" i="17" s="1"/>
  <c r="B70" i="19"/>
  <c r="D108" i="19"/>
  <c r="C70" i="19" s="1"/>
  <c r="D102" i="25"/>
  <c r="K8" i="6"/>
  <c r="L8" i="6" s="1"/>
  <c r="D108" i="7"/>
  <c r="C70" i="7" s="1"/>
  <c r="K9" i="32"/>
  <c r="L9" i="32" s="1"/>
  <c r="D102" i="34"/>
  <c r="E11" i="35"/>
  <c r="F11" i="35" s="1"/>
  <c r="E9" i="5"/>
  <c r="F9" i="5" s="1"/>
  <c r="K9" i="17"/>
  <c r="L9" i="17" s="1"/>
  <c r="K14" i="17"/>
  <c r="L14" i="17" s="1"/>
  <c r="K11" i="19"/>
  <c r="L11" i="19" s="1"/>
  <c r="K10" i="34"/>
  <c r="L10" i="34" s="1"/>
  <c r="K15" i="34"/>
  <c r="L15" i="34" s="1"/>
  <c r="E9" i="27"/>
  <c r="F9" i="27" s="1"/>
  <c r="K9" i="1"/>
  <c r="L9" i="1" s="1"/>
  <c r="K9" i="18"/>
  <c r="L9" i="18" s="1"/>
  <c r="E9" i="2"/>
  <c r="F9" i="2" s="1"/>
  <c r="E9" i="23"/>
  <c r="F9" i="23" s="1"/>
  <c r="E14" i="2"/>
  <c r="F14" i="2" s="1"/>
  <c r="E14" i="17"/>
  <c r="F14" i="17" s="1"/>
  <c r="E8" i="25"/>
  <c r="F8" i="25" s="1"/>
  <c r="E13" i="25"/>
  <c r="F13" i="25" s="1"/>
  <c r="E11" i="26"/>
  <c r="F11" i="26" s="1"/>
  <c r="E14" i="27"/>
  <c r="F14" i="27" s="1"/>
  <c r="E10" i="29"/>
  <c r="F10" i="29" s="1"/>
  <c r="D102" i="35"/>
  <c r="K14" i="18"/>
  <c r="L14" i="18" s="1"/>
  <c r="K14" i="1"/>
  <c r="L14" i="1" s="1"/>
  <c r="E10" i="1"/>
  <c r="F10" i="1" s="1"/>
  <c r="E15" i="1"/>
  <c r="F15" i="1" s="1"/>
  <c r="K9" i="4"/>
  <c r="L9" i="4" s="1"/>
  <c r="E14" i="4"/>
  <c r="F14" i="4" s="1"/>
  <c r="E13" i="8"/>
  <c r="F13" i="8" s="1"/>
  <c r="K9" i="15"/>
  <c r="L9" i="15" s="1"/>
  <c r="K14" i="24"/>
  <c r="L14" i="24" s="1"/>
  <c r="K13" i="25"/>
  <c r="L13" i="25" s="1"/>
  <c r="E8" i="30"/>
  <c r="F8" i="30" s="1"/>
  <c r="K11" i="30"/>
  <c r="L11" i="30" s="1"/>
  <c r="K10" i="31"/>
  <c r="L10" i="31" s="1"/>
  <c r="E9" i="36"/>
  <c r="F9" i="36" s="1"/>
  <c r="E14" i="36"/>
  <c r="F14" i="36" s="1"/>
  <c r="E9" i="37"/>
  <c r="F9" i="37" s="1"/>
  <c r="K11" i="17"/>
  <c r="L11" i="17" s="1"/>
  <c r="K11" i="18"/>
  <c r="L11" i="18" s="1"/>
  <c r="E11" i="27"/>
  <c r="F11" i="27" s="1"/>
  <c r="E14" i="31"/>
  <c r="F14" i="31" s="1"/>
  <c r="E8" i="19"/>
  <c r="F8" i="19" s="1"/>
  <c r="E13" i="19"/>
  <c r="F13" i="19" s="1"/>
  <c r="E9" i="35"/>
  <c r="F9" i="35" s="1"/>
  <c r="E14" i="35"/>
  <c r="F14" i="35" s="1"/>
  <c r="K14" i="36"/>
  <c r="L14" i="36" s="1"/>
  <c r="E11" i="1"/>
  <c r="F11" i="1" s="1"/>
  <c r="E13" i="5"/>
  <c r="F13" i="5" s="1"/>
  <c r="K13" i="16"/>
  <c r="L13" i="16" s="1"/>
  <c r="E8" i="18"/>
  <c r="F8" i="18" s="1"/>
  <c r="E13" i="18"/>
  <c r="F13" i="18" s="1"/>
  <c r="E8" i="20"/>
  <c r="F8" i="20" s="1"/>
  <c r="K11" i="20"/>
  <c r="L11" i="20" s="1"/>
  <c r="E11" i="24"/>
  <c r="F11" i="24" s="1"/>
  <c r="K11" i="27"/>
  <c r="L11" i="27" s="1"/>
  <c r="K11" i="29"/>
  <c r="L11" i="29" s="1"/>
  <c r="K9" i="35"/>
  <c r="L9" i="35" s="1"/>
  <c r="K14" i="35"/>
  <c r="L14" i="35" s="1"/>
  <c r="E10" i="36"/>
  <c r="F10" i="36" s="1"/>
  <c r="E15" i="36"/>
  <c r="F15" i="36" s="1"/>
  <c r="K9" i="27"/>
  <c r="L9" i="27" s="1"/>
  <c r="K14" i="27"/>
  <c r="L14" i="27" s="1"/>
  <c r="K9" i="28"/>
  <c r="L9" i="28" s="1"/>
  <c r="K11" i="1"/>
  <c r="L11" i="1" s="1"/>
  <c r="K11" i="3"/>
  <c r="L11" i="3" s="1"/>
  <c r="E10" i="18"/>
  <c r="F10" i="18" s="1"/>
  <c r="E10" i="19"/>
  <c r="F10" i="19" s="1"/>
  <c r="E10" i="25"/>
  <c r="F10" i="25" s="1"/>
  <c r="K8" i="34"/>
  <c r="L8" i="34" s="1"/>
  <c r="K13" i="34"/>
  <c r="L13" i="34" s="1"/>
  <c r="E13" i="1"/>
  <c r="F13" i="1" s="1"/>
  <c r="K8" i="3"/>
  <c r="L8" i="3" s="1"/>
  <c r="E13" i="4"/>
  <c r="F13" i="4" s="1"/>
  <c r="E11" i="5"/>
  <c r="F11" i="5" s="1"/>
  <c r="E10" i="6"/>
  <c r="F10" i="6" s="1"/>
  <c r="E9" i="7"/>
  <c r="F9" i="7" s="1"/>
  <c r="K10" i="8"/>
  <c r="L10" i="8" s="1"/>
  <c r="E8" i="12"/>
  <c r="F8" i="12" s="1"/>
  <c r="K11" i="12"/>
  <c r="L11" i="12" s="1"/>
  <c r="E8" i="15"/>
  <c r="F8" i="15" s="1"/>
  <c r="E13" i="15"/>
  <c r="F13" i="15" s="1"/>
  <c r="E14" i="20"/>
  <c r="F14" i="20" s="1"/>
  <c r="E8" i="21"/>
  <c r="F8" i="21" s="1"/>
  <c r="E14" i="22"/>
  <c r="F14" i="22" s="1"/>
  <c r="K10" i="28"/>
  <c r="L10" i="28" s="1"/>
  <c r="E14" i="29"/>
  <c r="F14" i="29" s="1"/>
  <c r="E9" i="31"/>
  <c r="F9" i="31" s="1"/>
  <c r="E11" i="32"/>
  <c r="F11" i="32" s="1"/>
  <c r="K10" i="33"/>
  <c r="L10" i="33" s="1"/>
  <c r="K8" i="35"/>
  <c r="L8" i="35" s="1"/>
  <c r="K13" i="35"/>
  <c r="L13" i="35" s="1"/>
  <c r="E13" i="36"/>
  <c r="F13" i="36" s="1"/>
  <c r="E8" i="1"/>
  <c r="F8" i="1" s="1"/>
  <c r="E8" i="7"/>
  <c r="F8" i="7" s="1"/>
  <c r="K11" i="14"/>
  <c r="L11" i="14" s="1"/>
  <c r="K14" i="32"/>
  <c r="L14" i="32" s="1"/>
  <c r="E15" i="5"/>
  <c r="F15" i="5" s="1"/>
  <c r="E15" i="18"/>
  <c r="F15" i="18" s="1"/>
  <c r="E15" i="19"/>
  <c r="F15" i="19" s="1"/>
  <c r="E14" i="6"/>
  <c r="F14" i="6" s="1"/>
  <c r="K13" i="22"/>
  <c r="L13" i="22" s="1"/>
  <c r="D102" i="22"/>
  <c r="K8" i="26"/>
  <c r="L8" i="26" s="1"/>
  <c r="D102" i="26"/>
  <c r="K14" i="28"/>
  <c r="L14" i="28" s="1"/>
  <c r="E10" i="33"/>
  <c r="F10" i="33" s="1"/>
  <c r="K11" i="36"/>
  <c r="L11" i="36" s="1"/>
  <c r="D108" i="3"/>
  <c r="C70" i="3" s="1"/>
  <c r="B70" i="3"/>
  <c r="H64" i="4"/>
  <c r="B64" i="4"/>
  <c r="E8" i="8"/>
  <c r="F8" i="8" s="1"/>
  <c r="K10" i="9"/>
  <c r="L10" i="9" s="1"/>
  <c r="C108" i="9"/>
  <c r="E13" i="14"/>
  <c r="F13" i="14" s="1"/>
  <c r="C108" i="14"/>
  <c r="D102" i="14"/>
  <c r="K15" i="15"/>
  <c r="L15" i="15" s="1"/>
  <c r="D102" i="4"/>
  <c r="C108" i="5"/>
  <c r="K15" i="7"/>
  <c r="L15" i="7" s="1"/>
  <c r="E15" i="10"/>
  <c r="F15" i="10" s="1"/>
  <c r="K15" i="11"/>
  <c r="L15" i="11" s="1"/>
  <c r="E14" i="12"/>
  <c r="F14" i="12" s="1"/>
  <c r="E8" i="6"/>
  <c r="F8" i="6" s="1"/>
  <c r="H64" i="15"/>
  <c r="B64" i="15"/>
  <c r="K8" i="9"/>
  <c r="L8" i="9" s="1"/>
  <c r="K11" i="13"/>
  <c r="L11" i="13" s="1"/>
  <c r="K8" i="15"/>
  <c r="L8" i="15" s="1"/>
  <c r="D108" i="17"/>
  <c r="C70" i="17" s="1"/>
  <c r="B70" i="17"/>
  <c r="B70" i="11"/>
  <c r="D108" i="11"/>
  <c r="C70" i="11" s="1"/>
  <c r="C108" i="6"/>
  <c r="C108" i="13"/>
  <c r="D102" i="13"/>
  <c r="E15" i="14"/>
  <c r="F15" i="14" s="1"/>
  <c r="C108" i="10"/>
  <c r="D102" i="10"/>
  <c r="C108" i="18"/>
  <c r="D102" i="18"/>
  <c r="B70" i="27"/>
  <c r="D108" i="27"/>
  <c r="C70" i="27" s="1"/>
  <c r="K14" i="5"/>
  <c r="L14" i="5" s="1"/>
  <c r="E13" i="6"/>
  <c r="F13" i="6" s="1"/>
  <c r="E10" i="8"/>
  <c r="F10" i="8" s="1"/>
  <c r="K9" i="9"/>
  <c r="L9" i="9" s="1"/>
  <c r="K13" i="9"/>
  <c r="L13" i="9" s="1"/>
  <c r="K9" i="13"/>
  <c r="L9" i="13" s="1"/>
  <c r="D102" i="3"/>
  <c r="B64" i="19"/>
  <c r="H64" i="19"/>
  <c r="D102" i="32"/>
  <c r="C108" i="32"/>
  <c r="K11" i="5"/>
  <c r="L11" i="5" s="1"/>
  <c r="K8" i="7"/>
  <c r="L8" i="7" s="1"/>
  <c r="C108" i="8"/>
  <c r="D102" i="8"/>
  <c r="E9" i="12"/>
  <c r="F9" i="12" s="1"/>
  <c r="E8" i="14"/>
  <c r="F8" i="14" s="1"/>
  <c r="K10" i="15"/>
  <c r="L10" i="15" s="1"/>
  <c r="D108" i="12"/>
  <c r="C70" i="12" s="1"/>
  <c r="B70" i="12"/>
  <c r="K14" i="13"/>
  <c r="L14" i="13" s="1"/>
  <c r="E13" i="22"/>
  <c r="F13" i="22" s="1"/>
  <c r="K8" i="23"/>
  <c r="L8" i="23" s="1"/>
  <c r="K11" i="25"/>
  <c r="L11" i="25" s="1"/>
  <c r="K15" i="31"/>
  <c r="L15" i="31" s="1"/>
  <c r="D108" i="15"/>
  <c r="C70" i="15" s="1"/>
  <c r="E13" i="26"/>
  <c r="F13" i="26" s="1"/>
  <c r="K15" i="27"/>
  <c r="L15" i="27" s="1"/>
  <c r="D102" i="28"/>
  <c r="C108" i="28"/>
  <c r="K14" i="29"/>
  <c r="L14" i="29" s="1"/>
  <c r="K8" i="31"/>
  <c r="L8" i="31" s="1"/>
  <c r="D102" i="17"/>
  <c r="K14" i="21"/>
  <c r="L14" i="21" s="1"/>
  <c r="E10" i="22"/>
  <c r="F10" i="22" s="1"/>
  <c r="K9" i="25"/>
  <c r="L9" i="25" s="1"/>
  <c r="B70" i="35"/>
  <c r="D108" i="35"/>
  <c r="C70" i="35" s="1"/>
  <c r="K11" i="21"/>
  <c r="L11" i="21" s="1"/>
  <c r="H64" i="23"/>
  <c r="E10" i="26"/>
  <c r="F10" i="26" s="1"/>
  <c r="H64" i="26"/>
  <c r="K13" i="27"/>
  <c r="L13" i="27" s="1"/>
  <c r="E14" i="28"/>
  <c r="F14" i="28" s="1"/>
  <c r="E13" i="30"/>
  <c r="F13" i="30" s="1"/>
  <c r="D102" i="12"/>
  <c r="D102" i="20"/>
  <c r="C108" i="20"/>
  <c r="D102" i="24"/>
  <c r="C108" i="24"/>
  <c r="K9" i="21"/>
  <c r="L9" i="21" s="1"/>
  <c r="D102" i="27"/>
  <c r="B64" i="30"/>
  <c r="E8" i="22"/>
  <c r="F8" i="22" s="1"/>
  <c r="E15" i="22"/>
  <c r="F15" i="22" s="1"/>
  <c r="K10" i="23"/>
  <c r="L10" i="23" s="1"/>
  <c r="K14" i="25"/>
  <c r="L14" i="25" s="1"/>
  <c r="B70" i="31"/>
  <c r="D108" i="31"/>
  <c r="C70" i="31" s="1"/>
  <c r="B70" i="34"/>
  <c r="D108" i="34"/>
  <c r="C70" i="34" s="1"/>
  <c r="D108" i="23"/>
  <c r="C70" i="23" s="1"/>
  <c r="K9" i="29"/>
  <c r="L9" i="29" s="1"/>
  <c r="B70" i="29" l="1"/>
  <c r="H64" i="29" s="1"/>
  <c r="H64" i="1"/>
  <c r="D108" i="1"/>
  <c r="C70" i="1" s="1"/>
  <c r="H64" i="33"/>
  <c r="B64" i="33"/>
  <c r="D108" i="33"/>
  <c r="C70" i="33" s="1"/>
  <c r="B70" i="21"/>
  <c r="H64" i="21" s="1"/>
  <c r="B64" i="25"/>
  <c r="B70" i="37"/>
  <c r="H64" i="37" s="1"/>
  <c r="D108" i="36"/>
  <c r="C70" i="36" s="1"/>
  <c r="B64" i="21"/>
  <c r="B64" i="36"/>
  <c r="B64" i="22"/>
  <c r="H64" i="22"/>
  <c r="B70" i="16"/>
  <c r="B64" i="16" s="1"/>
  <c r="B64" i="7"/>
  <c r="D108" i="2"/>
  <c r="C70" i="2" s="1"/>
  <c r="B70" i="2"/>
  <c r="B64" i="12"/>
  <c r="H64" i="12"/>
  <c r="B64" i="35"/>
  <c r="H64" i="35"/>
  <c r="D108" i="6"/>
  <c r="C70" i="6" s="1"/>
  <c r="B70" i="6"/>
  <c r="B70" i="24"/>
  <c r="D108" i="24"/>
  <c r="C70" i="24" s="1"/>
  <c r="D108" i="5"/>
  <c r="C70" i="5" s="1"/>
  <c r="B70" i="5"/>
  <c r="H64" i="34"/>
  <c r="B64" i="34"/>
  <c r="B70" i="28"/>
  <c r="D108" i="28"/>
  <c r="C70" i="28" s="1"/>
  <c r="D108" i="8"/>
  <c r="C70" i="8" s="1"/>
  <c r="B70" i="8"/>
  <c r="D108" i="9"/>
  <c r="C70" i="9" s="1"/>
  <c r="B70" i="9"/>
  <c r="B70" i="20"/>
  <c r="D108" i="20"/>
  <c r="C70" i="20" s="1"/>
  <c r="H64" i="11"/>
  <c r="B64" i="11"/>
  <c r="B64" i="17"/>
  <c r="H64" i="17"/>
  <c r="D108" i="18"/>
  <c r="C70" i="18" s="1"/>
  <c r="B70" i="18"/>
  <c r="D108" i="10"/>
  <c r="C70" i="10" s="1"/>
  <c r="B70" i="10"/>
  <c r="D108" i="14"/>
  <c r="C70" i="14" s="1"/>
  <c r="B70" i="14"/>
  <c r="B64" i="27"/>
  <c r="H64" i="27"/>
  <c r="B70" i="32"/>
  <c r="D108" i="32"/>
  <c r="C70" i="32" s="1"/>
  <c r="B64" i="31"/>
  <c r="H64" i="31"/>
  <c r="B64" i="37"/>
  <c r="B64" i="3"/>
  <c r="H64" i="3"/>
  <c r="D108" i="13"/>
  <c r="C70" i="13" s="1"/>
  <c r="B70" i="13"/>
  <c r="B64" i="29" l="1"/>
  <c r="H64" i="16"/>
  <c r="B64" i="2"/>
  <c r="H64" i="2"/>
  <c r="H64" i="28"/>
  <c r="B64" i="28"/>
  <c r="H64" i="10"/>
  <c r="B64" i="10"/>
  <c r="H64" i="18"/>
  <c r="B64" i="18"/>
  <c r="B64" i="13"/>
  <c r="H64" i="13"/>
  <c r="H64" i="14"/>
  <c r="B64" i="14"/>
  <c r="H64" i="32"/>
  <c r="B64" i="32"/>
  <c r="B64" i="5"/>
  <c r="H64" i="5"/>
  <c r="H64" i="24"/>
  <c r="B64" i="24"/>
  <c r="B64" i="6"/>
  <c r="H64" i="6"/>
  <c r="H64" i="20"/>
  <c r="B64" i="20"/>
  <c r="B64" i="8"/>
  <c r="H64" i="8"/>
  <c r="B64" i="9"/>
  <c r="H64" i="9"/>
</calcChain>
</file>

<file path=xl/sharedStrings.xml><?xml version="1.0" encoding="utf-8"?>
<sst xmlns="http://schemas.openxmlformats.org/spreadsheetml/2006/main" count="7946" uniqueCount="62">
  <si>
    <t>RFC Microgrid</t>
  </si>
  <si>
    <t>Worst case costs (USD)</t>
  </si>
  <si>
    <t>NREL costs (USD)</t>
  </si>
  <si>
    <t>Turbine</t>
  </si>
  <si>
    <t>CAPEX</t>
  </si>
  <si>
    <t>OPEX</t>
  </si>
  <si>
    <t>Annual costs</t>
  </si>
  <si>
    <t>25 year costs</t>
  </si>
  <si>
    <t xml:space="preserve">100 kW </t>
  </si>
  <si>
    <t>100 kW</t>
  </si>
  <si>
    <t>500 kW</t>
  </si>
  <si>
    <t>800 kW</t>
  </si>
  <si>
    <t>1500 kW</t>
  </si>
  <si>
    <t>RFC</t>
  </si>
  <si>
    <t>1000 kW</t>
  </si>
  <si>
    <t>20000 kW</t>
  </si>
  <si>
    <t>100000 kW</t>
  </si>
  <si>
    <t xml:space="preserve">H2 furnace </t>
  </si>
  <si>
    <t>17.58 kW</t>
  </si>
  <si>
    <t>H2 Storage</t>
  </si>
  <si>
    <t>H2 storage</t>
  </si>
  <si>
    <t>PV Solar</t>
  </si>
  <si>
    <t xml:space="preserve">Total </t>
  </si>
  <si>
    <t>Size</t>
  </si>
  <si>
    <t>Built</t>
  </si>
  <si>
    <t>Capacity (kW)</t>
  </si>
  <si>
    <t>Total</t>
  </si>
  <si>
    <t>H2 furnace</t>
  </si>
  <si>
    <t>H2 tank</t>
  </si>
  <si>
    <t>Size (kg)</t>
  </si>
  <si>
    <t>Worst case water usage (L)</t>
  </si>
  <si>
    <t>Scenario</t>
  </si>
  <si>
    <t>Yearly water usage</t>
  </si>
  <si>
    <t>25 year water usage</t>
  </si>
  <si>
    <t>Without capturing</t>
  </si>
  <si>
    <t>With capturing</t>
  </si>
  <si>
    <t>Best case water usage (L)</t>
  </si>
  <si>
    <t>Water tank for capturing scenario</t>
  </si>
  <si>
    <t xml:space="preserve">Water tank for capturing scenario </t>
  </si>
  <si>
    <t>Size (L)</t>
  </si>
  <si>
    <t>Cost of CO2 avoidance (USD/kg CO2)</t>
  </si>
  <si>
    <t>CO2 Avoided (kg CO2)</t>
  </si>
  <si>
    <t>Yearly</t>
  </si>
  <si>
    <t>25 years</t>
  </si>
  <si>
    <t>Diesel Microgrid</t>
  </si>
  <si>
    <t>Costs (USD)</t>
  </si>
  <si>
    <t>Diesel genset</t>
  </si>
  <si>
    <t>2000 kW</t>
  </si>
  <si>
    <t>Genset fuel</t>
  </si>
  <si>
    <t xml:space="preserve">Diesel furnace </t>
  </si>
  <si>
    <t>Furnace fuel</t>
  </si>
  <si>
    <t>Diesel furnace</t>
  </si>
  <si>
    <t>Fuel usage (L)</t>
  </si>
  <si>
    <t>Technology</t>
  </si>
  <si>
    <t>Yearly fuel useage</t>
  </si>
  <si>
    <t>25 year fuel useage</t>
  </si>
  <si>
    <t>Genset</t>
  </si>
  <si>
    <t>Furnace</t>
  </si>
  <si>
    <t>Emissions (kg)</t>
  </si>
  <si>
    <t>Yearly CO2 emissions</t>
  </si>
  <si>
    <t>25 year CO2 emissions</t>
  </si>
  <si>
    <t>yearly water usage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</si>
</sst>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/>
  </cellStyleXfs>
  <cellXfs count="4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43" fontId="0" fillId="0" borderId="0" xfId="1" applyFont="1"/>
    <xf numFmtId="43" fontId="0" fillId="0" borderId="0" xfId="0" applyNumberFormat="1"/>
    <xf numFmtId="0" fontId="0" fillId="0" borderId="6" xfId="0" applyBorder="1"/>
    <xf numFmtId="0" fontId="0" fillId="0" borderId="7" xfId="0" applyBorder="1"/>
    <xf numFmtId="43" fontId="0" fillId="0" borderId="7" xfId="1" applyFon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43" fontId="0" fillId="0" borderId="9" xfId="1" applyFont="1" applyBorder="1"/>
    <xf numFmtId="43" fontId="0" fillId="0" borderId="10" xfId="1" applyFont="1" applyBorder="1"/>
    <xf numFmtId="0" fontId="0" fillId="0" borderId="14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43" fontId="0" fillId="0" borderId="12" xfId="1" applyFont="1" applyBorder="1"/>
    <xf numFmtId="43" fontId="0" fillId="0" borderId="13" xfId="1" applyFont="1" applyBorder="1"/>
    <xf numFmtId="0" fontId="0" fillId="0" borderId="16" xfId="0" applyBorder="1"/>
    <xf numFmtId="0" fontId="0" fillId="0" borderId="17" xfId="0" applyBorder="1"/>
    <xf numFmtId="0" fontId="0" fillId="0" borderId="15" xfId="0" applyBorder="1"/>
    <xf numFmtId="43" fontId="1" fillId="0" borderId="9" xfId="1" applyBorder="1"/>
    <xf numFmtId="43" fontId="1" fillId="0" borderId="0" xfId="1"/>
    <xf numFmtId="43" fontId="1" fillId="0" borderId="7" xfId="1" applyBorder="1"/>
    <xf numFmtId="43" fontId="1" fillId="0" borderId="10" xfId="1" applyBorder="1"/>
    <xf numFmtId="0" fontId="0" fillId="0" borderId="18" xfId="0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9" xfId="0" applyBorder="1" applyAlignment="1">
      <alignment horizontal="center"/>
    </xf>
    <xf numFmtId="0" fontId="0" fillId="0" borderId="10" xfId="0" applyBorder="1"/>
    <xf numFmtId="43" fontId="0" fillId="0" borderId="18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0" xfId="0" applyBorder="1"/>
    <xf numFmtId="43" fontId="0" fillId="0" borderId="0" xfId="1" applyFont="1" applyBorder="1"/>
    <xf numFmtId="43" fontId="1" fillId="0" borderId="0" xfId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4:O108"/>
  <sheetViews>
    <sheetView tabSelected="1" zoomScale="70" zoomScaleNormal="70" workbookViewId="0">
      <selection activeCell="M29" sqref="M29"/>
    </sheetView>
  </sheetViews>
  <sheetFormatPr defaultColWidth="39.234375" defaultRowHeight="14.35" x14ac:dyDescent="0.5"/>
  <cols>
    <col min="1" max="1" width="13.52734375" customWidth="1"/>
    <col min="2" max="2" width="15.234375" bestFit="1" customWidth="1"/>
    <col min="3" max="3" width="17.64453125" bestFit="1" customWidth="1"/>
    <col min="4" max="4" width="18.64453125" bestFit="1" customWidth="1"/>
    <col min="5" max="5" width="12.46875" bestFit="1" customWidth="1"/>
    <col min="6" max="6" width="13.5859375" bestFit="1" customWidth="1"/>
    <col min="7" max="7" width="12.46875" customWidth="1"/>
    <col min="8" max="8" width="15.234375" bestFit="1" customWidth="1"/>
    <col min="9" max="9" width="15.703125" bestFit="1" customWidth="1"/>
    <col min="10" max="10" width="14.5859375" bestFit="1" customWidth="1"/>
    <col min="11" max="11" width="12.46875" bestFit="1" customWidth="1"/>
    <col min="12" max="12" width="14.5859375" bestFit="1" customWidth="1"/>
    <col min="13" max="13" width="29.8203125" bestFit="1" customWidth="1"/>
    <col min="14" max="15" width="27.5859375" bestFit="1" customWidth="1"/>
  </cols>
  <sheetData>
    <row r="4" spans="2:15" ht="14.7" customHeight="1" thickBot="1" x14ac:dyDescent="0.55000000000000004"/>
    <row r="5" spans="2:15" ht="14.7" customHeight="1" thickBot="1" x14ac:dyDescent="0.55000000000000004">
      <c r="B5" s="29" t="s">
        <v>0</v>
      </c>
      <c r="C5" s="30"/>
      <c r="D5" s="30"/>
      <c r="E5" s="30"/>
      <c r="F5" s="30"/>
      <c r="G5" s="30"/>
      <c r="H5" s="30"/>
      <c r="I5" s="30"/>
      <c r="J5" s="30"/>
      <c r="K5" s="30"/>
      <c r="L5" s="31"/>
    </row>
    <row r="6" spans="2:15" ht="14.7" customHeight="1" thickBot="1" x14ac:dyDescent="0.55000000000000004">
      <c r="B6" s="29" t="s">
        <v>1</v>
      </c>
      <c r="C6" s="30"/>
      <c r="D6" s="30"/>
      <c r="E6" s="30"/>
      <c r="F6" s="31"/>
      <c r="H6" s="29" t="s">
        <v>2</v>
      </c>
      <c r="I6" s="30"/>
      <c r="J6" s="30"/>
      <c r="K6" s="30"/>
      <c r="L6" s="31"/>
    </row>
    <row r="7" spans="2:15" ht="14.7" customHeight="1" thickBot="1" x14ac:dyDescent="0.55000000000000004">
      <c r="B7" s="24" t="s">
        <v>3</v>
      </c>
      <c r="C7" s="18" t="s">
        <v>4</v>
      </c>
      <c r="D7" s="18" t="s">
        <v>5</v>
      </c>
      <c r="E7" s="18" t="s">
        <v>6</v>
      </c>
      <c r="F7" s="19" t="s">
        <v>7</v>
      </c>
      <c r="H7" s="24" t="s">
        <v>3</v>
      </c>
      <c r="I7" s="18" t="s">
        <v>4</v>
      </c>
      <c r="J7" s="18" t="s">
        <v>5</v>
      </c>
      <c r="K7" s="18" t="s">
        <v>6</v>
      </c>
      <c r="L7" s="19" t="s">
        <v>7</v>
      </c>
    </row>
    <row r="8" spans="2:15" x14ac:dyDescent="0.5">
      <c r="B8" s="3" t="s">
        <v>8</v>
      </c>
      <c r="C8" s="6">
        <f>13698 * D27*((0.05*((1.05)^25))/((1.05^25)-1))</f>
        <v>3304482.9842884811</v>
      </c>
      <c r="D8" s="6">
        <f>29*D27</f>
        <v>98600</v>
      </c>
      <c r="E8" s="6">
        <f>C8+D8</f>
        <v>3403082.9842884811</v>
      </c>
      <c r="F8" s="10">
        <f>E8*25</f>
        <v>85077074.607212022</v>
      </c>
      <c r="H8" s="3" t="s">
        <v>9</v>
      </c>
      <c r="I8" s="39">
        <f>1615 * J27*((0.05*((1.05)^25))/((1.05^25)-1))</f>
        <v>733364.59864483739</v>
      </c>
      <c r="J8" s="39">
        <f>29*J27</f>
        <v>185600</v>
      </c>
      <c r="K8" s="39">
        <f>I8+J8</f>
        <v>918964.59864483739</v>
      </c>
      <c r="L8" s="10">
        <f>K8*25</f>
        <v>22974114.966120936</v>
      </c>
    </row>
    <row r="9" spans="2:15" x14ac:dyDescent="0.5">
      <c r="B9" s="3" t="s">
        <v>10</v>
      </c>
      <c r="C9" s="6">
        <f>13698 * D28*((0.05*((1.05)^25))/((1.05^25)-1))</f>
        <v>2915720.2802545424</v>
      </c>
      <c r="D9" s="6">
        <f>29*D28</f>
        <v>87000</v>
      </c>
      <c r="E9" s="6">
        <f>C9+D9</f>
        <v>3002720.2802545424</v>
      </c>
      <c r="F9" s="10">
        <f>E9*25</f>
        <v>75068007.006363556</v>
      </c>
      <c r="H9" s="3" t="s">
        <v>10</v>
      </c>
      <c r="I9" s="39">
        <f>1615 * J28*((0.05*((1.05)^25))/((1.05^25)-1))</f>
        <v>57294.109269127919</v>
      </c>
      <c r="J9" s="39">
        <f>29*J28</f>
        <v>14500</v>
      </c>
      <c r="K9" s="39">
        <f>I9+J9</f>
        <v>71794.109269127919</v>
      </c>
      <c r="L9" s="10">
        <f>K9*25</f>
        <v>1794852.731728198</v>
      </c>
      <c r="M9" s="7"/>
      <c r="N9" s="6"/>
      <c r="O9" s="7"/>
    </row>
    <row r="10" spans="2:15" x14ac:dyDescent="0.5">
      <c r="B10" s="3" t="s">
        <v>11</v>
      </c>
      <c r="C10" s="6">
        <f>13698 * D29*((0.05*((1.05)^25))/((1.05^25)-1))</f>
        <v>0</v>
      </c>
      <c r="D10" s="6">
        <f>29*D29</f>
        <v>0</v>
      </c>
      <c r="E10" s="6">
        <f>C10+D10</f>
        <v>0</v>
      </c>
      <c r="F10" s="10">
        <f>E10*25</f>
        <v>0</v>
      </c>
      <c r="H10" s="3" t="s">
        <v>11</v>
      </c>
      <c r="I10" s="39">
        <f>1615 * J29*((0.05*((1.05)^25))/((1.05^25)-1))</f>
        <v>0</v>
      </c>
      <c r="J10" s="39">
        <f>29*J29</f>
        <v>0</v>
      </c>
      <c r="K10" s="39">
        <f>I10+J10</f>
        <v>0</v>
      </c>
      <c r="L10" s="10">
        <f>K10*25</f>
        <v>0</v>
      </c>
      <c r="M10" s="7"/>
    </row>
    <row r="11" spans="2:15" ht="14.7" customHeight="1" thickBot="1" x14ac:dyDescent="0.55000000000000004">
      <c r="B11" s="16" t="s">
        <v>12</v>
      </c>
      <c r="C11" s="14">
        <f>13698 * D30*((0.05*((1.05)^25))/((1.05^25)-1))</f>
        <v>0</v>
      </c>
      <c r="D11" s="14">
        <f>29*D30</f>
        <v>0</v>
      </c>
      <c r="E11" s="14">
        <f>C11+D11</f>
        <v>0</v>
      </c>
      <c r="F11" s="15">
        <f>E11*25</f>
        <v>0</v>
      </c>
      <c r="H11" s="16" t="s">
        <v>12</v>
      </c>
      <c r="I11" s="14">
        <f>1615 * J30*((0.05*((1.05)^25))/((1.05^25)-1))</f>
        <v>0</v>
      </c>
      <c r="J11" s="14">
        <f>29*J30</f>
        <v>0</v>
      </c>
      <c r="K11" s="14">
        <f>I11+J11</f>
        <v>0</v>
      </c>
      <c r="L11" s="13">
        <f>K11*25</f>
        <v>0</v>
      </c>
    </row>
    <row r="12" spans="2:15" ht="14.7" customHeight="1" thickBot="1" x14ac:dyDescent="0.55000000000000004">
      <c r="B12" s="24" t="s">
        <v>13</v>
      </c>
      <c r="C12" s="18" t="s">
        <v>4</v>
      </c>
      <c r="D12" s="18" t="s">
        <v>5</v>
      </c>
      <c r="E12" s="18" t="s">
        <v>6</v>
      </c>
      <c r="F12" s="19" t="s">
        <v>7</v>
      </c>
      <c r="H12" s="24" t="s">
        <v>13</v>
      </c>
      <c r="I12" s="18" t="s">
        <v>4</v>
      </c>
      <c r="J12" s="18" t="s">
        <v>5</v>
      </c>
      <c r="K12" s="18" t="s">
        <v>6</v>
      </c>
      <c r="L12" s="19" t="s">
        <v>7</v>
      </c>
    </row>
    <row r="13" spans="2:15" x14ac:dyDescent="0.5">
      <c r="B13" s="3" t="s">
        <v>14</v>
      </c>
      <c r="C13" s="4">
        <f>2490 * D38*((0.05*((1.05)^10))/((1.05^10)-1))</f>
        <v>1934798.3499839231</v>
      </c>
      <c r="D13" s="1">
        <f>37.35*D38</f>
        <v>224100</v>
      </c>
      <c r="E13">
        <f>C13+D13</f>
        <v>2158898.3499839231</v>
      </c>
      <c r="F13" s="9">
        <f>E13*25</f>
        <v>53972458.749598078</v>
      </c>
      <c r="H13" s="3" t="s">
        <v>14</v>
      </c>
      <c r="I13" s="4">
        <f>2490 * J38*((0.05*((1.05)^10))/((1.05^10)-1))</f>
        <v>2257264.7416479103</v>
      </c>
      <c r="J13" s="1">
        <f>37.35*J38</f>
        <v>261450</v>
      </c>
      <c r="K13" s="39">
        <f>I13+J13</f>
        <v>2518714.7416479103</v>
      </c>
      <c r="L13" s="10">
        <f>K13*25</f>
        <v>62967868.541197762</v>
      </c>
    </row>
    <row r="14" spans="2:15" x14ac:dyDescent="0.5">
      <c r="B14" s="3" t="s">
        <v>15</v>
      </c>
      <c r="C14" s="4">
        <f>1570 * D39*((0.05*((1.05)^10))/((1.05^10)-1))</f>
        <v>0</v>
      </c>
      <c r="D14" s="1">
        <f>23.55*D39</f>
        <v>0</v>
      </c>
      <c r="E14">
        <f>C14+D14</f>
        <v>0</v>
      </c>
      <c r="F14" s="9">
        <f>E14*25</f>
        <v>0</v>
      </c>
      <c r="H14" s="3" t="s">
        <v>15</v>
      </c>
      <c r="I14" s="4">
        <f>1570 * J39*((0.05*((1.05)^10))/((1.05^10)-1))</f>
        <v>0</v>
      </c>
      <c r="J14" s="1">
        <f>23.55*J39</f>
        <v>0</v>
      </c>
      <c r="K14" s="38">
        <f>I14+J14</f>
        <v>0</v>
      </c>
      <c r="L14" s="10">
        <f>K14*25</f>
        <v>0</v>
      </c>
    </row>
    <row r="15" spans="2:15" ht="14.7" customHeight="1" thickBot="1" x14ac:dyDescent="0.55000000000000004">
      <c r="B15" s="16" t="s">
        <v>16</v>
      </c>
      <c r="C15" s="5">
        <f>1190 * D40*((0.05*((1.05)^10))/((1.05^10)-1))</f>
        <v>0</v>
      </c>
      <c r="D15" s="2">
        <f>17.85*D40</f>
        <v>0</v>
      </c>
      <c r="E15" s="12">
        <f>C15+D15</f>
        <v>0</v>
      </c>
      <c r="F15" s="13">
        <f>E15*25</f>
        <v>0</v>
      </c>
      <c r="H15" s="16" t="s">
        <v>16</v>
      </c>
      <c r="I15" s="5">
        <f>1190 * J40*((0.05*((1.05)^10))/((1.05^10)-1))</f>
        <v>0</v>
      </c>
      <c r="J15" s="2">
        <f>17.85*J40</f>
        <v>0</v>
      </c>
      <c r="K15" s="12">
        <f>I15+J15</f>
        <v>0</v>
      </c>
      <c r="L15" s="15">
        <f>K15*25</f>
        <v>0</v>
      </c>
    </row>
    <row r="16" spans="2:15" ht="14.7" customHeight="1" thickBot="1" x14ac:dyDescent="0.55000000000000004">
      <c r="B16" s="24" t="s">
        <v>17</v>
      </c>
      <c r="C16" s="18" t="s">
        <v>4</v>
      </c>
      <c r="D16" s="18" t="s">
        <v>5</v>
      </c>
      <c r="E16" s="18" t="s">
        <v>6</v>
      </c>
      <c r="F16" s="19" t="s">
        <v>7</v>
      </c>
      <c r="H16" s="24" t="s">
        <v>17</v>
      </c>
      <c r="I16" s="18" t="s">
        <v>4</v>
      </c>
      <c r="J16" s="18" t="s">
        <v>5</v>
      </c>
      <c r="K16" s="18" t="s">
        <v>6</v>
      </c>
      <c r="L16" s="19" t="s">
        <v>7</v>
      </c>
    </row>
    <row r="17" spans="2:14" ht="14.7" customHeight="1" thickBot="1" x14ac:dyDescent="0.55000000000000004">
      <c r="B17" s="16" t="s">
        <v>18</v>
      </c>
      <c r="C17" s="12">
        <v>72451.738109242433</v>
      </c>
      <c r="D17" s="12">
        <v>90290.87999999999</v>
      </c>
      <c r="E17" s="12">
        <f>D17+C17</f>
        <v>162742.61810924241</v>
      </c>
      <c r="F17" s="13">
        <f>E17*25</f>
        <v>4068565.4527310603</v>
      </c>
      <c r="H17" s="16" t="s">
        <v>18</v>
      </c>
      <c r="I17" s="12">
        <v>72451.738109242433</v>
      </c>
      <c r="J17" s="12">
        <v>90290.87999999999</v>
      </c>
      <c r="K17" s="12">
        <f>J17+I17</f>
        <v>162742.61810924241</v>
      </c>
      <c r="L17" s="15">
        <f>K17*25</f>
        <v>4068565.4527310603</v>
      </c>
    </row>
    <row r="18" spans="2:14" ht="14.7" customHeight="1" thickBot="1" x14ac:dyDescent="0.55000000000000004">
      <c r="B18" s="24" t="s">
        <v>19</v>
      </c>
      <c r="C18" s="18" t="s">
        <v>4</v>
      </c>
      <c r="D18" s="18" t="s">
        <v>5</v>
      </c>
      <c r="E18" s="18" t="s">
        <v>6</v>
      </c>
      <c r="F18" s="19" t="s">
        <v>7</v>
      </c>
      <c r="H18" s="24" t="s">
        <v>20</v>
      </c>
      <c r="I18" s="18" t="s">
        <v>4</v>
      </c>
      <c r="J18" s="18" t="s">
        <v>5</v>
      </c>
      <c r="K18" s="18" t="s">
        <v>6</v>
      </c>
      <c r="L18" s="19" t="s">
        <v>7</v>
      </c>
    </row>
    <row r="19" spans="2:14" ht="14.7" customHeight="1" thickBot="1" x14ac:dyDescent="0.55000000000000004">
      <c r="B19" s="11"/>
      <c r="C19" s="12">
        <f>C48*300*((0.05*((1.05)^20))/((1.05^20)-1))</f>
        <v>884193.06825422763</v>
      </c>
      <c r="D19" s="12">
        <v>0</v>
      </c>
      <c r="E19" s="12">
        <f>D19+C19</f>
        <v>884193.06825422763</v>
      </c>
      <c r="F19" s="13">
        <f>E19*25</f>
        <v>22104826.706355691</v>
      </c>
      <c r="H19" s="11"/>
      <c r="I19" s="14">
        <f>(I48/10)*3000*((0.05*((1.05)^20))/((1.05^20)-1))</f>
        <v>390701.15703147603</v>
      </c>
      <c r="J19" s="12">
        <v>0</v>
      </c>
      <c r="K19" s="12">
        <f>J19+I19</f>
        <v>390701.15703147603</v>
      </c>
      <c r="L19" s="15">
        <f>K19*25</f>
        <v>9767528.9257869013</v>
      </c>
    </row>
    <row r="20" spans="2:14" ht="14.7" customHeight="1" thickBot="1" x14ac:dyDescent="0.55000000000000004">
      <c r="B20" s="24" t="s">
        <v>21</v>
      </c>
      <c r="C20" s="18" t="s">
        <v>4</v>
      </c>
      <c r="D20" s="18" t="s">
        <v>5</v>
      </c>
      <c r="E20" s="18" t="s">
        <v>6</v>
      </c>
      <c r="F20" s="19" t="s">
        <v>7</v>
      </c>
      <c r="H20" s="24" t="s">
        <v>21</v>
      </c>
      <c r="I20" s="18" t="s">
        <v>4</v>
      </c>
      <c r="J20" s="18" t="s">
        <v>5</v>
      </c>
      <c r="K20" s="18" t="s">
        <v>6</v>
      </c>
      <c r="L20" s="19" t="s">
        <v>7</v>
      </c>
    </row>
    <row r="21" spans="2:14" ht="14.7" customHeight="1" thickBot="1" x14ac:dyDescent="0.55000000000000004">
      <c r="B21" s="11"/>
      <c r="C21" s="12">
        <v>0</v>
      </c>
      <c r="D21" s="12">
        <v>0</v>
      </c>
      <c r="E21" s="12">
        <f>C21+D21</f>
        <v>0</v>
      </c>
      <c r="F21" s="13">
        <f>E21*25</f>
        <v>0</v>
      </c>
      <c r="H21" s="11"/>
      <c r="I21" s="12">
        <v>0</v>
      </c>
      <c r="J21" s="12">
        <v>0</v>
      </c>
      <c r="K21" s="12">
        <f>J21+I21</f>
        <v>0</v>
      </c>
      <c r="L21" s="13">
        <f>K21*25</f>
        <v>0</v>
      </c>
    </row>
    <row r="22" spans="2:14" ht="14.7" customHeight="1" thickBot="1" x14ac:dyDescent="0.55000000000000004">
      <c r="B22" s="17"/>
      <c r="C22" s="18" t="s">
        <v>4</v>
      </c>
      <c r="D22" s="18" t="s">
        <v>5</v>
      </c>
      <c r="E22" s="18" t="s">
        <v>6</v>
      </c>
      <c r="F22" s="19" t="s">
        <v>7</v>
      </c>
      <c r="H22" s="17"/>
      <c r="I22" s="18" t="s">
        <v>4</v>
      </c>
      <c r="J22" s="18" t="s">
        <v>5</v>
      </c>
      <c r="K22" s="18" t="s">
        <v>6</v>
      </c>
      <c r="L22" s="19" t="s">
        <v>7</v>
      </c>
    </row>
    <row r="23" spans="2:14" ht="14.7" customHeight="1" thickBot="1" x14ac:dyDescent="0.55000000000000004">
      <c r="B23" s="24" t="s">
        <v>22</v>
      </c>
      <c r="C23" s="12">
        <v>9147274.1296030786</v>
      </c>
      <c r="D23" s="12">
        <v>499990.88</v>
      </c>
      <c r="E23" s="25">
        <v>9647265.0096030794</v>
      </c>
      <c r="F23" s="13">
        <f>D23*25</f>
        <v>12499772</v>
      </c>
      <c r="H23" s="24" t="s">
        <v>22</v>
      </c>
      <c r="I23" s="14">
        <v>3511076.3447025931</v>
      </c>
      <c r="J23" s="14">
        <v>551840.88</v>
      </c>
      <c r="K23" s="14">
        <v>4062917.2247025901</v>
      </c>
      <c r="L23" s="15">
        <f>K23*25</f>
        <v>101572930.61756475</v>
      </c>
      <c r="M23" s="6"/>
    </row>
    <row r="24" spans="2:14" ht="14.7" customHeight="1" thickBot="1" x14ac:dyDescent="0.55000000000000004">
      <c r="B24" s="8"/>
      <c r="F24" s="9"/>
      <c r="H24" s="8"/>
      <c r="I24" s="39"/>
      <c r="J24" s="39"/>
      <c r="K24" s="39"/>
      <c r="L24" s="10"/>
      <c r="M24" s="6"/>
      <c r="N24" s="7"/>
    </row>
    <row r="25" spans="2:14" ht="14.7" customHeight="1" thickBot="1" x14ac:dyDescent="0.55000000000000004">
      <c r="B25" s="29" t="s">
        <v>3</v>
      </c>
      <c r="C25" s="30"/>
      <c r="D25" s="31"/>
      <c r="F25" s="9"/>
      <c r="H25" s="29" t="s">
        <v>3</v>
      </c>
      <c r="I25" s="30"/>
      <c r="J25" s="31"/>
      <c r="K25" s="38"/>
      <c r="L25" s="10"/>
      <c r="M25" s="6"/>
    </row>
    <row r="26" spans="2:14" ht="14.7" customHeight="1" thickBot="1" x14ac:dyDescent="0.55000000000000004">
      <c r="B26" s="17" t="s">
        <v>23</v>
      </c>
      <c r="C26" s="18" t="s">
        <v>24</v>
      </c>
      <c r="D26" s="19" t="s">
        <v>25</v>
      </c>
      <c r="F26" s="9"/>
      <c r="H26" s="17" t="s">
        <v>23</v>
      </c>
      <c r="I26" s="18" t="s">
        <v>24</v>
      </c>
      <c r="J26" s="19" t="s">
        <v>25</v>
      </c>
      <c r="K26" s="38"/>
      <c r="L26" s="10"/>
      <c r="M26" s="6"/>
    </row>
    <row r="27" spans="2:14" x14ac:dyDescent="0.5">
      <c r="B27" s="23" t="s">
        <v>9</v>
      </c>
      <c r="C27">
        <v>34</v>
      </c>
      <c r="D27" s="9">
        <v>3400</v>
      </c>
      <c r="F27" s="9"/>
      <c r="H27" s="8" t="s">
        <v>9</v>
      </c>
      <c r="I27" s="38">
        <v>64</v>
      </c>
      <c r="J27" s="9">
        <v>6400</v>
      </c>
      <c r="K27" s="38"/>
      <c r="L27" s="9"/>
    </row>
    <row r="28" spans="2:14" x14ac:dyDescent="0.5">
      <c r="B28" s="3" t="s">
        <v>10</v>
      </c>
      <c r="C28">
        <v>6</v>
      </c>
      <c r="D28" s="9">
        <v>3000</v>
      </c>
      <c r="F28" s="9"/>
      <c r="H28" s="8" t="s">
        <v>10</v>
      </c>
      <c r="I28" s="38">
        <v>1</v>
      </c>
      <c r="J28" s="9">
        <v>500</v>
      </c>
      <c r="K28" s="38"/>
      <c r="L28" s="9"/>
    </row>
    <row r="29" spans="2:14" x14ac:dyDescent="0.5">
      <c r="B29" s="3" t="s">
        <v>11</v>
      </c>
      <c r="C29">
        <v>0</v>
      </c>
      <c r="D29" s="9">
        <v>0</v>
      </c>
      <c r="F29" s="9"/>
      <c r="H29" s="8" t="s">
        <v>11</v>
      </c>
      <c r="I29" s="38">
        <v>0</v>
      </c>
      <c r="J29" s="9">
        <v>0</v>
      </c>
      <c r="K29" s="38"/>
      <c r="L29" s="9"/>
    </row>
    <row r="30" spans="2:14" x14ac:dyDescent="0.5">
      <c r="B30" s="3" t="s">
        <v>12</v>
      </c>
      <c r="C30">
        <v>0</v>
      </c>
      <c r="D30" s="9">
        <v>0</v>
      </c>
      <c r="F30" s="9"/>
      <c r="H30" s="8" t="s">
        <v>12</v>
      </c>
      <c r="I30" s="38">
        <v>0</v>
      </c>
      <c r="J30" s="9">
        <v>0</v>
      </c>
      <c r="K30" s="38"/>
      <c r="L30" s="9"/>
    </row>
    <row r="31" spans="2:14" ht="14.7" customHeight="1" thickBot="1" x14ac:dyDescent="0.55000000000000004">
      <c r="B31" s="16" t="s">
        <v>26</v>
      </c>
      <c r="C31" s="12">
        <v>40</v>
      </c>
      <c r="D31" s="13">
        <v>6400</v>
      </c>
      <c r="F31" s="9"/>
      <c r="H31" s="11" t="s">
        <v>26</v>
      </c>
      <c r="I31" s="12">
        <v>65</v>
      </c>
      <c r="J31" s="13">
        <v>6900</v>
      </c>
      <c r="K31" s="38"/>
      <c r="L31" s="9"/>
    </row>
    <row r="32" spans="2:14" ht="14.7" customHeight="1" thickBot="1" x14ac:dyDescent="0.55000000000000004">
      <c r="B32" s="8"/>
      <c r="F32" s="9"/>
      <c r="H32" s="8"/>
      <c r="I32" s="38"/>
      <c r="J32" s="38"/>
      <c r="K32" s="38"/>
      <c r="L32" s="9"/>
    </row>
    <row r="33" spans="2:12" ht="14.7" customHeight="1" thickBot="1" x14ac:dyDescent="0.55000000000000004">
      <c r="B33" s="29" t="s">
        <v>21</v>
      </c>
      <c r="C33" s="31"/>
      <c r="F33" s="9"/>
      <c r="H33" s="29" t="s">
        <v>21</v>
      </c>
      <c r="I33" s="31"/>
      <c r="J33" s="38"/>
      <c r="K33" s="38"/>
      <c r="L33" s="9"/>
    </row>
    <row r="34" spans="2:12" ht="14.7" customHeight="1" thickBot="1" x14ac:dyDescent="0.55000000000000004">
      <c r="B34" s="24" t="s">
        <v>25</v>
      </c>
      <c r="C34" s="13">
        <v>0</v>
      </c>
      <c r="F34" s="9"/>
      <c r="H34" s="24" t="s">
        <v>25</v>
      </c>
      <c r="I34" s="13">
        <v>0</v>
      </c>
      <c r="J34" s="38"/>
      <c r="K34" s="38"/>
      <c r="L34" s="9"/>
    </row>
    <row r="35" spans="2:12" ht="14.7" customHeight="1" thickBot="1" x14ac:dyDescent="0.55000000000000004">
      <c r="B35" s="8"/>
      <c r="F35" s="9"/>
      <c r="H35" s="8"/>
      <c r="I35" s="38"/>
      <c r="J35" s="38"/>
      <c r="K35" s="38"/>
      <c r="L35" s="9"/>
    </row>
    <row r="36" spans="2:12" ht="14.7" customHeight="1" thickBot="1" x14ac:dyDescent="0.55000000000000004">
      <c r="B36" s="29" t="s">
        <v>13</v>
      </c>
      <c r="C36" s="30"/>
      <c r="D36" s="31"/>
      <c r="F36" s="9"/>
      <c r="H36" s="29" t="s">
        <v>13</v>
      </c>
      <c r="I36" s="30"/>
      <c r="J36" s="31"/>
      <c r="K36" s="38"/>
      <c r="L36" s="9"/>
    </row>
    <row r="37" spans="2:12" ht="14.7" customHeight="1" thickBot="1" x14ac:dyDescent="0.55000000000000004">
      <c r="B37" s="24" t="s">
        <v>23</v>
      </c>
      <c r="C37" s="18" t="s">
        <v>24</v>
      </c>
      <c r="D37" s="19" t="s">
        <v>25</v>
      </c>
      <c r="F37" s="9"/>
      <c r="H37" s="17" t="s">
        <v>23</v>
      </c>
      <c r="I37" s="18" t="s">
        <v>24</v>
      </c>
      <c r="J37" s="19" t="s">
        <v>25</v>
      </c>
      <c r="K37" s="38"/>
      <c r="L37" s="9"/>
    </row>
    <row r="38" spans="2:12" x14ac:dyDescent="0.5">
      <c r="B38" s="23" t="s">
        <v>14</v>
      </c>
      <c r="C38">
        <v>6</v>
      </c>
      <c r="D38" s="9">
        <v>6000</v>
      </c>
      <c r="F38" s="9"/>
      <c r="H38" s="23" t="s">
        <v>14</v>
      </c>
      <c r="I38" s="38">
        <v>7</v>
      </c>
      <c r="J38" s="9">
        <v>7000</v>
      </c>
      <c r="K38" s="38"/>
      <c r="L38" s="9"/>
    </row>
    <row r="39" spans="2:12" x14ac:dyDescent="0.5">
      <c r="B39" s="3" t="s">
        <v>15</v>
      </c>
      <c r="C39">
        <v>0</v>
      </c>
      <c r="D39" s="9">
        <v>0</v>
      </c>
      <c r="F39" s="9"/>
      <c r="H39" s="3" t="s">
        <v>15</v>
      </c>
      <c r="I39" s="38">
        <v>0</v>
      </c>
      <c r="J39" s="9">
        <v>0</v>
      </c>
      <c r="K39" s="38"/>
      <c r="L39" s="9"/>
    </row>
    <row r="40" spans="2:12" x14ac:dyDescent="0.5">
      <c r="B40" s="3" t="s">
        <v>16</v>
      </c>
      <c r="C40">
        <v>0</v>
      </c>
      <c r="D40" s="9">
        <v>0</v>
      </c>
      <c r="F40" s="9"/>
      <c r="H40" s="3" t="s">
        <v>16</v>
      </c>
      <c r="I40" s="38">
        <v>0</v>
      </c>
      <c r="J40" s="9">
        <v>0</v>
      </c>
      <c r="K40" s="38"/>
      <c r="L40" s="9"/>
    </row>
    <row r="41" spans="2:12" ht="14.7" customHeight="1" thickBot="1" x14ac:dyDescent="0.55000000000000004">
      <c r="B41" s="16" t="s">
        <v>26</v>
      </c>
      <c r="C41" s="12">
        <v>6</v>
      </c>
      <c r="D41" s="13">
        <v>6000</v>
      </c>
      <c r="F41" s="9"/>
      <c r="H41" s="16" t="s">
        <v>26</v>
      </c>
      <c r="I41" s="12">
        <v>7</v>
      </c>
      <c r="J41" s="13">
        <v>7000</v>
      </c>
      <c r="K41" s="38"/>
      <c r="L41" s="9"/>
    </row>
    <row r="42" spans="2:12" ht="14.7" customHeight="1" thickBot="1" x14ac:dyDescent="0.55000000000000004">
      <c r="B42" s="8"/>
      <c r="F42" s="9"/>
      <c r="H42" s="8"/>
      <c r="I42" s="38"/>
      <c r="J42" s="38"/>
      <c r="K42" s="38"/>
      <c r="L42" s="9"/>
    </row>
    <row r="43" spans="2:12" ht="14.7" customHeight="1" thickBot="1" x14ac:dyDescent="0.55000000000000004">
      <c r="B43" s="29" t="s">
        <v>27</v>
      </c>
      <c r="C43" s="30"/>
      <c r="D43" s="31"/>
      <c r="F43" s="9"/>
      <c r="H43" s="29" t="s">
        <v>27</v>
      </c>
      <c r="I43" s="30"/>
      <c r="J43" s="31"/>
      <c r="K43" s="38"/>
      <c r="L43" s="9"/>
    </row>
    <row r="44" spans="2:12" ht="14.7" customHeight="1" thickBot="1" x14ac:dyDescent="0.55000000000000004">
      <c r="B44" s="24" t="s">
        <v>23</v>
      </c>
      <c r="C44" s="18" t="s">
        <v>24</v>
      </c>
      <c r="D44" s="19" t="s">
        <v>25</v>
      </c>
      <c r="F44" s="9"/>
      <c r="H44" s="17" t="s">
        <v>23</v>
      </c>
      <c r="I44" s="18" t="s">
        <v>24</v>
      </c>
      <c r="J44" s="19" t="s">
        <v>25</v>
      </c>
      <c r="K44" s="38"/>
      <c r="L44" s="9"/>
    </row>
    <row r="45" spans="2:12" ht="14.7" customHeight="1" thickBot="1" x14ac:dyDescent="0.55000000000000004">
      <c r="B45" s="24" t="s">
        <v>18</v>
      </c>
      <c r="C45" s="12">
        <v>321</v>
      </c>
      <c r="D45" s="13">
        <v>5643.1799999999994</v>
      </c>
      <c r="F45" s="9"/>
      <c r="H45" s="24" t="s">
        <v>18</v>
      </c>
      <c r="I45" s="12">
        <v>321</v>
      </c>
      <c r="J45" s="13">
        <v>5643.1799999999994</v>
      </c>
      <c r="K45" s="38"/>
      <c r="L45" s="9"/>
    </row>
    <row r="46" spans="2:12" ht="14.7" customHeight="1" thickBot="1" x14ac:dyDescent="0.55000000000000004">
      <c r="B46" s="8"/>
      <c r="F46" s="9"/>
      <c r="H46" s="8"/>
      <c r="I46" s="38"/>
      <c r="J46" s="38"/>
      <c r="K46" s="38"/>
      <c r="L46" s="9"/>
    </row>
    <row r="47" spans="2:12" ht="14.7" customHeight="1" thickBot="1" x14ac:dyDescent="0.55000000000000004">
      <c r="B47" s="29" t="s">
        <v>28</v>
      </c>
      <c r="C47" s="31"/>
      <c r="F47" s="9"/>
      <c r="H47" s="29" t="s">
        <v>28</v>
      </c>
      <c r="I47" s="31"/>
      <c r="J47" s="38"/>
      <c r="K47" s="38"/>
      <c r="L47" s="9"/>
    </row>
    <row r="48" spans="2:12" ht="14.7" customHeight="1" thickBot="1" x14ac:dyDescent="0.55000000000000004">
      <c r="B48" s="11" t="s">
        <v>29</v>
      </c>
      <c r="C48" s="13">
        <v>36730</v>
      </c>
      <c r="F48" s="9"/>
      <c r="H48" s="24" t="s">
        <v>29</v>
      </c>
      <c r="I48" s="13">
        <v>16230</v>
      </c>
      <c r="J48" s="38"/>
      <c r="K48" s="38"/>
      <c r="L48" s="9"/>
    </row>
    <row r="49" spans="2:12" ht="14.7" customHeight="1" thickBot="1" x14ac:dyDescent="0.55000000000000004">
      <c r="B49" s="8"/>
      <c r="F49" s="9"/>
      <c r="H49" s="8"/>
      <c r="I49" s="38"/>
      <c r="J49" s="38"/>
      <c r="K49" s="38"/>
      <c r="L49" s="9"/>
    </row>
    <row r="50" spans="2:12" ht="14.7" customHeight="1" thickBot="1" x14ac:dyDescent="0.55000000000000004">
      <c r="B50" s="29" t="s">
        <v>30</v>
      </c>
      <c r="C50" s="30"/>
      <c r="D50" s="31"/>
      <c r="F50" s="9"/>
      <c r="H50" s="35" t="s">
        <v>30</v>
      </c>
      <c r="I50" s="36"/>
      <c r="J50" s="37"/>
      <c r="K50" s="38"/>
      <c r="L50" s="9"/>
    </row>
    <row r="51" spans="2:12" ht="14.7" customHeight="1" thickBot="1" x14ac:dyDescent="0.55000000000000004">
      <c r="B51" s="11" t="s">
        <v>31</v>
      </c>
      <c r="C51" s="12" t="s">
        <v>32</v>
      </c>
      <c r="D51" s="13" t="s">
        <v>33</v>
      </c>
      <c r="F51" s="9"/>
      <c r="H51" s="24" t="s">
        <v>34</v>
      </c>
      <c r="I51" s="18" t="s">
        <v>61</v>
      </c>
      <c r="J51" s="21">
        <f>I52*25</f>
        <v>211148231.08251998</v>
      </c>
      <c r="K51" s="38"/>
      <c r="L51" s="9"/>
    </row>
    <row r="52" spans="2:12" ht="14.7" thickBot="1" x14ac:dyDescent="0.55000000000000004">
      <c r="B52" s="23" t="s">
        <v>34</v>
      </c>
      <c r="C52" s="26">
        <v>6582671.1698218603</v>
      </c>
      <c r="D52" s="27">
        <f>C52*25</f>
        <v>164566779.24554652</v>
      </c>
      <c r="F52" s="9"/>
      <c r="H52" s="16" t="s">
        <v>35</v>
      </c>
      <c r="I52" s="40">
        <v>8445929.2433007993</v>
      </c>
      <c r="J52" s="27">
        <f>I52*25</f>
        <v>211148231.08251998</v>
      </c>
      <c r="K52" s="38"/>
      <c r="L52" s="9"/>
    </row>
    <row r="53" spans="2:12" ht="14.7" customHeight="1" thickBot="1" x14ac:dyDescent="0.55000000000000004">
      <c r="B53" s="16" t="s">
        <v>35</v>
      </c>
      <c r="C53" s="25">
        <v>1342635.8127331259</v>
      </c>
      <c r="D53" s="28">
        <f>C53*25</f>
        <v>33565895.31832815</v>
      </c>
      <c r="F53" s="9"/>
      <c r="H53" s="16" t="s">
        <v>35</v>
      </c>
      <c r="I53" s="25">
        <v>868402.94473856094</v>
      </c>
      <c r="J53" s="28">
        <f>I53*25</f>
        <v>21710073.618464023</v>
      </c>
      <c r="K53" s="38"/>
      <c r="L53" s="9"/>
    </row>
    <row r="54" spans="2:12" ht="14.7" customHeight="1" thickBot="1" x14ac:dyDescent="0.55000000000000004">
      <c r="B54" s="8"/>
      <c r="F54" s="9"/>
      <c r="H54" s="8"/>
      <c r="I54" s="39"/>
      <c r="J54" s="39"/>
      <c r="K54" s="38"/>
      <c r="L54" s="9"/>
    </row>
    <row r="55" spans="2:12" ht="14.7" customHeight="1" thickBot="1" x14ac:dyDescent="0.55000000000000004">
      <c r="B55" s="29" t="s">
        <v>36</v>
      </c>
      <c r="C55" s="30"/>
      <c r="D55" s="31"/>
      <c r="F55" s="9"/>
      <c r="H55" s="35" t="s">
        <v>31</v>
      </c>
      <c r="I55" s="36"/>
      <c r="J55" s="37"/>
      <c r="K55" s="38"/>
      <c r="L55" s="9"/>
    </row>
    <row r="56" spans="2:12" ht="14.7" customHeight="1" thickBot="1" x14ac:dyDescent="0.55000000000000004">
      <c r="B56" s="11" t="s">
        <v>31</v>
      </c>
      <c r="C56" s="12" t="s">
        <v>32</v>
      </c>
      <c r="D56" s="13" t="s">
        <v>33</v>
      </c>
      <c r="F56" s="9"/>
      <c r="H56" s="23" t="s">
        <v>34</v>
      </c>
      <c r="I56" s="39">
        <v>2293956.09077306</v>
      </c>
      <c r="J56" s="10">
        <f>I56*25</f>
        <v>57348902.269326501</v>
      </c>
      <c r="K56" s="38"/>
      <c r="L56" s="9"/>
    </row>
    <row r="57" spans="2:12" ht="14.7" thickBot="1" x14ac:dyDescent="0.55000000000000004">
      <c r="B57" s="23" t="s">
        <v>34</v>
      </c>
      <c r="C57">
        <v>1787885.99674174</v>
      </c>
      <c r="D57" s="9">
        <f>C57*25</f>
        <v>44697149.918543503</v>
      </c>
      <c r="F57" s="9"/>
      <c r="H57" s="16" t="s">
        <v>35</v>
      </c>
      <c r="I57" s="14">
        <v>342208.714362089</v>
      </c>
      <c r="J57" s="15">
        <f>I57*25</f>
        <v>8555217.8590522241</v>
      </c>
      <c r="K57" s="38"/>
      <c r="L57" s="9"/>
    </row>
    <row r="58" spans="2:12" ht="14.7" customHeight="1" thickBot="1" x14ac:dyDescent="0.55000000000000004">
      <c r="B58" s="16" t="s">
        <v>35</v>
      </c>
      <c r="C58" s="12">
        <v>615148.31127448194</v>
      </c>
      <c r="D58" s="13">
        <f>C58*25</f>
        <v>15378707.781862048</v>
      </c>
      <c r="F58" s="9"/>
      <c r="H58" s="8"/>
      <c r="I58" s="38"/>
      <c r="J58" s="38"/>
      <c r="K58" s="38"/>
      <c r="L58" s="9"/>
    </row>
    <row r="59" spans="2:12" ht="14.7" customHeight="1" thickBot="1" x14ac:dyDescent="0.55000000000000004">
      <c r="B59" s="8"/>
      <c r="F59" s="9"/>
      <c r="H59" s="8"/>
      <c r="I59" s="38"/>
      <c r="J59" s="38"/>
      <c r="K59" s="38"/>
      <c r="L59" s="9"/>
    </row>
    <row r="60" spans="2:12" ht="14.7" customHeight="1" thickBot="1" x14ac:dyDescent="0.55000000000000004">
      <c r="B60" s="29" t="s">
        <v>37</v>
      </c>
      <c r="C60" s="31"/>
      <c r="F60" s="9"/>
      <c r="H60" s="29" t="s">
        <v>38</v>
      </c>
      <c r="I60" s="31"/>
      <c r="J60" s="38"/>
      <c r="K60" s="38"/>
      <c r="L60" s="9"/>
    </row>
    <row r="61" spans="2:12" ht="14.7" customHeight="1" thickBot="1" x14ac:dyDescent="0.55000000000000004">
      <c r="B61" s="24" t="s">
        <v>39</v>
      </c>
      <c r="C61" s="13">
        <v>343881.78530685097</v>
      </c>
      <c r="F61" s="9"/>
      <c r="H61" s="24" t="s">
        <v>39</v>
      </c>
      <c r="I61" s="13">
        <v>146000.696255608</v>
      </c>
      <c r="J61" s="38"/>
      <c r="K61" s="38"/>
      <c r="L61" s="9"/>
    </row>
    <row r="62" spans="2:12" ht="14.7" customHeight="1" thickBot="1" x14ac:dyDescent="0.55000000000000004">
      <c r="B62" s="8"/>
      <c r="F62" s="9"/>
      <c r="H62" s="8"/>
      <c r="I62" s="38"/>
      <c r="J62" s="38"/>
      <c r="K62" s="38"/>
      <c r="L62" s="9"/>
    </row>
    <row r="63" spans="2:12" ht="14.7" customHeight="1" thickBot="1" x14ac:dyDescent="0.55000000000000004">
      <c r="B63" s="29" t="s">
        <v>40</v>
      </c>
      <c r="C63" s="31"/>
      <c r="F63" s="9"/>
      <c r="H63" s="29" t="s">
        <v>40</v>
      </c>
      <c r="I63" s="31"/>
      <c r="J63" s="38"/>
      <c r="K63" s="38"/>
      <c r="L63" s="9"/>
    </row>
    <row r="64" spans="2:12" ht="14.7" customHeight="1" thickBot="1" x14ac:dyDescent="0.55000000000000004">
      <c r="B64" s="29">
        <f>E23/B70</f>
        <v>1.211717001821482</v>
      </c>
      <c r="C64" s="31"/>
      <c r="F64" s="9"/>
      <c r="H64" s="34">
        <f>K23/B70</f>
        <v>0.5103110439347236</v>
      </c>
      <c r="I64" s="31"/>
      <c r="J64" s="38"/>
      <c r="K64" s="38"/>
      <c r="L64" s="9"/>
    </row>
    <row r="65" spans="2:12" x14ac:dyDescent="0.5">
      <c r="B65" s="8"/>
      <c r="F65" s="9"/>
      <c r="H65" s="8"/>
      <c r="I65" s="38"/>
      <c r="J65" s="38"/>
      <c r="K65" s="38"/>
      <c r="L65" s="9"/>
    </row>
    <row r="66" spans="2:12" ht="14.7" customHeight="1" thickBot="1" x14ac:dyDescent="0.55000000000000004">
      <c r="B66" s="11"/>
      <c r="C66" s="12"/>
      <c r="D66" s="12"/>
      <c r="E66" s="12"/>
      <c r="F66" s="13"/>
      <c r="G66" s="12"/>
      <c r="H66" s="11"/>
      <c r="I66" s="12"/>
      <c r="J66" s="12"/>
      <c r="K66" s="12"/>
      <c r="L66" s="13"/>
    </row>
    <row r="67" spans="2:12" ht="14.7" customHeight="1" thickBot="1" x14ac:dyDescent="0.55000000000000004">
      <c r="B67" s="11"/>
      <c r="C67" s="12"/>
      <c r="L67" s="9"/>
    </row>
    <row r="68" spans="2:12" ht="14.7" customHeight="1" thickBot="1" x14ac:dyDescent="0.55000000000000004">
      <c r="B68" s="32" t="s">
        <v>41</v>
      </c>
      <c r="C68" s="33"/>
      <c r="L68" s="9"/>
    </row>
    <row r="69" spans="2:12" ht="14.7" customHeight="1" thickBot="1" x14ac:dyDescent="0.55000000000000004">
      <c r="B69" s="17" t="s">
        <v>42</v>
      </c>
      <c r="C69" s="19" t="s">
        <v>43</v>
      </c>
      <c r="L69" s="9"/>
    </row>
    <row r="70" spans="2:12" ht="14.7" customHeight="1" thickBot="1" x14ac:dyDescent="0.55000000000000004">
      <c r="B70" s="11">
        <f>C108</f>
        <v>7961648.6317358594</v>
      </c>
      <c r="C70" s="13">
        <f>D108</f>
        <v>199041215.79339647</v>
      </c>
      <c r="D70" s="12"/>
      <c r="E70" s="12"/>
      <c r="F70" s="12"/>
      <c r="G70" s="12"/>
      <c r="H70" s="12"/>
      <c r="I70" s="12"/>
      <c r="J70" s="12"/>
      <c r="K70" s="12"/>
      <c r="L70" s="13"/>
    </row>
    <row r="71" spans="2:12" ht="14.7" customHeight="1" thickBot="1" x14ac:dyDescent="0.55000000000000004"/>
    <row r="72" spans="2:12" ht="14.7" customHeight="1" thickBot="1" x14ac:dyDescent="0.55000000000000004">
      <c r="B72" s="29" t="s">
        <v>44</v>
      </c>
      <c r="C72" s="30"/>
      <c r="D72" s="30"/>
      <c r="E72" s="30"/>
      <c r="F72" s="31"/>
    </row>
    <row r="73" spans="2:12" ht="14.7" customHeight="1" thickBot="1" x14ac:dyDescent="0.55000000000000004">
      <c r="B73" s="29" t="s">
        <v>45</v>
      </c>
      <c r="C73" s="30"/>
      <c r="D73" s="30"/>
      <c r="E73" s="30"/>
      <c r="F73" s="31"/>
    </row>
    <row r="74" spans="2:12" ht="14.7" customHeight="1" thickBot="1" x14ac:dyDescent="0.55000000000000004">
      <c r="B74" s="24" t="s">
        <v>46</v>
      </c>
      <c r="C74" s="18" t="s">
        <v>4</v>
      </c>
      <c r="D74" s="18" t="s">
        <v>5</v>
      </c>
      <c r="E74" s="18" t="s">
        <v>6</v>
      </c>
      <c r="F74" s="19" t="s">
        <v>7</v>
      </c>
    </row>
    <row r="75" spans="2:12" x14ac:dyDescent="0.5">
      <c r="B75" s="23" t="s">
        <v>9</v>
      </c>
      <c r="C75">
        <v>38314.326941583982</v>
      </c>
      <c r="D75">
        <v>89400</v>
      </c>
      <c r="E75">
        <f>C75+D75</f>
        <v>127714.32694158397</v>
      </c>
      <c r="F75" s="9">
        <f>E75*25</f>
        <v>3192858.1735395994</v>
      </c>
    </row>
    <row r="76" spans="2:12" x14ac:dyDescent="0.5">
      <c r="B76" s="3" t="s">
        <v>10</v>
      </c>
      <c r="C76">
        <v>0</v>
      </c>
      <c r="D76">
        <v>0</v>
      </c>
      <c r="E76">
        <f>C76+D76</f>
        <v>0</v>
      </c>
      <c r="F76" s="9">
        <f>E76*25</f>
        <v>0</v>
      </c>
    </row>
    <row r="77" spans="2:12" x14ac:dyDescent="0.5">
      <c r="B77" s="3" t="s">
        <v>14</v>
      </c>
      <c r="C77">
        <v>0</v>
      </c>
      <c r="D77">
        <v>0</v>
      </c>
      <c r="E77">
        <f>C77+D77</f>
        <v>0</v>
      </c>
      <c r="F77" s="9">
        <f>E77*25</f>
        <v>0</v>
      </c>
    </row>
    <row r="78" spans="2:12" x14ac:dyDescent="0.5">
      <c r="B78" s="3" t="s">
        <v>47</v>
      </c>
      <c r="C78">
        <v>0</v>
      </c>
      <c r="D78">
        <v>0</v>
      </c>
      <c r="E78">
        <f>C78+D78</f>
        <v>0</v>
      </c>
      <c r="F78" s="9">
        <f>E78*25</f>
        <v>0</v>
      </c>
    </row>
    <row r="79" spans="2:12" ht="14.7" customHeight="1" thickBot="1" x14ac:dyDescent="0.55000000000000004">
      <c r="B79" s="16" t="s">
        <v>48</v>
      </c>
      <c r="C79" s="12"/>
      <c r="D79" s="12"/>
      <c r="E79">
        <f>C79+D79</f>
        <v>0</v>
      </c>
      <c r="F79" s="9">
        <f>E79*25</f>
        <v>0</v>
      </c>
    </row>
    <row r="80" spans="2:12" ht="14.7" customHeight="1" thickBot="1" x14ac:dyDescent="0.55000000000000004">
      <c r="B80" s="17" t="s">
        <v>49</v>
      </c>
      <c r="C80" s="18" t="s">
        <v>4</v>
      </c>
      <c r="D80" s="18" t="s">
        <v>5</v>
      </c>
      <c r="E80" s="18" t="s">
        <v>6</v>
      </c>
      <c r="F80" s="19" t="s">
        <v>7</v>
      </c>
    </row>
    <row r="81" spans="2:6" x14ac:dyDescent="0.5">
      <c r="B81" s="23" t="s">
        <v>18</v>
      </c>
      <c r="C81">
        <v>72451.738109242433</v>
      </c>
      <c r="D81">
        <v>90290.87999999999</v>
      </c>
      <c r="E81">
        <f>C81+D81</f>
        <v>162742.61810924241</v>
      </c>
      <c r="F81" s="9">
        <f>E81*25</f>
        <v>4068565.4527310603</v>
      </c>
    </row>
    <row r="82" spans="2:6" ht="14.7" customHeight="1" thickBot="1" x14ac:dyDescent="0.55000000000000004">
      <c r="B82" s="16" t="s">
        <v>50</v>
      </c>
      <c r="C82" s="12"/>
      <c r="D82" s="12"/>
      <c r="E82">
        <f>C82+D82</f>
        <v>0</v>
      </c>
      <c r="F82" s="9">
        <f>E82*25</f>
        <v>0</v>
      </c>
    </row>
    <row r="83" spans="2:6" ht="14.7" customHeight="1" thickBot="1" x14ac:dyDescent="0.55000000000000004">
      <c r="B83" s="17"/>
      <c r="C83" s="18" t="s">
        <v>4</v>
      </c>
      <c r="D83" s="18" t="s">
        <v>5</v>
      </c>
      <c r="E83" s="18" t="s">
        <v>6</v>
      </c>
      <c r="F83" s="19" t="s">
        <v>7</v>
      </c>
    </row>
    <row r="84" spans="2:6" ht="14.7" customHeight="1" thickBot="1" x14ac:dyDescent="0.55000000000000004">
      <c r="B84" s="24" t="s">
        <v>22</v>
      </c>
      <c r="C84" s="12">
        <v>110766.06505082639</v>
      </c>
      <c r="D84" s="12">
        <v>6548094.1271216664</v>
      </c>
      <c r="E84" s="12">
        <v>6658860.1921724929</v>
      </c>
      <c r="F84" s="13">
        <f>E84*25</f>
        <v>166471504.80431232</v>
      </c>
    </row>
    <row r="85" spans="2:6" ht="14.7" customHeight="1" thickBot="1" x14ac:dyDescent="0.55000000000000004">
      <c r="B85" s="8"/>
      <c r="F85" s="9"/>
    </row>
    <row r="86" spans="2:6" ht="14.7" customHeight="1" thickBot="1" x14ac:dyDescent="0.55000000000000004">
      <c r="B86" s="29" t="s">
        <v>46</v>
      </c>
      <c r="C86" s="30"/>
      <c r="D86" s="31"/>
      <c r="F86" s="9"/>
    </row>
    <row r="87" spans="2:6" ht="14.7" customHeight="1" thickBot="1" x14ac:dyDescent="0.55000000000000004">
      <c r="B87" s="24" t="s">
        <v>23</v>
      </c>
      <c r="C87" s="18" t="s">
        <v>24</v>
      </c>
      <c r="D87" s="19" t="s">
        <v>25</v>
      </c>
      <c r="F87" s="9"/>
    </row>
    <row r="88" spans="2:6" x14ac:dyDescent="0.5">
      <c r="B88" s="23" t="s">
        <v>9</v>
      </c>
      <c r="C88">
        <v>6</v>
      </c>
      <c r="D88" s="9">
        <v>600</v>
      </c>
      <c r="F88" s="9"/>
    </row>
    <row r="89" spans="2:6" x14ac:dyDescent="0.5">
      <c r="B89" s="3" t="s">
        <v>10</v>
      </c>
      <c r="C89">
        <v>0</v>
      </c>
      <c r="D89" s="9">
        <v>0</v>
      </c>
      <c r="F89" s="9"/>
    </row>
    <row r="90" spans="2:6" x14ac:dyDescent="0.5">
      <c r="B90" s="3" t="s">
        <v>14</v>
      </c>
      <c r="C90">
        <v>0</v>
      </c>
      <c r="D90" s="9">
        <v>0</v>
      </c>
      <c r="F90" s="9"/>
    </row>
    <row r="91" spans="2:6" x14ac:dyDescent="0.5">
      <c r="B91" s="3" t="s">
        <v>47</v>
      </c>
      <c r="C91">
        <v>0</v>
      </c>
      <c r="D91" s="9">
        <v>0</v>
      </c>
      <c r="F91" s="9"/>
    </row>
    <row r="92" spans="2:6" ht="14.7" customHeight="1" thickBot="1" x14ac:dyDescent="0.55000000000000004">
      <c r="B92" s="16" t="s">
        <v>26</v>
      </c>
      <c r="C92" s="12">
        <v>6</v>
      </c>
      <c r="D92" s="13">
        <v>600</v>
      </c>
      <c r="F92" s="9"/>
    </row>
    <row r="93" spans="2:6" ht="14.7" customHeight="1" thickBot="1" x14ac:dyDescent="0.55000000000000004">
      <c r="B93" s="8"/>
      <c r="F93" s="9"/>
    </row>
    <row r="94" spans="2:6" ht="14.7" customHeight="1" thickBot="1" x14ac:dyDescent="0.55000000000000004">
      <c r="B94" s="29" t="s">
        <v>51</v>
      </c>
      <c r="C94" s="30"/>
      <c r="D94" s="31"/>
      <c r="F94" s="9"/>
    </row>
    <row r="95" spans="2:6" ht="14.7" customHeight="1" thickBot="1" x14ac:dyDescent="0.55000000000000004">
      <c r="B95" s="17" t="s">
        <v>23</v>
      </c>
      <c r="C95" s="18" t="s">
        <v>24</v>
      </c>
      <c r="D95" s="19" t="s">
        <v>25</v>
      </c>
      <c r="F95" s="9"/>
    </row>
    <row r="96" spans="2:6" ht="14.7" customHeight="1" thickBot="1" x14ac:dyDescent="0.55000000000000004">
      <c r="B96" s="24" t="s">
        <v>18</v>
      </c>
      <c r="C96" s="12">
        <v>321</v>
      </c>
      <c r="D96" s="13">
        <v>5643.1799999999994</v>
      </c>
      <c r="F96" s="9"/>
    </row>
    <row r="97" spans="2:6" ht="14.7" customHeight="1" thickBot="1" x14ac:dyDescent="0.55000000000000004">
      <c r="B97" s="8"/>
      <c r="F97" s="9"/>
    </row>
    <row r="98" spans="2:6" ht="14.7" customHeight="1" thickBot="1" x14ac:dyDescent="0.55000000000000004">
      <c r="B98" s="29" t="s">
        <v>52</v>
      </c>
      <c r="C98" s="30"/>
      <c r="D98" s="31"/>
      <c r="F98" s="9"/>
    </row>
    <row r="99" spans="2:6" ht="14.7" customHeight="1" thickBot="1" x14ac:dyDescent="0.55000000000000004">
      <c r="B99" s="17" t="s">
        <v>53</v>
      </c>
      <c r="C99" s="18" t="s">
        <v>54</v>
      </c>
      <c r="D99" s="19" t="s">
        <v>55</v>
      </c>
      <c r="F99" s="9"/>
    </row>
    <row r="100" spans="2:6" x14ac:dyDescent="0.5">
      <c r="B100" s="23" t="s">
        <v>56</v>
      </c>
      <c r="C100">
        <v>840526.31578947138</v>
      </c>
      <c r="D100" s="9">
        <f>C100*25</f>
        <v>21013157.894736785</v>
      </c>
      <c r="F100" s="9"/>
    </row>
    <row r="101" spans="2:6" x14ac:dyDescent="0.5">
      <c r="B101" s="3" t="s">
        <v>57</v>
      </c>
      <c r="C101">
        <v>2211667.9076093631</v>
      </c>
      <c r="D101" s="9">
        <f>C101*25</f>
        <v>55291697.69023408</v>
      </c>
      <c r="F101" s="9"/>
    </row>
    <row r="102" spans="2:6" ht="14.7" customHeight="1" thickBot="1" x14ac:dyDescent="0.55000000000000004">
      <c r="B102" s="16" t="s">
        <v>26</v>
      </c>
      <c r="C102" s="12">
        <f>C100+C101</f>
        <v>3052194.2233988345</v>
      </c>
      <c r="D102" s="13">
        <f>C102*25</f>
        <v>76304855.584970862</v>
      </c>
      <c r="F102" s="9"/>
    </row>
    <row r="103" spans="2:6" ht="14.7" customHeight="1" thickBot="1" x14ac:dyDescent="0.55000000000000004">
      <c r="B103" s="8"/>
      <c r="F103" s="9"/>
    </row>
    <row r="104" spans="2:6" ht="14.7" customHeight="1" thickBot="1" x14ac:dyDescent="0.55000000000000004">
      <c r="B104" s="29" t="s">
        <v>58</v>
      </c>
      <c r="C104" s="30"/>
      <c r="D104" s="31"/>
      <c r="F104" s="9"/>
    </row>
    <row r="105" spans="2:6" ht="14.7" customHeight="1" thickBot="1" x14ac:dyDescent="0.55000000000000004">
      <c r="B105" s="17" t="s">
        <v>53</v>
      </c>
      <c r="C105" s="18" t="s">
        <v>59</v>
      </c>
      <c r="D105" s="22" t="s">
        <v>60</v>
      </c>
      <c r="F105" s="9"/>
    </row>
    <row r="106" spans="2:6" x14ac:dyDescent="0.5">
      <c r="B106" s="23" t="s">
        <v>56</v>
      </c>
      <c r="C106">
        <f>2.6085*C100</f>
        <v>2192512.8947368357</v>
      </c>
      <c r="D106" s="9">
        <f>C106*25</f>
        <v>54812822.368420891</v>
      </c>
      <c r="F106" s="9"/>
    </row>
    <row r="107" spans="2:6" x14ac:dyDescent="0.5">
      <c r="B107" s="3" t="s">
        <v>57</v>
      </c>
      <c r="C107">
        <f>2.6085*C101</f>
        <v>5769135.7369990228</v>
      </c>
      <c r="D107" s="9">
        <f>C107*25</f>
        <v>144228393.42497557</v>
      </c>
      <c r="F107" s="9"/>
    </row>
    <row r="108" spans="2:6" ht="14.7" customHeight="1" thickBot="1" x14ac:dyDescent="0.55000000000000004">
      <c r="B108" s="16" t="s">
        <v>26</v>
      </c>
      <c r="C108" s="12">
        <f>2.6085*C102</f>
        <v>7961648.6317358594</v>
      </c>
      <c r="D108" s="13">
        <f>C108*25</f>
        <v>199041215.79339647</v>
      </c>
      <c r="E108" s="12"/>
      <c r="F108" s="13"/>
    </row>
  </sheetData>
  <mergeCells count="30">
    <mergeCell ref="H36:J36"/>
    <mergeCell ref="B72:F72"/>
    <mergeCell ref="H63:I63"/>
    <mergeCell ref="B104:D104"/>
    <mergeCell ref="B73:F73"/>
    <mergeCell ref="B36:D36"/>
    <mergeCell ref="B94:D94"/>
    <mergeCell ref="B50:D50"/>
    <mergeCell ref="B68:C68"/>
    <mergeCell ref="B64:C64"/>
    <mergeCell ref="B60:C60"/>
    <mergeCell ref="B55:D55"/>
    <mergeCell ref="B47:C47"/>
    <mergeCell ref="B98:D98"/>
    <mergeCell ref="B5:L5"/>
    <mergeCell ref="B63:C63"/>
    <mergeCell ref="B43:D43"/>
    <mergeCell ref="H25:J25"/>
    <mergeCell ref="B86:D86"/>
    <mergeCell ref="H6:L6"/>
    <mergeCell ref="H64:I64"/>
    <mergeCell ref="H60:I60"/>
    <mergeCell ref="H47:I47"/>
    <mergeCell ref="B25:D25"/>
    <mergeCell ref="H43:J43"/>
    <mergeCell ref="B6:F6"/>
    <mergeCell ref="B33:C33"/>
    <mergeCell ref="H50:J50"/>
    <mergeCell ref="H55:J55"/>
    <mergeCell ref="H33:I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4:N108"/>
  <sheetViews>
    <sheetView tabSelected="1" topLeftCell="A15" zoomScale="70" zoomScaleNormal="70" workbookViewId="0">
      <selection activeCell="M29" sqref="M29"/>
    </sheetView>
  </sheetViews>
  <sheetFormatPr defaultColWidth="39.234375" defaultRowHeight="14.35" x14ac:dyDescent="0.5"/>
  <cols>
    <col min="1" max="1" width="13.52734375" customWidth="1"/>
    <col min="2" max="2" width="15.234375" bestFit="1" customWidth="1"/>
    <col min="3" max="3" width="17.64453125" bestFit="1" customWidth="1"/>
    <col min="4" max="4" width="18.64453125" bestFit="1" customWidth="1"/>
    <col min="5" max="5" width="12.46875" bestFit="1" customWidth="1"/>
    <col min="6" max="6" width="13.5859375" bestFit="1" customWidth="1"/>
    <col min="7" max="7" width="12.46875" customWidth="1"/>
    <col min="8" max="8" width="15.234375" bestFit="1" customWidth="1"/>
    <col min="9" max="9" width="15.703125" bestFit="1" customWidth="1"/>
    <col min="10" max="10" width="18" bestFit="1" customWidth="1"/>
    <col min="11" max="11" width="12.46875" bestFit="1" customWidth="1"/>
    <col min="12" max="12" width="14.5859375" bestFit="1" customWidth="1"/>
    <col min="13" max="14" width="13.41015625" bestFit="1" customWidth="1"/>
    <col min="15" max="15" width="1.76171875" bestFit="1" customWidth="1"/>
  </cols>
  <sheetData>
    <row r="4" spans="2:14" ht="14.7" customHeight="1" thickBot="1" x14ac:dyDescent="0.55000000000000004"/>
    <row r="5" spans="2:14" ht="14.7" customHeight="1" thickBot="1" x14ac:dyDescent="0.55000000000000004">
      <c r="B5" s="29" t="s">
        <v>0</v>
      </c>
      <c r="C5" s="30"/>
      <c r="D5" s="30"/>
      <c r="E5" s="30"/>
      <c r="F5" s="30"/>
      <c r="G5" s="30"/>
      <c r="H5" s="30"/>
      <c r="I5" s="30"/>
      <c r="J5" s="30"/>
      <c r="K5" s="30"/>
      <c r="L5" s="31"/>
    </row>
    <row r="6" spans="2:14" ht="14.7" customHeight="1" thickBot="1" x14ac:dyDescent="0.55000000000000004">
      <c r="B6" s="29" t="s">
        <v>1</v>
      </c>
      <c r="C6" s="30"/>
      <c r="D6" s="30"/>
      <c r="E6" s="30"/>
      <c r="F6" s="31"/>
      <c r="H6" s="29" t="s">
        <v>2</v>
      </c>
      <c r="I6" s="30"/>
      <c r="J6" s="30"/>
      <c r="K6" s="30"/>
      <c r="L6" s="31"/>
    </row>
    <row r="7" spans="2:14" ht="14.7" customHeight="1" thickBot="1" x14ac:dyDescent="0.55000000000000004">
      <c r="B7" s="24" t="s">
        <v>3</v>
      </c>
      <c r="C7" s="18" t="s">
        <v>4</v>
      </c>
      <c r="D7" s="18" t="s">
        <v>5</v>
      </c>
      <c r="E7" s="18" t="s">
        <v>6</v>
      </c>
      <c r="F7" s="19" t="s">
        <v>7</v>
      </c>
      <c r="H7" s="24" t="s">
        <v>3</v>
      </c>
      <c r="I7" s="18" t="s">
        <v>4</v>
      </c>
      <c r="J7" s="18" t="s">
        <v>5</v>
      </c>
      <c r="K7" s="18" t="s">
        <v>6</v>
      </c>
      <c r="L7" s="19" t="s">
        <v>7</v>
      </c>
    </row>
    <row r="8" spans="2:14" x14ac:dyDescent="0.5">
      <c r="B8" s="3" t="s">
        <v>8</v>
      </c>
      <c r="C8" s="6">
        <f>13698 * D27*((0.05*((1.05)^25))/((1.05^25)-1))</f>
        <v>291572.0280254542</v>
      </c>
      <c r="D8" s="6">
        <f>29*D27</f>
        <v>8700</v>
      </c>
      <c r="E8" s="6">
        <f>C8+D8</f>
        <v>300272.0280254542</v>
      </c>
      <c r="F8" s="10">
        <f>E8*25</f>
        <v>7506800.7006363552</v>
      </c>
      <c r="H8" s="3" t="s">
        <v>9</v>
      </c>
      <c r="I8" s="39">
        <f>1615 * J27*((0.05*((1.05)^25))/((1.05^25)-1))</f>
        <v>45835.287415302337</v>
      </c>
      <c r="J8" s="39">
        <f>29*J27</f>
        <v>11600</v>
      </c>
      <c r="K8" s="39">
        <f>I8+J8</f>
        <v>57435.287415302337</v>
      </c>
      <c r="L8" s="10">
        <f>K8*25</f>
        <v>1435882.1853825585</v>
      </c>
    </row>
    <row r="9" spans="2:14" x14ac:dyDescent="0.5">
      <c r="B9" s="3" t="s">
        <v>10</v>
      </c>
      <c r="C9" s="6">
        <f>13698 * D28*((0.05*((1.05)^25))/((1.05^25)-1))</f>
        <v>1943813.5201696947</v>
      </c>
      <c r="D9" s="6">
        <f>29*D28</f>
        <v>58000</v>
      </c>
      <c r="E9" s="6">
        <f>C9+D9</f>
        <v>2001813.5201696947</v>
      </c>
      <c r="F9" s="10">
        <f>E9*25</f>
        <v>50045338.004242368</v>
      </c>
      <c r="H9" s="3" t="s">
        <v>10</v>
      </c>
      <c r="I9" s="39">
        <f>1615 * J28*((0.05*((1.05)^25))/((1.05^25)-1))</f>
        <v>229176.43707651168</v>
      </c>
      <c r="J9" s="39">
        <f>29*J28</f>
        <v>58000</v>
      </c>
      <c r="K9" s="39">
        <f>I9+J9</f>
        <v>287176.43707651168</v>
      </c>
      <c r="L9" s="10">
        <f>K9*25</f>
        <v>7179410.926912792</v>
      </c>
      <c r="M9" s="7"/>
      <c r="N9" s="6"/>
    </row>
    <row r="10" spans="2:14" x14ac:dyDescent="0.5">
      <c r="B10" s="3" t="s">
        <v>11</v>
      </c>
      <c r="C10" s="6">
        <f>13698 * D29*((0.05*((1.05)^25))/((1.05^25)-1))</f>
        <v>0</v>
      </c>
      <c r="D10" s="6">
        <f>29*D29</f>
        <v>0</v>
      </c>
      <c r="E10" s="6">
        <f>C10+D10</f>
        <v>0</v>
      </c>
      <c r="F10" s="10">
        <f>E10*25</f>
        <v>0</v>
      </c>
      <c r="H10" s="3" t="s">
        <v>11</v>
      </c>
      <c r="I10" s="39">
        <f>1615 * J29*((0.05*((1.05)^25))/((1.05^25)-1))</f>
        <v>0</v>
      </c>
      <c r="J10" s="39">
        <f>29*J29</f>
        <v>0</v>
      </c>
      <c r="K10" s="39">
        <f>I10+J10</f>
        <v>0</v>
      </c>
      <c r="L10" s="10">
        <f>K10*25</f>
        <v>0</v>
      </c>
      <c r="M10" s="7"/>
    </row>
    <row r="11" spans="2:14" ht="14.7" customHeight="1" thickBot="1" x14ac:dyDescent="0.55000000000000004">
      <c r="B11" s="16" t="s">
        <v>12</v>
      </c>
      <c r="C11" s="14">
        <f>13698 * D30*((0.05*((1.05)^25))/((1.05^25)-1))</f>
        <v>0</v>
      </c>
      <c r="D11" s="14">
        <f>29*D30</f>
        <v>0</v>
      </c>
      <c r="E11" s="14">
        <f>C11+D11</f>
        <v>0</v>
      </c>
      <c r="F11" s="15">
        <f>E11*25</f>
        <v>0</v>
      </c>
      <c r="H11" s="16" t="s">
        <v>12</v>
      </c>
      <c r="I11" s="14">
        <f>1615 * J30*((0.05*((1.05)^25))/((1.05^25)-1))</f>
        <v>0</v>
      </c>
      <c r="J11" s="14">
        <f>29*J30</f>
        <v>0</v>
      </c>
      <c r="K11" s="14">
        <f>I11+J11</f>
        <v>0</v>
      </c>
      <c r="L11" s="13">
        <f>K11*25</f>
        <v>0</v>
      </c>
    </row>
    <row r="12" spans="2:14" ht="14.7" customHeight="1" thickBot="1" x14ac:dyDescent="0.55000000000000004">
      <c r="B12" s="24" t="s">
        <v>13</v>
      </c>
      <c r="C12" s="18" t="s">
        <v>4</v>
      </c>
      <c r="D12" s="18" t="s">
        <v>5</v>
      </c>
      <c r="E12" s="18" t="s">
        <v>6</v>
      </c>
      <c r="F12" s="19" t="s">
        <v>7</v>
      </c>
      <c r="H12" s="24" t="s">
        <v>13</v>
      </c>
      <c r="I12" s="18" t="s">
        <v>4</v>
      </c>
      <c r="J12" s="18" t="s">
        <v>5</v>
      </c>
      <c r="K12" s="18" t="s">
        <v>6</v>
      </c>
      <c r="L12" s="19" t="s">
        <v>7</v>
      </c>
    </row>
    <row r="13" spans="2:14" x14ac:dyDescent="0.5">
      <c r="B13" s="3" t="s">
        <v>14</v>
      </c>
      <c r="C13" s="4">
        <f>2490 * D38*((0.05*((1.05)^10))/((1.05^10)-1))</f>
        <v>644932.78332797438</v>
      </c>
      <c r="D13" s="1">
        <f>37.35*D38</f>
        <v>74700</v>
      </c>
      <c r="E13">
        <f>C13+D13</f>
        <v>719632.78332797438</v>
      </c>
      <c r="F13" s="9">
        <f>E13*25</f>
        <v>17990819.583199359</v>
      </c>
      <c r="H13" s="3" t="s">
        <v>14</v>
      </c>
      <c r="I13" s="4">
        <f>2490 * J38*((0.05*((1.05)^10))/((1.05^10)-1))</f>
        <v>644932.78332797438</v>
      </c>
      <c r="J13" s="1">
        <f>37.35*J38</f>
        <v>74700</v>
      </c>
      <c r="K13" s="39">
        <f>I13+J13</f>
        <v>719632.78332797438</v>
      </c>
      <c r="L13" s="10">
        <f>K13*25</f>
        <v>17990819.583199359</v>
      </c>
    </row>
    <row r="14" spans="2:14" x14ac:dyDescent="0.5">
      <c r="B14" s="3" t="s">
        <v>15</v>
      </c>
      <c r="C14" s="4">
        <f>1570 * D39*((0.05*((1.05)^10))/((1.05^10)-1))</f>
        <v>0</v>
      </c>
      <c r="D14" s="1">
        <f>23.55*D39</f>
        <v>0</v>
      </c>
      <c r="E14">
        <f>C14+D14</f>
        <v>0</v>
      </c>
      <c r="F14" s="9">
        <f>E14*25</f>
        <v>0</v>
      </c>
      <c r="H14" s="3" t="s">
        <v>15</v>
      </c>
      <c r="I14" s="4">
        <f>1570 * J39*((0.05*((1.05)^10))/((1.05^10)-1))</f>
        <v>0</v>
      </c>
      <c r="J14" s="1">
        <f>23.55*J39</f>
        <v>0</v>
      </c>
      <c r="K14" s="38">
        <f>I14+J14</f>
        <v>0</v>
      </c>
      <c r="L14" s="10">
        <f>K14*25</f>
        <v>0</v>
      </c>
    </row>
    <row r="15" spans="2:14" ht="14.7" customHeight="1" thickBot="1" x14ac:dyDescent="0.55000000000000004">
      <c r="B15" s="16" t="s">
        <v>16</v>
      </c>
      <c r="C15" s="5">
        <f>1190 * D40*((0.05*((1.05)^10))/((1.05^10)-1))</f>
        <v>0</v>
      </c>
      <c r="D15" s="2">
        <f>17.85*D40</f>
        <v>0</v>
      </c>
      <c r="E15" s="12">
        <f>C15+D15</f>
        <v>0</v>
      </c>
      <c r="F15" s="13">
        <f>E15*25</f>
        <v>0</v>
      </c>
      <c r="H15" s="16" t="s">
        <v>16</v>
      </c>
      <c r="I15" s="5">
        <f>1190 * J40*((0.05*((1.05)^10))/((1.05^10)-1))</f>
        <v>0</v>
      </c>
      <c r="J15" s="2">
        <f>17.85*J40</f>
        <v>0</v>
      </c>
      <c r="K15" s="12">
        <f>I15+J15</f>
        <v>0</v>
      </c>
      <c r="L15" s="15">
        <f>K15*25</f>
        <v>0</v>
      </c>
    </row>
    <row r="16" spans="2:14" ht="14.7" customHeight="1" thickBot="1" x14ac:dyDescent="0.55000000000000004">
      <c r="B16" s="24" t="s">
        <v>17</v>
      </c>
      <c r="C16" s="18" t="s">
        <v>4</v>
      </c>
      <c r="D16" s="18" t="s">
        <v>5</v>
      </c>
      <c r="E16" s="18" t="s">
        <v>6</v>
      </c>
      <c r="F16" s="19" t="s">
        <v>7</v>
      </c>
      <c r="H16" s="24" t="s">
        <v>17</v>
      </c>
      <c r="I16" s="18" t="s">
        <v>4</v>
      </c>
      <c r="J16" s="18" t="s">
        <v>5</v>
      </c>
      <c r="K16" s="18" t="s">
        <v>6</v>
      </c>
      <c r="L16" s="19" t="s">
        <v>7</v>
      </c>
    </row>
    <row r="17" spans="2:14" ht="14.7" customHeight="1" thickBot="1" x14ac:dyDescent="0.55000000000000004">
      <c r="B17" s="16" t="s">
        <v>18</v>
      </c>
      <c r="C17" s="12">
        <v>29567.531751746908</v>
      </c>
      <c r="D17" s="12">
        <v>36847.679999999993</v>
      </c>
      <c r="E17" s="12">
        <f>D17+C17</f>
        <v>66415.211751746901</v>
      </c>
      <c r="F17" s="13">
        <f>E17*25</f>
        <v>1660380.2937936725</v>
      </c>
      <c r="H17" s="16" t="s">
        <v>18</v>
      </c>
      <c r="I17" s="12">
        <v>29567.531751746908</v>
      </c>
      <c r="J17" s="12">
        <v>36847.679999999993</v>
      </c>
      <c r="K17" s="12">
        <f>J17+I17</f>
        <v>66415.211751746901</v>
      </c>
      <c r="L17" s="15">
        <f>K17*25</f>
        <v>1660380.2937936725</v>
      </c>
    </row>
    <row r="18" spans="2:14" ht="14.7" customHeight="1" thickBot="1" x14ac:dyDescent="0.55000000000000004">
      <c r="B18" s="24" t="s">
        <v>19</v>
      </c>
      <c r="C18" s="18" t="s">
        <v>4</v>
      </c>
      <c r="D18" s="18" t="s">
        <v>5</v>
      </c>
      <c r="E18" s="18" t="s">
        <v>6</v>
      </c>
      <c r="F18" s="19" t="s">
        <v>7</v>
      </c>
      <c r="H18" s="24" t="s">
        <v>20</v>
      </c>
      <c r="I18" s="18" t="s">
        <v>4</v>
      </c>
      <c r="J18" s="18" t="s">
        <v>5</v>
      </c>
      <c r="K18" s="18" t="s">
        <v>6</v>
      </c>
      <c r="L18" s="19" t="s">
        <v>7</v>
      </c>
    </row>
    <row r="19" spans="2:14" ht="14.7" customHeight="1" thickBot="1" x14ac:dyDescent="0.55000000000000004">
      <c r="B19" s="11"/>
      <c r="C19" s="12">
        <f>C48*300*((0.05*((1.05)^20))/((1.05^20)-1))</f>
        <v>203414.95852840249</v>
      </c>
      <c r="D19" s="12">
        <v>0</v>
      </c>
      <c r="E19" s="12">
        <f>D19+C19</f>
        <v>203414.95852840249</v>
      </c>
      <c r="F19" s="13">
        <f>E19*25</f>
        <v>5085373.9632100621</v>
      </c>
      <c r="H19" s="11"/>
      <c r="I19" s="14">
        <f>(I48/10)*3000*((0.05*((1.05)^20))/((1.05^20)-1))</f>
        <v>162250.51129957783</v>
      </c>
      <c r="J19" s="12">
        <v>0</v>
      </c>
      <c r="K19" s="12">
        <f>J19+I19</f>
        <v>162250.51129957783</v>
      </c>
      <c r="L19" s="15">
        <f>K19*25</f>
        <v>4056262.782489446</v>
      </c>
    </row>
    <row r="20" spans="2:14" ht="14.7" customHeight="1" thickBot="1" x14ac:dyDescent="0.55000000000000004">
      <c r="B20" s="24" t="s">
        <v>21</v>
      </c>
      <c r="C20" s="18" t="s">
        <v>4</v>
      </c>
      <c r="D20" s="18" t="s">
        <v>5</v>
      </c>
      <c r="E20" s="18" t="s">
        <v>6</v>
      </c>
      <c r="F20" s="19" t="s">
        <v>7</v>
      </c>
      <c r="H20" s="24" t="s">
        <v>21</v>
      </c>
      <c r="I20" s="18" t="s">
        <v>4</v>
      </c>
      <c r="J20" s="18" t="s">
        <v>5</v>
      </c>
      <c r="K20" s="18" t="s">
        <v>6</v>
      </c>
      <c r="L20" s="19" t="s">
        <v>7</v>
      </c>
    </row>
    <row r="21" spans="2:14" ht="14.7" customHeight="1" thickBot="1" x14ac:dyDescent="0.55000000000000004">
      <c r="B21" s="11"/>
      <c r="C21" s="12">
        <v>0</v>
      </c>
      <c r="D21" s="12">
        <v>0</v>
      </c>
      <c r="E21" s="12">
        <f>C21+D21</f>
        <v>0</v>
      </c>
      <c r="F21" s="13">
        <f>E21*25</f>
        <v>0</v>
      </c>
      <c r="H21" s="11"/>
      <c r="I21" s="12">
        <v>271.70140022768072</v>
      </c>
      <c r="J21" s="12">
        <v>38</v>
      </c>
      <c r="K21" s="12">
        <f>J21+I21</f>
        <v>309.70140022768072</v>
      </c>
      <c r="L21" s="13">
        <f>K21*25</f>
        <v>7742.5350056920179</v>
      </c>
    </row>
    <row r="22" spans="2:14" ht="14.7" customHeight="1" thickBot="1" x14ac:dyDescent="0.55000000000000004">
      <c r="B22" s="17"/>
      <c r="C22" s="18" t="s">
        <v>4</v>
      </c>
      <c r="D22" s="18" t="s">
        <v>5</v>
      </c>
      <c r="E22" s="18" t="s">
        <v>6</v>
      </c>
      <c r="F22" s="19" t="s">
        <v>7</v>
      </c>
      <c r="H22" s="17"/>
      <c r="I22" s="18" t="s">
        <v>4</v>
      </c>
      <c r="J22" s="18" t="s">
        <v>5</v>
      </c>
      <c r="K22" s="18" t="s">
        <v>6</v>
      </c>
      <c r="L22" s="19" t="s">
        <v>7</v>
      </c>
    </row>
    <row r="23" spans="2:14" ht="14.7" customHeight="1" thickBot="1" x14ac:dyDescent="0.55000000000000004">
      <c r="B23" s="24" t="s">
        <v>22</v>
      </c>
      <c r="C23" s="12">
        <v>3113300.8218032708</v>
      </c>
      <c r="D23" s="12">
        <v>178247.67999999999</v>
      </c>
      <c r="E23" s="25">
        <v>3291548.501803271</v>
      </c>
      <c r="F23" s="13">
        <f>D23*25</f>
        <v>4456192</v>
      </c>
      <c r="H23" s="24" t="s">
        <v>22</v>
      </c>
      <c r="I23" s="14">
        <v>1112034.25227134</v>
      </c>
      <c r="J23" s="14">
        <v>181185.68</v>
      </c>
      <c r="K23" s="14">
        <v>4062917.2247025901</v>
      </c>
      <c r="L23" s="15">
        <f>K23*25</f>
        <v>101572930.61756475</v>
      </c>
      <c r="M23" s="6"/>
    </row>
    <row r="24" spans="2:14" ht="14.7" customHeight="1" thickBot="1" x14ac:dyDescent="0.55000000000000004">
      <c r="B24" s="8"/>
      <c r="F24" s="9"/>
      <c r="H24" s="8"/>
      <c r="I24" s="39"/>
      <c r="J24" s="39"/>
      <c r="K24" s="39"/>
      <c r="L24" s="10"/>
      <c r="M24" s="6"/>
      <c r="N24" s="7"/>
    </row>
    <row r="25" spans="2:14" ht="14.7" customHeight="1" thickBot="1" x14ac:dyDescent="0.55000000000000004">
      <c r="B25" s="29" t="s">
        <v>3</v>
      </c>
      <c r="C25" s="30"/>
      <c r="D25" s="31"/>
      <c r="F25" s="9"/>
      <c r="H25" s="29" t="s">
        <v>3</v>
      </c>
      <c r="I25" s="30"/>
      <c r="J25" s="31"/>
      <c r="K25" s="38"/>
      <c r="L25" s="10"/>
      <c r="M25" s="6"/>
    </row>
    <row r="26" spans="2:14" ht="14.7" customHeight="1" thickBot="1" x14ac:dyDescent="0.55000000000000004">
      <c r="B26" s="17" t="s">
        <v>23</v>
      </c>
      <c r="C26" s="18" t="s">
        <v>24</v>
      </c>
      <c r="D26" s="19" t="s">
        <v>25</v>
      </c>
      <c r="F26" s="9"/>
      <c r="H26" s="17" t="s">
        <v>23</v>
      </c>
      <c r="I26" s="18" t="s">
        <v>24</v>
      </c>
      <c r="J26" s="19" t="s">
        <v>25</v>
      </c>
      <c r="K26" s="38"/>
      <c r="L26" s="10"/>
      <c r="M26" s="6"/>
    </row>
    <row r="27" spans="2:14" x14ac:dyDescent="0.5">
      <c r="B27" s="23" t="s">
        <v>9</v>
      </c>
      <c r="C27">
        <v>3</v>
      </c>
      <c r="D27" s="9">
        <v>300</v>
      </c>
      <c r="F27" s="9"/>
      <c r="H27" s="8" t="s">
        <v>9</v>
      </c>
      <c r="I27" s="38">
        <v>4</v>
      </c>
      <c r="J27" s="9">
        <v>400</v>
      </c>
      <c r="K27" s="38"/>
      <c r="L27" s="9"/>
    </row>
    <row r="28" spans="2:14" x14ac:dyDescent="0.5">
      <c r="B28" s="3" t="s">
        <v>10</v>
      </c>
      <c r="C28">
        <v>4</v>
      </c>
      <c r="D28" s="9">
        <v>2000</v>
      </c>
      <c r="F28" s="9"/>
      <c r="H28" s="8" t="s">
        <v>10</v>
      </c>
      <c r="I28" s="38">
        <v>4</v>
      </c>
      <c r="J28" s="9">
        <v>2000</v>
      </c>
      <c r="K28" s="38"/>
      <c r="L28" s="9"/>
    </row>
    <row r="29" spans="2:14" x14ac:dyDescent="0.5">
      <c r="B29" s="3" t="s">
        <v>11</v>
      </c>
      <c r="C29">
        <v>0</v>
      </c>
      <c r="D29" s="9">
        <v>0</v>
      </c>
      <c r="F29" s="9"/>
      <c r="H29" s="8" t="s">
        <v>11</v>
      </c>
      <c r="I29" s="38">
        <v>0</v>
      </c>
      <c r="J29" s="9">
        <v>0</v>
      </c>
      <c r="K29" s="38"/>
      <c r="L29" s="9"/>
    </row>
    <row r="30" spans="2:14" x14ac:dyDescent="0.5">
      <c r="B30" s="3" t="s">
        <v>12</v>
      </c>
      <c r="C30">
        <v>0</v>
      </c>
      <c r="D30" s="9">
        <v>0</v>
      </c>
      <c r="F30" s="9"/>
      <c r="H30" s="8" t="s">
        <v>12</v>
      </c>
      <c r="I30" s="38">
        <v>0</v>
      </c>
      <c r="J30" s="9">
        <v>0</v>
      </c>
      <c r="K30" s="38"/>
      <c r="L30" s="9"/>
    </row>
    <row r="31" spans="2:14" ht="14.7" customHeight="1" thickBot="1" x14ac:dyDescent="0.55000000000000004">
      <c r="B31" s="16" t="s">
        <v>26</v>
      </c>
      <c r="C31" s="12">
        <v>7</v>
      </c>
      <c r="D31" s="13">
        <v>2300</v>
      </c>
      <c r="F31" s="9"/>
      <c r="H31" s="11" t="s">
        <v>26</v>
      </c>
      <c r="I31" s="12">
        <v>8</v>
      </c>
      <c r="J31" s="13">
        <v>2400</v>
      </c>
      <c r="K31" s="38"/>
      <c r="L31" s="9"/>
    </row>
    <row r="32" spans="2:14" ht="14.7" customHeight="1" thickBot="1" x14ac:dyDescent="0.55000000000000004">
      <c r="B32" s="8"/>
      <c r="F32" s="9"/>
      <c r="H32" s="8"/>
      <c r="I32" s="38"/>
      <c r="J32" s="38"/>
      <c r="K32" s="38"/>
      <c r="L32" s="9"/>
    </row>
    <row r="33" spans="2:12" ht="14.7" customHeight="1" thickBot="1" x14ac:dyDescent="0.55000000000000004">
      <c r="B33" s="29" t="s">
        <v>21</v>
      </c>
      <c r="C33" s="31"/>
      <c r="F33" s="9"/>
      <c r="H33" s="29" t="s">
        <v>21</v>
      </c>
      <c r="I33" s="31"/>
      <c r="J33" s="38"/>
      <c r="K33" s="38"/>
      <c r="L33" s="9"/>
    </row>
    <row r="34" spans="2:12" ht="14.7" customHeight="1" thickBot="1" x14ac:dyDescent="0.55000000000000004">
      <c r="B34" s="24" t="s">
        <v>25</v>
      </c>
      <c r="C34" s="13">
        <v>0</v>
      </c>
      <c r="F34" s="9"/>
      <c r="H34" s="24" t="s">
        <v>25</v>
      </c>
      <c r="I34" s="13">
        <v>2</v>
      </c>
      <c r="J34" s="38"/>
      <c r="K34" s="38"/>
      <c r="L34" s="9"/>
    </row>
    <row r="35" spans="2:12" ht="14.7" customHeight="1" thickBot="1" x14ac:dyDescent="0.55000000000000004">
      <c r="B35" s="8"/>
      <c r="F35" s="9"/>
      <c r="H35" s="8"/>
      <c r="I35" s="38"/>
      <c r="J35" s="38"/>
      <c r="K35" s="38"/>
      <c r="L35" s="9"/>
    </row>
    <row r="36" spans="2:12" ht="14.7" customHeight="1" thickBot="1" x14ac:dyDescent="0.55000000000000004">
      <c r="B36" s="29" t="s">
        <v>13</v>
      </c>
      <c r="C36" s="30"/>
      <c r="D36" s="31"/>
      <c r="F36" s="9"/>
      <c r="H36" s="29" t="s">
        <v>13</v>
      </c>
      <c r="I36" s="30"/>
      <c r="J36" s="31"/>
      <c r="K36" s="38"/>
      <c r="L36" s="9"/>
    </row>
    <row r="37" spans="2:12" ht="14.7" customHeight="1" thickBot="1" x14ac:dyDescent="0.55000000000000004">
      <c r="B37" s="24" t="s">
        <v>23</v>
      </c>
      <c r="C37" s="18" t="s">
        <v>24</v>
      </c>
      <c r="D37" s="19" t="s">
        <v>25</v>
      </c>
      <c r="F37" s="9"/>
      <c r="H37" s="17" t="s">
        <v>23</v>
      </c>
      <c r="I37" s="18" t="s">
        <v>24</v>
      </c>
      <c r="J37" s="19" t="s">
        <v>25</v>
      </c>
      <c r="K37" s="38"/>
      <c r="L37" s="9"/>
    </row>
    <row r="38" spans="2:12" x14ac:dyDescent="0.5">
      <c r="B38" s="23" t="s">
        <v>14</v>
      </c>
      <c r="C38">
        <v>2</v>
      </c>
      <c r="D38" s="9">
        <v>2000</v>
      </c>
      <c r="F38" s="9"/>
      <c r="H38" s="23" t="s">
        <v>14</v>
      </c>
      <c r="I38" s="38">
        <v>2</v>
      </c>
      <c r="J38" s="9">
        <v>2000</v>
      </c>
      <c r="K38" s="38"/>
      <c r="L38" s="9"/>
    </row>
    <row r="39" spans="2:12" x14ac:dyDescent="0.5">
      <c r="B39" s="3" t="s">
        <v>15</v>
      </c>
      <c r="C39">
        <v>0</v>
      </c>
      <c r="D39" s="9">
        <v>0</v>
      </c>
      <c r="F39" s="9"/>
      <c r="H39" s="3" t="s">
        <v>15</v>
      </c>
      <c r="I39" s="38">
        <v>0</v>
      </c>
      <c r="J39" s="9">
        <v>0</v>
      </c>
      <c r="K39" s="38"/>
      <c r="L39" s="9"/>
    </row>
    <row r="40" spans="2:12" x14ac:dyDescent="0.5">
      <c r="B40" s="3" t="s">
        <v>16</v>
      </c>
      <c r="C40">
        <v>0</v>
      </c>
      <c r="D40" s="9">
        <v>0</v>
      </c>
      <c r="F40" s="9"/>
      <c r="H40" s="3" t="s">
        <v>16</v>
      </c>
      <c r="I40" s="38">
        <v>0</v>
      </c>
      <c r="J40" s="9">
        <v>0</v>
      </c>
      <c r="K40" s="38"/>
      <c r="L40" s="9"/>
    </row>
    <row r="41" spans="2:12" ht="14.7" customHeight="1" thickBot="1" x14ac:dyDescent="0.55000000000000004">
      <c r="B41" s="16" t="s">
        <v>26</v>
      </c>
      <c r="C41" s="12">
        <v>2</v>
      </c>
      <c r="D41" s="13">
        <v>2000</v>
      </c>
      <c r="F41" s="9"/>
      <c r="H41" s="16" t="s">
        <v>26</v>
      </c>
      <c r="I41" s="12">
        <v>2</v>
      </c>
      <c r="J41" s="13">
        <v>2000</v>
      </c>
      <c r="K41" s="38"/>
      <c r="L41" s="9"/>
    </row>
    <row r="42" spans="2:12" ht="14.7" customHeight="1" thickBot="1" x14ac:dyDescent="0.55000000000000004">
      <c r="B42" s="8"/>
      <c r="F42" s="9"/>
      <c r="H42" s="8"/>
      <c r="I42" s="38"/>
      <c r="J42" s="38"/>
      <c r="K42" s="38"/>
      <c r="L42" s="9"/>
    </row>
    <row r="43" spans="2:12" ht="14.7" customHeight="1" thickBot="1" x14ac:dyDescent="0.55000000000000004">
      <c r="B43" s="29" t="s">
        <v>27</v>
      </c>
      <c r="C43" s="30"/>
      <c r="D43" s="31"/>
      <c r="F43" s="9"/>
      <c r="H43" s="29" t="s">
        <v>27</v>
      </c>
      <c r="I43" s="30"/>
      <c r="J43" s="31"/>
      <c r="K43" s="38"/>
      <c r="L43" s="9"/>
    </row>
    <row r="44" spans="2:12" ht="14.7" customHeight="1" thickBot="1" x14ac:dyDescent="0.55000000000000004">
      <c r="B44" s="24" t="s">
        <v>23</v>
      </c>
      <c r="C44" s="18" t="s">
        <v>24</v>
      </c>
      <c r="D44" s="19" t="s">
        <v>25</v>
      </c>
      <c r="F44" s="9"/>
      <c r="H44" s="17" t="s">
        <v>23</v>
      </c>
      <c r="I44" s="18" t="s">
        <v>24</v>
      </c>
      <c r="J44" s="19" t="s">
        <v>25</v>
      </c>
      <c r="K44" s="38"/>
      <c r="L44" s="9"/>
    </row>
    <row r="45" spans="2:12" ht="14.7" customHeight="1" thickBot="1" x14ac:dyDescent="0.55000000000000004">
      <c r="B45" s="24" t="s">
        <v>18</v>
      </c>
      <c r="C45" s="12">
        <v>131</v>
      </c>
      <c r="D45" s="13">
        <v>2302.98</v>
      </c>
      <c r="F45" s="9"/>
      <c r="H45" s="24" t="s">
        <v>18</v>
      </c>
      <c r="I45" s="12">
        <v>131</v>
      </c>
      <c r="J45" s="13">
        <v>2302.98</v>
      </c>
      <c r="K45" s="38"/>
      <c r="L45" s="9"/>
    </row>
    <row r="46" spans="2:12" ht="14.7" customHeight="1" thickBot="1" x14ac:dyDescent="0.55000000000000004">
      <c r="B46" s="8"/>
      <c r="F46" s="9"/>
      <c r="H46" s="8"/>
      <c r="I46" s="38"/>
      <c r="J46" s="38"/>
      <c r="K46" s="38"/>
      <c r="L46" s="9"/>
    </row>
    <row r="47" spans="2:12" ht="14.7" customHeight="1" thickBot="1" x14ac:dyDescent="0.55000000000000004">
      <c r="B47" s="29" t="s">
        <v>28</v>
      </c>
      <c r="C47" s="31"/>
      <c r="F47" s="9"/>
      <c r="H47" s="29" t="s">
        <v>28</v>
      </c>
      <c r="I47" s="31"/>
      <c r="J47" s="38"/>
      <c r="K47" s="38"/>
      <c r="L47" s="9"/>
    </row>
    <row r="48" spans="2:12" ht="14.7" customHeight="1" thickBot="1" x14ac:dyDescent="0.55000000000000004">
      <c r="B48" s="11" t="s">
        <v>29</v>
      </c>
      <c r="C48" s="13">
        <v>8450</v>
      </c>
      <c r="F48" s="9"/>
      <c r="H48" s="24" t="s">
        <v>29</v>
      </c>
      <c r="I48" s="13">
        <v>6740</v>
      </c>
      <c r="J48" s="38"/>
      <c r="K48" s="38"/>
      <c r="L48" s="9"/>
    </row>
    <row r="49" spans="2:12" ht="14.7" customHeight="1" thickBot="1" x14ac:dyDescent="0.55000000000000004">
      <c r="B49" s="8"/>
      <c r="F49" s="9"/>
      <c r="H49" s="8"/>
      <c r="I49" s="38"/>
      <c r="J49" s="38"/>
      <c r="K49" s="38"/>
      <c r="L49" s="9"/>
    </row>
    <row r="50" spans="2:12" ht="14.7" customHeight="1" thickBot="1" x14ac:dyDescent="0.55000000000000004">
      <c r="B50" s="29" t="s">
        <v>30</v>
      </c>
      <c r="C50" s="30"/>
      <c r="D50" s="31"/>
      <c r="F50" s="9"/>
      <c r="H50" s="35" t="s">
        <v>30</v>
      </c>
      <c r="I50" s="36"/>
      <c r="J50" s="37"/>
      <c r="K50" s="38"/>
      <c r="L50" s="9"/>
    </row>
    <row r="51" spans="2:12" ht="14.7" customHeight="1" thickBot="1" x14ac:dyDescent="0.55000000000000004">
      <c r="B51" s="11" t="s">
        <v>31</v>
      </c>
      <c r="C51" s="12" t="s">
        <v>32</v>
      </c>
      <c r="D51" s="13" t="s">
        <v>33</v>
      </c>
      <c r="F51" s="9"/>
      <c r="H51" s="24" t="s">
        <v>31</v>
      </c>
      <c r="I51" s="18" t="s">
        <v>61</v>
      </c>
      <c r="J51" s="21" t="s">
        <v>33</v>
      </c>
      <c r="K51" s="38"/>
      <c r="L51" s="9"/>
    </row>
    <row r="52" spans="2:12" ht="14.7" customHeight="1" x14ac:dyDescent="0.5">
      <c r="B52" s="23" t="s">
        <v>34</v>
      </c>
      <c r="C52" s="26">
        <v>1880961.57107972</v>
      </c>
      <c r="D52" s="27">
        <f>C52*25</f>
        <v>47024039.276992999</v>
      </c>
      <c r="F52" s="9"/>
      <c r="H52" s="3" t="s">
        <v>34</v>
      </c>
      <c r="I52" s="40">
        <v>2546038.73041633</v>
      </c>
      <c r="J52" s="27">
        <f>I52*25</f>
        <v>63650968.260408252</v>
      </c>
      <c r="K52" s="38"/>
      <c r="L52" s="9"/>
    </row>
    <row r="53" spans="2:12" ht="14.7" customHeight="1" thickBot="1" x14ac:dyDescent="0.55000000000000004">
      <c r="B53" s="16" t="s">
        <v>35</v>
      </c>
      <c r="C53" s="25">
        <v>426791.75248280872</v>
      </c>
      <c r="D53" s="28">
        <f>C53*25</f>
        <v>10669793.812070219</v>
      </c>
      <c r="F53" s="9"/>
      <c r="H53" s="16" t="s">
        <v>35</v>
      </c>
      <c r="I53" s="25">
        <v>367988.15186322498</v>
      </c>
      <c r="J53" s="28">
        <f>I53*25</f>
        <v>9199703.7965806238</v>
      </c>
      <c r="K53" s="38"/>
      <c r="L53" s="9"/>
    </row>
    <row r="54" spans="2:12" ht="14.7" customHeight="1" thickBot="1" x14ac:dyDescent="0.55000000000000004">
      <c r="B54" s="8"/>
      <c r="F54" s="9"/>
      <c r="H54" s="8"/>
      <c r="I54" s="39"/>
      <c r="J54" s="10"/>
      <c r="K54" s="38"/>
      <c r="L54" s="9"/>
    </row>
    <row r="55" spans="2:12" ht="14.7" customHeight="1" thickBot="1" x14ac:dyDescent="0.55000000000000004">
      <c r="B55" s="29" t="s">
        <v>36</v>
      </c>
      <c r="C55" s="30"/>
      <c r="D55" s="31"/>
      <c r="F55" s="9"/>
      <c r="H55" s="35" t="s">
        <v>36</v>
      </c>
      <c r="I55" s="36"/>
      <c r="J55" s="37"/>
      <c r="K55" s="38"/>
      <c r="L55" s="9"/>
    </row>
    <row r="56" spans="2:12" ht="14.7" customHeight="1" thickBot="1" x14ac:dyDescent="0.55000000000000004">
      <c r="B56" s="11" t="s">
        <v>31</v>
      </c>
      <c r="C56" s="12" t="s">
        <v>32</v>
      </c>
      <c r="D56" s="13" t="s">
        <v>33</v>
      </c>
      <c r="F56" s="9"/>
      <c r="H56" s="24" t="s">
        <v>31</v>
      </c>
      <c r="I56" s="20">
        <v>691516.69221184298</v>
      </c>
      <c r="J56" s="21" t="s">
        <v>33</v>
      </c>
      <c r="K56" s="38"/>
      <c r="L56" s="9"/>
    </row>
    <row r="57" spans="2:12" ht="14.7" customHeight="1" thickBot="1" x14ac:dyDescent="0.55000000000000004">
      <c r="B57" s="23" t="s">
        <v>34</v>
      </c>
      <c r="C57">
        <v>510878.45140436903</v>
      </c>
      <c r="D57" s="9">
        <f>C57*25</f>
        <v>12771961.285109226</v>
      </c>
      <c r="F57" s="9"/>
      <c r="H57" s="16" t="s">
        <v>34</v>
      </c>
      <c r="I57" s="14">
        <v>144131.84371593781</v>
      </c>
      <c r="J57" s="15">
        <f>I57*25</f>
        <v>3603296.0928984452</v>
      </c>
      <c r="K57" s="38"/>
      <c r="L57" s="9"/>
    </row>
    <row r="58" spans="2:12" ht="14.7" customHeight="1" thickBot="1" x14ac:dyDescent="0.55000000000000004">
      <c r="B58" s="16" t="s">
        <v>35</v>
      </c>
      <c r="C58" s="12">
        <v>171273.92915191338</v>
      </c>
      <c r="D58" s="13">
        <f>C58*25</f>
        <v>4281848.2287978344</v>
      </c>
      <c r="F58" s="9"/>
      <c r="H58" s="8" t="s">
        <v>35</v>
      </c>
      <c r="I58" s="12">
        <v>367988.15186322498</v>
      </c>
      <c r="J58" s="38">
        <f>I58*25</f>
        <v>9199703.7965806238</v>
      </c>
      <c r="K58" s="38"/>
      <c r="L58" s="9"/>
    </row>
    <row r="59" spans="2:12" ht="14.7" customHeight="1" thickBot="1" x14ac:dyDescent="0.55000000000000004">
      <c r="B59" s="8"/>
      <c r="F59" s="9"/>
      <c r="H59" s="8"/>
      <c r="I59" s="38"/>
      <c r="J59" s="38"/>
      <c r="K59" s="38"/>
      <c r="L59" s="9"/>
    </row>
    <row r="60" spans="2:12" ht="14.7" customHeight="1" thickBot="1" x14ac:dyDescent="0.55000000000000004">
      <c r="B60" s="29" t="s">
        <v>37</v>
      </c>
      <c r="C60" s="31"/>
      <c r="F60" s="9"/>
      <c r="H60" s="29" t="s">
        <v>38</v>
      </c>
      <c r="I60" s="31"/>
      <c r="J60" s="38"/>
      <c r="K60" s="38"/>
      <c r="L60" s="9"/>
    </row>
    <row r="61" spans="2:12" ht="14.7" customHeight="1" thickBot="1" x14ac:dyDescent="0.55000000000000004">
      <c r="B61" s="24" t="s">
        <v>39</v>
      </c>
      <c r="C61" s="13">
        <v>75996.096723443698</v>
      </c>
      <c r="F61" s="9"/>
      <c r="H61" s="24" t="s">
        <v>39</v>
      </c>
      <c r="I61" s="13">
        <v>60660</v>
      </c>
      <c r="J61" s="38"/>
      <c r="K61" s="38"/>
      <c r="L61" s="9"/>
    </row>
    <row r="62" spans="2:12" ht="14.7" customHeight="1" thickBot="1" x14ac:dyDescent="0.55000000000000004">
      <c r="B62" s="8"/>
      <c r="F62" s="9"/>
      <c r="H62" s="8"/>
      <c r="I62" s="38"/>
      <c r="J62" s="38"/>
      <c r="K62" s="38"/>
      <c r="L62" s="9"/>
    </row>
    <row r="63" spans="2:12" ht="14.7" customHeight="1" thickBot="1" x14ac:dyDescent="0.55000000000000004">
      <c r="B63" s="29" t="s">
        <v>40</v>
      </c>
      <c r="C63" s="31"/>
      <c r="F63" s="9"/>
      <c r="H63" s="29" t="s">
        <v>40</v>
      </c>
      <c r="I63" s="31"/>
      <c r="J63" s="38"/>
      <c r="K63" s="38"/>
      <c r="L63" s="9"/>
    </row>
    <row r="64" spans="2:12" ht="14.7" customHeight="1" thickBot="1" x14ac:dyDescent="0.55000000000000004">
      <c r="B64" s="29">
        <f>E23/B70</f>
        <v>0.85465310335477385</v>
      </c>
      <c r="C64" s="31"/>
      <c r="F64" s="9"/>
      <c r="H64" s="29">
        <f>K23/B70</f>
        <v>1.054939586296022</v>
      </c>
      <c r="I64" s="31"/>
      <c r="J64" s="38"/>
      <c r="K64" s="38"/>
      <c r="L64" s="9"/>
    </row>
    <row r="65" spans="2:12" x14ac:dyDescent="0.5">
      <c r="B65" s="8"/>
      <c r="F65" s="9"/>
      <c r="H65" s="8"/>
      <c r="I65" s="38"/>
      <c r="J65" s="38"/>
      <c r="K65" s="38"/>
      <c r="L65" s="9"/>
    </row>
    <row r="66" spans="2:12" ht="14.7" customHeight="1" thickBot="1" x14ac:dyDescent="0.55000000000000004">
      <c r="B66" s="11"/>
      <c r="C66" s="12"/>
      <c r="D66" s="12"/>
      <c r="E66" s="12"/>
      <c r="F66" s="13"/>
      <c r="G66" s="12"/>
      <c r="H66" s="11"/>
      <c r="I66" s="12"/>
      <c r="J66" s="12"/>
      <c r="K66" s="12"/>
      <c r="L66" s="13"/>
    </row>
    <row r="67" spans="2:12" ht="14.7" customHeight="1" thickBot="1" x14ac:dyDescent="0.55000000000000004">
      <c r="B67" s="11"/>
      <c r="C67" s="12"/>
      <c r="L67" s="9"/>
    </row>
    <row r="68" spans="2:12" ht="14.7" customHeight="1" thickBot="1" x14ac:dyDescent="0.55000000000000004">
      <c r="B68" s="32" t="s">
        <v>41</v>
      </c>
      <c r="C68" s="33"/>
      <c r="L68" s="9"/>
    </row>
    <row r="69" spans="2:12" ht="14.7" customHeight="1" thickBot="1" x14ac:dyDescent="0.55000000000000004">
      <c r="B69" s="17" t="s">
        <v>42</v>
      </c>
      <c r="C69" s="19" t="s">
        <v>43</v>
      </c>
      <c r="L69" s="9"/>
    </row>
    <row r="70" spans="2:12" ht="14.7" customHeight="1" thickBot="1" x14ac:dyDescent="0.55000000000000004">
      <c r="B70" s="11">
        <f>C108</f>
        <v>3851326.9171818839</v>
      </c>
      <c r="C70" s="13">
        <f>D108</f>
        <v>96283172.929547101</v>
      </c>
      <c r="D70" s="12"/>
      <c r="E70" s="12"/>
      <c r="F70" s="12"/>
      <c r="G70" s="12"/>
      <c r="H70" s="12"/>
      <c r="I70" s="12"/>
      <c r="J70" s="12"/>
      <c r="K70" s="12"/>
      <c r="L70" s="13"/>
    </row>
    <row r="71" spans="2:12" ht="14.7" customHeight="1" thickBot="1" x14ac:dyDescent="0.55000000000000004"/>
    <row r="72" spans="2:12" ht="14.7" customHeight="1" thickBot="1" x14ac:dyDescent="0.55000000000000004">
      <c r="B72" s="29" t="s">
        <v>44</v>
      </c>
      <c r="C72" s="30"/>
      <c r="D72" s="30"/>
      <c r="E72" s="30"/>
      <c r="F72" s="31"/>
    </row>
    <row r="73" spans="2:12" ht="14.7" customHeight="1" thickBot="1" x14ac:dyDescent="0.55000000000000004">
      <c r="B73" s="29" t="s">
        <v>45</v>
      </c>
      <c r="C73" s="30"/>
      <c r="D73" s="30"/>
      <c r="E73" s="30"/>
      <c r="F73" s="31"/>
    </row>
    <row r="74" spans="2:12" ht="14.7" customHeight="1" thickBot="1" x14ac:dyDescent="0.55000000000000004">
      <c r="B74" s="24" t="s">
        <v>46</v>
      </c>
      <c r="C74" s="18" t="s">
        <v>4</v>
      </c>
      <c r="D74" s="18" t="s">
        <v>5</v>
      </c>
      <c r="E74" s="18" t="s">
        <v>6</v>
      </c>
      <c r="F74" s="19" t="s">
        <v>7</v>
      </c>
    </row>
    <row r="75" spans="2:12" x14ac:dyDescent="0.5">
      <c r="B75" s="23" t="s">
        <v>9</v>
      </c>
      <c r="C75">
        <v>31928.605784653319</v>
      </c>
      <c r="D75">
        <v>74500</v>
      </c>
      <c r="E75">
        <f>C75+D75</f>
        <v>106428.60578465332</v>
      </c>
      <c r="F75" s="9">
        <f>E75*25</f>
        <v>2660715.1446163328</v>
      </c>
    </row>
    <row r="76" spans="2:12" x14ac:dyDescent="0.5">
      <c r="B76" s="3" t="s">
        <v>10</v>
      </c>
      <c r="C76">
        <v>0</v>
      </c>
      <c r="D76">
        <v>0</v>
      </c>
      <c r="E76">
        <f>C76+D76</f>
        <v>0</v>
      </c>
      <c r="F76" s="9">
        <f>E76*25</f>
        <v>0</v>
      </c>
    </row>
    <row r="77" spans="2:12" x14ac:dyDescent="0.5">
      <c r="B77" s="3" t="s">
        <v>14</v>
      </c>
      <c r="C77">
        <v>0</v>
      </c>
      <c r="D77">
        <v>0</v>
      </c>
      <c r="E77">
        <f>C77+D77</f>
        <v>0</v>
      </c>
      <c r="F77" s="9">
        <f>E77*25</f>
        <v>0</v>
      </c>
    </row>
    <row r="78" spans="2:12" x14ac:dyDescent="0.5">
      <c r="B78" s="3" t="s">
        <v>47</v>
      </c>
      <c r="C78">
        <v>0</v>
      </c>
      <c r="D78">
        <v>0</v>
      </c>
      <c r="E78">
        <f>C78+D78</f>
        <v>0</v>
      </c>
      <c r="F78" s="9">
        <f>E78*25</f>
        <v>0</v>
      </c>
    </row>
    <row r="79" spans="2:12" ht="14.7" customHeight="1" thickBot="1" x14ac:dyDescent="0.55000000000000004">
      <c r="B79" s="16" t="s">
        <v>48</v>
      </c>
      <c r="C79" s="12"/>
      <c r="D79" s="12"/>
      <c r="E79">
        <f>C79+D79</f>
        <v>0</v>
      </c>
      <c r="F79" s="9">
        <f>E79*25</f>
        <v>0</v>
      </c>
    </row>
    <row r="80" spans="2:12" ht="14.7" customHeight="1" thickBot="1" x14ac:dyDescent="0.55000000000000004">
      <c r="B80" s="17" t="s">
        <v>49</v>
      </c>
      <c r="C80" s="18" t="s">
        <v>4</v>
      </c>
      <c r="D80" s="18" t="s">
        <v>5</v>
      </c>
      <c r="E80" s="18" t="s">
        <v>6</v>
      </c>
      <c r="F80" s="19" t="s">
        <v>7</v>
      </c>
    </row>
    <row r="81" spans="2:6" x14ac:dyDescent="0.5">
      <c r="B81" s="23" t="s">
        <v>18</v>
      </c>
      <c r="C81">
        <v>29567.531751746908</v>
      </c>
      <c r="D81">
        <v>36847.679999999993</v>
      </c>
      <c r="E81">
        <f>C81+D81</f>
        <v>66415.211751746901</v>
      </c>
      <c r="F81" s="9">
        <f>E81*25</f>
        <v>1660380.2937936725</v>
      </c>
    </row>
    <row r="82" spans="2:6" ht="14.7" customHeight="1" thickBot="1" x14ac:dyDescent="0.55000000000000004">
      <c r="B82" s="16" t="s">
        <v>50</v>
      </c>
      <c r="C82" s="12"/>
      <c r="D82" s="12"/>
      <c r="E82">
        <f>C82+D82</f>
        <v>0</v>
      </c>
      <c r="F82" s="9">
        <f>E82*25</f>
        <v>0</v>
      </c>
    </row>
    <row r="83" spans="2:6" ht="14.7" customHeight="1" thickBot="1" x14ac:dyDescent="0.55000000000000004">
      <c r="B83" s="17"/>
      <c r="C83" s="18" t="s">
        <v>4</v>
      </c>
      <c r="D83" s="18" t="s">
        <v>5</v>
      </c>
      <c r="E83" s="18" t="s">
        <v>6</v>
      </c>
      <c r="F83" s="19" t="s">
        <v>7</v>
      </c>
    </row>
    <row r="84" spans="2:6" ht="14.7" customHeight="1" thickBot="1" x14ac:dyDescent="0.55000000000000004">
      <c r="B84" s="24" t="s">
        <v>22</v>
      </c>
      <c r="C84" s="12">
        <v>61496.137536400231</v>
      </c>
      <c r="D84" s="12">
        <v>3191966.2779298448</v>
      </c>
      <c r="E84" s="12">
        <v>3253462.4154662448</v>
      </c>
      <c r="F84" s="13">
        <f>E84*25</f>
        <v>81336560.38665612</v>
      </c>
    </row>
    <row r="85" spans="2:6" ht="14.7" customHeight="1" thickBot="1" x14ac:dyDescent="0.55000000000000004">
      <c r="B85" s="8"/>
      <c r="F85" s="9"/>
    </row>
    <row r="86" spans="2:6" ht="14.7" customHeight="1" thickBot="1" x14ac:dyDescent="0.55000000000000004">
      <c r="B86" s="29" t="s">
        <v>46</v>
      </c>
      <c r="C86" s="30"/>
      <c r="D86" s="31"/>
      <c r="F86" s="9"/>
    </row>
    <row r="87" spans="2:6" ht="14.7" customHeight="1" thickBot="1" x14ac:dyDescent="0.55000000000000004">
      <c r="B87" s="24" t="s">
        <v>23</v>
      </c>
      <c r="C87" s="18" t="s">
        <v>24</v>
      </c>
      <c r="D87" s="19" t="s">
        <v>25</v>
      </c>
      <c r="F87" s="9"/>
    </row>
    <row r="88" spans="2:6" x14ac:dyDescent="0.5">
      <c r="B88" s="23" t="s">
        <v>9</v>
      </c>
      <c r="C88">
        <v>5</v>
      </c>
      <c r="D88" s="9">
        <v>500</v>
      </c>
      <c r="F88" s="9"/>
    </row>
    <row r="89" spans="2:6" x14ac:dyDescent="0.5">
      <c r="B89" s="3" t="s">
        <v>10</v>
      </c>
      <c r="C89">
        <v>0</v>
      </c>
      <c r="D89" s="9">
        <v>0</v>
      </c>
      <c r="F89" s="9"/>
    </row>
    <row r="90" spans="2:6" x14ac:dyDescent="0.5">
      <c r="B90" s="3" t="s">
        <v>14</v>
      </c>
      <c r="C90">
        <v>0</v>
      </c>
      <c r="D90" s="9">
        <v>0</v>
      </c>
      <c r="F90" s="9"/>
    </row>
    <row r="91" spans="2:6" x14ac:dyDescent="0.5">
      <c r="B91" s="3" t="s">
        <v>47</v>
      </c>
      <c r="C91">
        <v>0</v>
      </c>
      <c r="D91" s="9">
        <v>0</v>
      </c>
      <c r="F91" s="9"/>
    </row>
    <row r="92" spans="2:6" ht="14.7" customHeight="1" thickBot="1" x14ac:dyDescent="0.55000000000000004">
      <c r="B92" s="16" t="s">
        <v>26</v>
      </c>
      <c r="C92" s="12">
        <v>5</v>
      </c>
      <c r="D92" s="13">
        <v>500</v>
      </c>
      <c r="F92" s="9"/>
    </row>
    <row r="93" spans="2:6" ht="14.7" customHeight="1" thickBot="1" x14ac:dyDescent="0.55000000000000004">
      <c r="B93" s="8"/>
      <c r="F93" s="9"/>
    </row>
    <row r="94" spans="2:6" ht="14.7" customHeight="1" thickBot="1" x14ac:dyDescent="0.55000000000000004">
      <c r="B94" s="29" t="s">
        <v>51</v>
      </c>
      <c r="C94" s="30"/>
      <c r="D94" s="31"/>
      <c r="F94" s="9"/>
    </row>
    <row r="95" spans="2:6" ht="14.7" customHeight="1" thickBot="1" x14ac:dyDescent="0.55000000000000004">
      <c r="B95" s="17" t="s">
        <v>23</v>
      </c>
      <c r="C95" s="18" t="s">
        <v>24</v>
      </c>
      <c r="D95" s="19" t="s">
        <v>25</v>
      </c>
      <c r="F95" s="9"/>
    </row>
    <row r="96" spans="2:6" ht="14.7" customHeight="1" thickBot="1" x14ac:dyDescent="0.55000000000000004">
      <c r="B96" s="24" t="s">
        <v>18</v>
      </c>
      <c r="C96" s="12">
        <v>131</v>
      </c>
      <c r="D96" s="13">
        <v>2302.98</v>
      </c>
      <c r="F96" s="9"/>
    </row>
    <row r="97" spans="2:6" ht="14.7" customHeight="1" thickBot="1" x14ac:dyDescent="0.55000000000000004">
      <c r="B97" s="8"/>
      <c r="F97" s="9"/>
    </row>
    <row r="98" spans="2:6" ht="14.7" customHeight="1" thickBot="1" x14ac:dyDescent="0.55000000000000004">
      <c r="B98" s="29" t="s">
        <v>52</v>
      </c>
      <c r="C98" s="30"/>
      <c r="D98" s="31"/>
      <c r="F98" s="9"/>
    </row>
    <row r="99" spans="2:6" ht="14.7" customHeight="1" thickBot="1" x14ac:dyDescent="0.55000000000000004">
      <c r="B99" s="17" t="s">
        <v>53</v>
      </c>
      <c r="C99" s="18" t="s">
        <v>54</v>
      </c>
      <c r="D99" s="19" t="s">
        <v>55</v>
      </c>
      <c r="F99" s="9"/>
    </row>
    <row r="100" spans="2:6" x14ac:dyDescent="0.5">
      <c r="B100" s="23" t="s">
        <v>56</v>
      </c>
      <c r="C100">
        <v>687368.42105263122</v>
      </c>
      <c r="D100" s="9">
        <f>C100*25</f>
        <v>17184210.526315782</v>
      </c>
      <c r="F100" s="9"/>
    </row>
    <row r="101" spans="2:6" x14ac:dyDescent="0.5">
      <c r="B101" s="3" t="s">
        <v>57</v>
      </c>
      <c r="C101">
        <v>789084.2978210065</v>
      </c>
      <c r="D101" s="9">
        <f>C101*25</f>
        <v>19727107.445525162</v>
      </c>
      <c r="F101" s="9"/>
    </row>
    <row r="102" spans="2:6" ht="14.7" customHeight="1" thickBot="1" x14ac:dyDescent="0.55000000000000004">
      <c r="B102" s="16" t="s">
        <v>26</v>
      </c>
      <c r="C102" s="12">
        <f>C100+C101</f>
        <v>1476452.7188736377</v>
      </c>
      <c r="D102" s="13">
        <f>C102*25</f>
        <v>36911317.97184094</v>
      </c>
      <c r="F102" s="9"/>
    </row>
    <row r="103" spans="2:6" ht="14.7" customHeight="1" thickBot="1" x14ac:dyDescent="0.55000000000000004">
      <c r="B103" s="8"/>
      <c r="F103" s="9"/>
    </row>
    <row r="104" spans="2:6" ht="14.7" customHeight="1" thickBot="1" x14ac:dyDescent="0.55000000000000004">
      <c r="B104" s="29" t="s">
        <v>58</v>
      </c>
      <c r="C104" s="30"/>
      <c r="D104" s="31"/>
      <c r="F104" s="9"/>
    </row>
    <row r="105" spans="2:6" ht="14.7" customHeight="1" thickBot="1" x14ac:dyDescent="0.55000000000000004">
      <c r="B105" s="17" t="s">
        <v>53</v>
      </c>
      <c r="C105" s="18" t="s">
        <v>59</v>
      </c>
      <c r="D105" s="22" t="s">
        <v>60</v>
      </c>
      <c r="F105" s="9"/>
    </row>
    <row r="106" spans="2:6" x14ac:dyDescent="0.5">
      <c r="B106" s="23" t="s">
        <v>56</v>
      </c>
      <c r="C106">
        <f>2.6085*C100</f>
        <v>1793000.5263157885</v>
      </c>
      <c r="D106" s="9">
        <f>C106*25</f>
        <v>44825013.157894716</v>
      </c>
      <c r="F106" s="9"/>
    </row>
    <row r="107" spans="2:6" x14ac:dyDescent="0.5">
      <c r="B107" s="3" t="s">
        <v>57</v>
      </c>
      <c r="C107">
        <f>2.6085*C101</f>
        <v>2058326.3908660954</v>
      </c>
      <c r="D107" s="9">
        <f>C107*25</f>
        <v>51458159.771652386</v>
      </c>
      <c r="F107" s="9"/>
    </row>
    <row r="108" spans="2:6" ht="14.7" customHeight="1" thickBot="1" x14ac:dyDescent="0.55000000000000004">
      <c r="B108" s="16" t="s">
        <v>26</v>
      </c>
      <c r="C108" s="12">
        <f>2.6085*C102</f>
        <v>3851326.9171818839</v>
      </c>
      <c r="D108" s="13">
        <f>C108*25</f>
        <v>96283172.929547101</v>
      </c>
      <c r="E108" s="12"/>
      <c r="F108" s="13"/>
    </row>
  </sheetData>
  <mergeCells count="30">
    <mergeCell ref="H64:I64"/>
    <mergeCell ref="H50:J50"/>
    <mergeCell ref="H55:J55"/>
    <mergeCell ref="B86:D86"/>
    <mergeCell ref="B104:D104"/>
    <mergeCell ref="B73:F73"/>
    <mergeCell ref="B36:D36"/>
    <mergeCell ref="B94:D94"/>
    <mergeCell ref="B50:D50"/>
    <mergeCell ref="B68:C68"/>
    <mergeCell ref="B64:C64"/>
    <mergeCell ref="B47:C47"/>
    <mergeCell ref="B98:D98"/>
    <mergeCell ref="B72:F72"/>
    <mergeCell ref="H33:I33"/>
    <mergeCell ref="B5:L5"/>
    <mergeCell ref="B63:C63"/>
    <mergeCell ref="B43:D43"/>
    <mergeCell ref="H25:J25"/>
    <mergeCell ref="H6:L6"/>
    <mergeCell ref="H60:I60"/>
    <mergeCell ref="B60:C60"/>
    <mergeCell ref="B55:D55"/>
    <mergeCell ref="H47:I47"/>
    <mergeCell ref="B25:D25"/>
    <mergeCell ref="H43:J43"/>
    <mergeCell ref="B6:F6"/>
    <mergeCell ref="B33:C33"/>
    <mergeCell ref="H36:J36"/>
    <mergeCell ref="H63:I6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B4:N108"/>
  <sheetViews>
    <sheetView tabSelected="1" topLeftCell="A15" zoomScale="70" zoomScaleNormal="70" workbookViewId="0">
      <selection activeCell="M29" sqref="M29"/>
    </sheetView>
  </sheetViews>
  <sheetFormatPr defaultColWidth="39.234375" defaultRowHeight="14.35" x14ac:dyDescent="0.5"/>
  <cols>
    <col min="1" max="1" width="13.52734375" customWidth="1"/>
    <col min="2" max="2" width="15.234375" bestFit="1" customWidth="1"/>
    <col min="3" max="3" width="17.64453125" bestFit="1" customWidth="1"/>
    <col min="4" max="4" width="18.64453125" bestFit="1" customWidth="1"/>
    <col min="5" max="5" width="12.46875" bestFit="1" customWidth="1"/>
    <col min="6" max="6" width="13.5859375" bestFit="1" customWidth="1"/>
    <col min="7" max="7" width="12.46875" customWidth="1"/>
    <col min="8" max="8" width="15.234375" bestFit="1" customWidth="1"/>
    <col min="9" max="9" width="15.703125" bestFit="1" customWidth="1"/>
    <col min="10" max="10" width="18" bestFit="1" customWidth="1"/>
    <col min="11" max="11" width="12.46875" bestFit="1" customWidth="1"/>
    <col min="12" max="12" width="14.5859375" bestFit="1" customWidth="1"/>
    <col min="13" max="14" width="13.41015625" bestFit="1" customWidth="1"/>
    <col min="15" max="15" width="1.76171875" bestFit="1" customWidth="1"/>
  </cols>
  <sheetData>
    <row r="4" spans="2:14" ht="14.7" customHeight="1" thickBot="1" x14ac:dyDescent="0.55000000000000004"/>
    <row r="5" spans="2:14" ht="14.7" customHeight="1" thickBot="1" x14ac:dyDescent="0.55000000000000004">
      <c r="B5" s="29" t="s">
        <v>0</v>
      </c>
      <c r="C5" s="30"/>
      <c r="D5" s="30"/>
      <c r="E5" s="30"/>
      <c r="F5" s="30"/>
      <c r="G5" s="30"/>
      <c r="H5" s="30"/>
      <c r="I5" s="30"/>
      <c r="J5" s="30"/>
      <c r="K5" s="30"/>
      <c r="L5" s="31"/>
    </row>
    <row r="6" spans="2:14" ht="14.7" customHeight="1" thickBot="1" x14ac:dyDescent="0.55000000000000004">
      <c r="B6" s="29" t="s">
        <v>1</v>
      </c>
      <c r="C6" s="30"/>
      <c r="D6" s="30"/>
      <c r="E6" s="30"/>
      <c r="F6" s="31"/>
      <c r="H6" s="29" t="s">
        <v>2</v>
      </c>
      <c r="I6" s="30"/>
      <c r="J6" s="30"/>
      <c r="K6" s="30"/>
      <c r="L6" s="31"/>
    </row>
    <row r="7" spans="2:14" ht="14.7" customHeight="1" thickBot="1" x14ac:dyDescent="0.55000000000000004">
      <c r="B7" s="24" t="s">
        <v>3</v>
      </c>
      <c r="C7" s="18" t="s">
        <v>4</v>
      </c>
      <c r="D7" s="18" t="s">
        <v>5</v>
      </c>
      <c r="E7" s="18" t="s">
        <v>6</v>
      </c>
      <c r="F7" s="19" t="s">
        <v>7</v>
      </c>
      <c r="H7" s="24" t="s">
        <v>3</v>
      </c>
      <c r="I7" s="18" t="s">
        <v>4</v>
      </c>
      <c r="J7" s="18" t="s">
        <v>5</v>
      </c>
      <c r="K7" s="18" t="s">
        <v>6</v>
      </c>
      <c r="L7" s="19" t="s">
        <v>7</v>
      </c>
    </row>
    <row r="8" spans="2:14" x14ac:dyDescent="0.5">
      <c r="B8" s="3" t="s">
        <v>8</v>
      </c>
      <c r="C8" s="6">
        <f>13698 * D27*((0.05*((1.05)^25))/((1.05^25)-1))</f>
        <v>2138194.872186664</v>
      </c>
      <c r="D8" s="6">
        <f>29*D27</f>
        <v>63800</v>
      </c>
      <c r="E8" s="6">
        <f>C8+D8</f>
        <v>2201994.872186664</v>
      </c>
      <c r="F8" s="10">
        <f>E8*25</f>
        <v>55049871.804666601</v>
      </c>
      <c r="H8" s="3" t="s">
        <v>9</v>
      </c>
      <c r="I8" s="39">
        <f>1615 * J27*((0.05*((1.05)^25))/((1.05^25)-1))</f>
        <v>34376.465561476754</v>
      </c>
      <c r="J8" s="39">
        <f>29*J27</f>
        <v>8700</v>
      </c>
      <c r="K8" s="39">
        <f>I8+J8</f>
        <v>43076.465561476754</v>
      </c>
      <c r="L8" s="10">
        <f>K8*25</f>
        <v>1076911.6390369188</v>
      </c>
    </row>
    <row r="9" spans="2:14" x14ac:dyDescent="0.5">
      <c r="B9" s="3" t="s">
        <v>10</v>
      </c>
      <c r="C9" s="6">
        <f>13698 * D28*((0.05*((1.05)^25))/((1.05^25)-1))</f>
        <v>0</v>
      </c>
      <c r="D9" s="6">
        <f>29*D28</f>
        <v>0</v>
      </c>
      <c r="E9" s="6">
        <f>C9+D9</f>
        <v>0</v>
      </c>
      <c r="F9" s="10">
        <f>E9*25</f>
        <v>0</v>
      </c>
      <c r="H9" s="3" t="s">
        <v>10</v>
      </c>
      <c r="I9" s="39">
        <f>1615 * J28*((0.05*((1.05)^25))/((1.05^25)-1))</f>
        <v>343764.65561476751</v>
      </c>
      <c r="J9" s="39">
        <f>29*J28</f>
        <v>87000</v>
      </c>
      <c r="K9" s="39">
        <f>I9+J9</f>
        <v>430764.65561476751</v>
      </c>
      <c r="L9" s="10">
        <f>K9*25</f>
        <v>10769116.390369188</v>
      </c>
      <c r="M9" s="7"/>
      <c r="N9" s="6"/>
    </row>
    <row r="10" spans="2:14" x14ac:dyDescent="0.5">
      <c r="B10" s="3" t="s">
        <v>11</v>
      </c>
      <c r="C10" s="6">
        <f>13698 * D29*((0.05*((1.05)^25))/((1.05^25)-1))</f>
        <v>0</v>
      </c>
      <c r="D10" s="6">
        <f>29*D29</f>
        <v>0</v>
      </c>
      <c r="E10" s="6">
        <f>C10+D10</f>
        <v>0</v>
      </c>
      <c r="F10" s="10">
        <f>E10*25</f>
        <v>0</v>
      </c>
      <c r="H10" s="3" t="s">
        <v>11</v>
      </c>
      <c r="I10" s="39">
        <f>1615 * J29*((0.05*((1.05)^25))/((1.05^25)-1))</f>
        <v>0</v>
      </c>
      <c r="J10" s="39">
        <f>29*J29</f>
        <v>0</v>
      </c>
      <c r="K10" s="39">
        <f>I10+J10</f>
        <v>0</v>
      </c>
      <c r="L10" s="10">
        <f>K10*25</f>
        <v>0</v>
      </c>
      <c r="M10" s="7"/>
    </row>
    <row r="11" spans="2:14" ht="14.7" customHeight="1" thickBot="1" x14ac:dyDescent="0.55000000000000004">
      <c r="B11" s="16" t="s">
        <v>12</v>
      </c>
      <c r="C11" s="14">
        <f>13698 * D30*((0.05*((1.05)^25))/((1.05^25)-1))</f>
        <v>0</v>
      </c>
      <c r="D11" s="14">
        <f>29*D30</f>
        <v>0</v>
      </c>
      <c r="E11" s="14">
        <f>C11+D11</f>
        <v>0</v>
      </c>
      <c r="F11" s="15">
        <f>E11*25</f>
        <v>0</v>
      </c>
      <c r="H11" s="16" t="s">
        <v>12</v>
      </c>
      <c r="I11" s="14">
        <f>1615 * J30*((0.05*((1.05)^25))/((1.05^25)-1))</f>
        <v>0</v>
      </c>
      <c r="J11" s="14">
        <f>29*J30</f>
        <v>0</v>
      </c>
      <c r="K11" s="14">
        <f>I11+J11</f>
        <v>0</v>
      </c>
      <c r="L11" s="13">
        <f>K11*25</f>
        <v>0</v>
      </c>
    </row>
    <row r="12" spans="2:14" ht="14.7" customHeight="1" thickBot="1" x14ac:dyDescent="0.55000000000000004">
      <c r="B12" s="24" t="s">
        <v>13</v>
      </c>
      <c r="C12" s="18" t="s">
        <v>4</v>
      </c>
      <c r="D12" s="18" t="s">
        <v>5</v>
      </c>
      <c r="E12" s="18" t="s">
        <v>6</v>
      </c>
      <c r="F12" s="19" t="s">
        <v>7</v>
      </c>
      <c r="H12" s="24" t="s">
        <v>13</v>
      </c>
      <c r="I12" s="18" t="s">
        <v>4</v>
      </c>
      <c r="J12" s="18" t="s">
        <v>5</v>
      </c>
      <c r="K12" s="18" t="s">
        <v>6</v>
      </c>
      <c r="L12" s="19" t="s">
        <v>7</v>
      </c>
    </row>
    <row r="13" spans="2:14" x14ac:dyDescent="0.5">
      <c r="B13" s="3" t="s">
        <v>14</v>
      </c>
      <c r="C13" s="4">
        <f>2490 * D38*((0.05*((1.05)^10))/((1.05^10)-1))</f>
        <v>644932.78332797438</v>
      </c>
      <c r="D13" s="1">
        <f>37.35*D38</f>
        <v>74700</v>
      </c>
      <c r="E13">
        <f>C13+D13</f>
        <v>719632.78332797438</v>
      </c>
      <c r="F13" s="9">
        <f>E13*25</f>
        <v>17990819.583199359</v>
      </c>
      <c r="H13" s="3" t="s">
        <v>14</v>
      </c>
      <c r="I13" s="4">
        <f>2490 * J38*((0.05*((1.05)^10))/((1.05^10)-1))</f>
        <v>967399.17499196157</v>
      </c>
      <c r="J13" s="1">
        <f>37.35*J38</f>
        <v>112050</v>
      </c>
      <c r="K13" s="39">
        <f>I13+J13</f>
        <v>1079449.1749919616</v>
      </c>
      <c r="L13" s="10">
        <f>K13*25</f>
        <v>26986229.374799039</v>
      </c>
    </row>
    <row r="14" spans="2:14" x14ac:dyDescent="0.5">
      <c r="B14" s="3" t="s">
        <v>15</v>
      </c>
      <c r="C14" s="4">
        <f>1570 * D39*((0.05*((1.05)^10))/((1.05^10)-1))</f>
        <v>0</v>
      </c>
      <c r="D14" s="1">
        <f>23.55*D39</f>
        <v>0</v>
      </c>
      <c r="E14">
        <f>C14+D14</f>
        <v>0</v>
      </c>
      <c r="F14" s="9">
        <f>E14*25</f>
        <v>0</v>
      </c>
      <c r="H14" s="3" t="s">
        <v>15</v>
      </c>
      <c r="I14" s="4">
        <f>1570 * J39*((0.05*((1.05)^10))/((1.05^10)-1))</f>
        <v>0</v>
      </c>
      <c r="J14" s="1">
        <f>23.55*J39</f>
        <v>0</v>
      </c>
      <c r="K14" s="38">
        <f>I14+J14</f>
        <v>0</v>
      </c>
      <c r="L14" s="10">
        <f>K14*25</f>
        <v>0</v>
      </c>
    </row>
    <row r="15" spans="2:14" ht="14.7" customHeight="1" thickBot="1" x14ac:dyDescent="0.55000000000000004">
      <c r="B15" s="16" t="s">
        <v>16</v>
      </c>
      <c r="C15" s="5">
        <f>1190 * D40*((0.05*((1.05)^10))/((1.05^10)-1))</f>
        <v>0</v>
      </c>
      <c r="D15" s="2">
        <f>17.85*D40</f>
        <v>0</v>
      </c>
      <c r="E15" s="12">
        <f>C15+D15</f>
        <v>0</v>
      </c>
      <c r="F15" s="13">
        <f>E15*25</f>
        <v>0</v>
      </c>
      <c r="H15" s="16" t="s">
        <v>16</v>
      </c>
      <c r="I15" s="5">
        <f>1190 * J40*((0.05*((1.05)^10))/((1.05^10)-1))</f>
        <v>0</v>
      </c>
      <c r="J15" s="2">
        <f>17.85*J40</f>
        <v>0</v>
      </c>
      <c r="K15" s="12">
        <f>I15+J15</f>
        <v>0</v>
      </c>
      <c r="L15" s="15">
        <f>K15*25</f>
        <v>0</v>
      </c>
    </row>
    <row r="16" spans="2:14" ht="14.7" customHeight="1" thickBot="1" x14ac:dyDescent="0.55000000000000004">
      <c r="B16" s="24" t="s">
        <v>17</v>
      </c>
      <c r="C16" s="18" t="s">
        <v>4</v>
      </c>
      <c r="D16" s="18" t="s">
        <v>5</v>
      </c>
      <c r="E16" s="18" t="s">
        <v>6</v>
      </c>
      <c r="F16" s="19" t="s">
        <v>7</v>
      </c>
      <c r="H16" s="24" t="s">
        <v>17</v>
      </c>
      <c r="I16" s="18" t="s">
        <v>4</v>
      </c>
      <c r="J16" s="18" t="s">
        <v>5</v>
      </c>
      <c r="K16" s="18" t="s">
        <v>6</v>
      </c>
      <c r="L16" s="19" t="s">
        <v>7</v>
      </c>
    </row>
    <row r="17" spans="2:14" ht="14.7" customHeight="1" thickBot="1" x14ac:dyDescent="0.55000000000000004">
      <c r="B17" s="16" t="s">
        <v>18</v>
      </c>
      <c r="C17" s="12">
        <v>25504.817465247339</v>
      </c>
      <c r="D17" s="12">
        <v>31784.639999999999</v>
      </c>
      <c r="E17" s="12">
        <f>D17+C17</f>
        <v>57289.457465247338</v>
      </c>
      <c r="F17" s="13">
        <f>E17*25</f>
        <v>1432236.4366311834</v>
      </c>
      <c r="H17" s="16" t="s">
        <v>18</v>
      </c>
      <c r="I17" s="12">
        <v>25504.817465247339</v>
      </c>
      <c r="J17" s="12">
        <v>31784.639999999999</v>
      </c>
      <c r="K17" s="12">
        <f>J17+I17</f>
        <v>57289.457465247338</v>
      </c>
      <c r="L17" s="15">
        <f>K17*25</f>
        <v>1432236.4366311834</v>
      </c>
    </row>
    <row r="18" spans="2:14" ht="14.7" customHeight="1" thickBot="1" x14ac:dyDescent="0.55000000000000004">
      <c r="B18" s="24" t="s">
        <v>19</v>
      </c>
      <c r="C18" s="18" t="s">
        <v>4</v>
      </c>
      <c r="D18" s="18" t="s">
        <v>5</v>
      </c>
      <c r="E18" s="18" t="s">
        <v>6</v>
      </c>
      <c r="F18" s="19" t="s">
        <v>7</v>
      </c>
      <c r="H18" s="24" t="s">
        <v>20</v>
      </c>
      <c r="I18" s="18" t="s">
        <v>4</v>
      </c>
      <c r="J18" s="18" t="s">
        <v>5</v>
      </c>
      <c r="K18" s="18" t="s">
        <v>6</v>
      </c>
      <c r="L18" s="19" t="s">
        <v>7</v>
      </c>
    </row>
    <row r="19" spans="2:14" ht="14.7" customHeight="1" thickBot="1" x14ac:dyDescent="0.55000000000000004">
      <c r="B19" s="11"/>
      <c r="C19" s="12">
        <f>C48*300*((0.05*((1.05)^20))/((1.05^20)-1))</f>
        <v>1108069.8865162563</v>
      </c>
      <c r="D19" s="12">
        <v>0</v>
      </c>
      <c r="E19" s="12">
        <f>D19+C19</f>
        <v>1108069.8865162563</v>
      </c>
      <c r="F19" s="13">
        <f>E19*25</f>
        <v>27701747.162906408</v>
      </c>
      <c r="H19" s="11"/>
      <c r="I19" s="14">
        <f>(I48/10)*3000*((0.05*((1.05)^20))/((1.05^20)-1))</f>
        <v>318964.284082998</v>
      </c>
      <c r="J19" s="12">
        <v>0</v>
      </c>
      <c r="K19" s="12">
        <f>J19+I19</f>
        <v>318964.284082998</v>
      </c>
      <c r="L19" s="15">
        <f>K19*25</f>
        <v>7974107.10207495</v>
      </c>
    </row>
    <row r="20" spans="2:14" ht="14.7" customHeight="1" thickBot="1" x14ac:dyDescent="0.55000000000000004">
      <c r="B20" s="24" t="s">
        <v>21</v>
      </c>
      <c r="C20" s="18" t="s">
        <v>4</v>
      </c>
      <c r="D20" s="18" t="s">
        <v>5</v>
      </c>
      <c r="E20" s="18" t="s">
        <v>6</v>
      </c>
      <c r="F20" s="19" t="s">
        <v>7</v>
      </c>
      <c r="H20" s="24" t="s">
        <v>21</v>
      </c>
      <c r="I20" s="18" t="s">
        <v>4</v>
      </c>
      <c r="J20" s="18" t="s">
        <v>5</v>
      </c>
      <c r="K20" s="18" t="s">
        <v>6</v>
      </c>
      <c r="L20" s="19" t="s">
        <v>7</v>
      </c>
    </row>
    <row r="21" spans="2:14" ht="14.7" customHeight="1" thickBot="1" x14ac:dyDescent="0.55000000000000004">
      <c r="B21" s="11"/>
      <c r="C21" s="12">
        <v>1358.5070011384039</v>
      </c>
      <c r="D21" s="12">
        <v>190</v>
      </c>
      <c r="E21" s="12">
        <f>C21+D21</f>
        <v>1548.5070011384039</v>
      </c>
      <c r="F21" s="13">
        <f>E21*25</f>
        <v>38712.6750284601</v>
      </c>
      <c r="H21" s="11"/>
      <c r="I21" s="12">
        <v>0</v>
      </c>
      <c r="J21" s="12">
        <v>0</v>
      </c>
      <c r="K21" s="12">
        <f>J21+I21</f>
        <v>0</v>
      </c>
      <c r="L21" s="13">
        <f>K21*25</f>
        <v>0</v>
      </c>
    </row>
    <row r="22" spans="2:14" ht="14.7" customHeight="1" thickBot="1" x14ac:dyDescent="0.55000000000000004">
      <c r="B22" s="17"/>
      <c r="C22" s="18" t="s">
        <v>4</v>
      </c>
      <c r="D22" s="18" t="s">
        <v>5</v>
      </c>
      <c r="E22" s="18" t="s">
        <v>6</v>
      </c>
      <c r="F22" s="19" t="s">
        <v>7</v>
      </c>
      <c r="H22" s="17"/>
      <c r="I22" s="18" t="s">
        <v>4</v>
      </c>
      <c r="J22" s="18" t="s">
        <v>5</v>
      </c>
      <c r="K22" s="18" t="s">
        <v>6</v>
      </c>
      <c r="L22" s="19" t="s">
        <v>7</v>
      </c>
    </row>
    <row r="23" spans="2:14" ht="14.7" customHeight="1" thickBot="1" x14ac:dyDescent="0.55000000000000004">
      <c r="B23" s="24" t="s">
        <v>22</v>
      </c>
      <c r="C23" s="12">
        <v>3917338.683212562</v>
      </c>
      <c r="D23" s="12">
        <v>170474.64</v>
      </c>
      <c r="E23" s="25">
        <v>4087813.3232125631</v>
      </c>
      <c r="F23" s="13">
        <f>D23*25</f>
        <v>4261866</v>
      </c>
      <c r="H23" s="24" t="s">
        <v>22</v>
      </c>
      <c r="I23" s="14">
        <v>1690009.39771645</v>
      </c>
      <c r="J23" s="14">
        <v>239534.64</v>
      </c>
      <c r="K23" s="14">
        <v>4062917.2247025901</v>
      </c>
      <c r="L23" s="15">
        <f>K23*25</f>
        <v>101572930.61756475</v>
      </c>
      <c r="M23" s="6"/>
    </row>
    <row r="24" spans="2:14" ht="14.7" customHeight="1" thickBot="1" x14ac:dyDescent="0.55000000000000004">
      <c r="B24" s="8"/>
      <c r="F24" s="9"/>
      <c r="H24" s="8"/>
      <c r="I24" s="39"/>
      <c r="J24" s="39"/>
      <c r="K24" s="39"/>
      <c r="L24" s="10"/>
      <c r="M24" s="6"/>
      <c r="N24" s="7"/>
    </row>
    <row r="25" spans="2:14" ht="14.7" customHeight="1" thickBot="1" x14ac:dyDescent="0.55000000000000004">
      <c r="B25" s="29" t="s">
        <v>3</v>
      </c>
      <c r="C25" s="30"/>
      <c r="D25" s="31"/>
      <c r="F25" s="9"/>
      <c r="H25" s="29" t="s">
        <v>3</v>
      </c>
      <c r="I25" s="30"/>
      <c r="J25" s="31"/>
      <c r="K25" s="38"/>
      <c r="L25" s="10"/>
      <c r="M25" s="6"/>
    </row>
    <row r="26" spans="2:14" ht="14.7" customHeight="1" thickBot="1" x14ac:dyDescent="0.55000000000000004">
      <c r="B26" s="17" t="s">
        <v>23</v>
      </c>
      <c r="C26" s="18" t="s">
        <v>24</v>
      </c>
      <c r="D26" s="19" t="s">
        <v>25</v>
      </c>
      <c r="F26" s="9"/>
      <c r="H26" s="17" t="s">
        <v>23</v>
      </c>
      <c r="I26" s="18" t="s">
        <v>24</v>
      </c>
      <c r="J26" s="19" t="s">
        <v>25</v>
      </c>
      <c r="K26" s="38"/>
      <c r="L26" s="10"/>
      <c r="M26" s="6"/>
    </row>
    <row r="27" spans="2:14" x14ac:dyDescent="0.5">
      <c r="B27" s="23" t="s">
        <v>9</v>
      </c>
      <c r="C27">
        <v>22</v>
      </c>
      <c r="D27" s="9">
        <v>2200</v>
      </c>
      <c r="F27" s="9"/>
      <c r="H27" s="8" t="s">
        <v>9</v>
      </c>
      <c r="I27" s="38">
        <v>3</v>
      </c>
      <c r="J27" s="9">
        <v>300</v>
      </c>
      <c r="K27" s="38"/>
      <c r="L27" s="9"/>
    </row>
    <row r="28" spans="2:14" x14ac:dyDescent="0.5">
      <c r="B28" s="3" t="s">
        <v>10</v>
      </c>
      <c r="C28">
        <v>0</v>
      </c>
      <c r="D28" s="9">
        <v>0</v>
      </c>
      <c r="F28" s="9"/>
      <c r="H28" s="8" t="s">
        <v>10</v>
      </c>
      <c r="I28" s="38">
        <v>6</v>
      </c>
      <c r="J28" s="9">
        <v>3000</v>
      </c>
      <c r="K28" s="38"/>
      <c r="L28" s="9"/>
    </row>
    <row r="29" spans="2:14" x14ac:dyDescent="0.5">
      <c r="B29" s="3" t="s">
        <v>11</v>
      </c>
      <c r="C29">
        <v>0</v>
      </c>
      <c r="D29" s="9">
        <v>0</v>
      </c>
      <c r="F29" s="9"/>
      <c r="H29" s="8" t="s">
        <v>11</v>
      </c>
      <c r="I29" s="38">
        <v>0</v>
      </c>
      <c r="J29" s="9">
        <v>0</v>
      </c>
      <c r="K29" s="38"/>
      <c r="L29" s="9"/>
    </row>
    <row r="30" spans="2:14" x14ac:dyDescent="0.5">
      <c r="B30" s="3" t="s">
        <v>12</v>
      </c>
      <c r="C30">
        <v>0</v>
      </c>
      <c r="D30" s="9">
        <v>0</v>
      </c>
      <c r="F30" s="9"/>
      <c r="H30" s="8" t="s">
        <v>12</v>
      </c>
      <c r="I30" s="38">
        <v>0</v>
      </c>
      <c r="J30" s="9">
        <v>0</v>
      </c>
      <c r="K30" s="38"/>
      <c r="L30" s="9"/>
    </row>
    <row r="31" spans="2:14" ht="14.7" customHeight="1" thickBot="1" x14ac:dyDescent="0.55000000000000004">
      <c r="B31" s="16" t="s">
        <v>26</v>
      </c>
      <c r="C31" s="12">
        <v>22</v>
      </c>
      <c r="D31" s="13">
        <v>2200</v>
      </c>
      <c r="F31" s="9"/>
      <c r="H31" s="11" t="s">
        <v>26</v>
      </c>
      <c r="I31" s="12">
        <v>9</v>
      </c>
      <c r="J31" s="13">
        <v>3300</v>
      </c>
      <c r="K31" s="38"/>
      <c r="L31" s="9"/>
    </row>
    <row r="32" spans="2:14" ht="14.7" customHeight="1" thickBot="1" x14ac:dyDescent="0.55000000000000004">
      <c r="B32" s="8"/>
      <c r="F32" s="9"/>
      <c r="H32" s="8"/>
      <c r="I32" s="38"/>
      <c r="J32" s="38"/>
      <c r="K32" s="38"/>
      <c r="L32" s="9"/>
    </row>
    <row r="33" spans="2:12" ht="14.7" customHeight="1" thickBot="1" x14ac:dyDescent="0.55000000000000004">
      <c r="B33" s="29" t="s">
        <v>21</v>
      </c>
      <c r="C33" s="31"/>
      <c r="F33" s="9"/>
      <c r="H33" s="29" t="s">
        <v>21</v>
      </c>
      <c r="I33" s="31"/>
      <c r="J33" s="38"/>
      <c r="K33" s="38"/>
      <c r="L33" s="9"/>
    </row>
    <row r="34" spans="2:12" ht="14.7" customHeight="1" thickBot="1" x14ac:dyDescent="0.55000000000000004">
      <c r="B34" s="24" t="s">
        <v>25</v>
      </c>
      <c r="C34" s="13">
        <v>10</v>
      </c>
      <c r="F34" s="9"/>
      <c r="H34" s="24" t="s">
        <v>25</v>
      </c>
      <c r="I34" s="13">
        <v>0</v>
      </c>
      <c r="J34" s="38"/>
      <c r="K34" s="38"/>
      <c r="L34" s="9"/>
    </row>
    <row r="35" spans="2:12" ht="14.7" customHeight="1" thickBot="1" x14ac:dyDescent="0.55000000000000004">
      <c r="B35" s="8"/>
      <c r="F35" s="9"/>
      <c r="H35" s="8"/>
      <c r="I35" s="38"/>
      <c r="J35" s="38"/>
      <c r="K35" s="38"/>
      <c r="L35" s="9"/>
    </row>
    <row r="36" spans="2:12" ht="14.7" customHeight="1" thickBot="1" x14ac:dyDescent="0.55000000000000004">
      <c r="B36" s="29" t="s">
        <v>13</v>
      </c>
      <c r="C36" s="30"/>
      <c r="D36" s="31"/>
      <c r="F36" s="9"/>
      <c r="H36" s="29" t="s">
        <v>13</v>
      </c>
      <c r="I36" s="30"/>
      <c r="J36" s="31"/>
      <c r="K36" s="38"/>
      <c r="L36" s="9"/>
    </row>
    <row r="37" spans="2:12" ht="14.7" customHeight="1" thickBot="1" x14ac:dyDescent="0.55000000000000004">
      <c r="B37" s="24" t="s">
        <v>23</v>
      </c>
      <c r="C37" s="18" t="s">
        <v>24</v>
      </c>
      <c r="D37" s="19" t="s">
        <v>25</v>
      </c>
      <c r="F37" s="9"/>
      <c r="H37" s="17" t="s">
        <v>23</v>
      </c>
      <c r="I37" s="18" t="s">
        <v>24</v>
      </c>
      <c r="J37" s="19" t="s">
        <v>25</v>
      </c>
      <c r="K37" s="38"/>
      <c r="L37" s="9"/>
    </row>
    <row r="38" spans="2:12" x14ac:dyDescent="0.5">
      <c r="B38" s="23" t="s">
        <v>14</v>
      </c>
      <c r="C38">
        <v>2</v>
      </c>
      <c r="D38" s="9">
        <v>2000</v>
      </c>
      <c r="F38" s="9"/>
      <c r="H38" s="23" t="s">
        <v>14</v>
      </c>
      <c r="I38" s="38">
        <v>3</v>
      </c>
      <c r="J38" s="9">
        <v>3000</v>
      </c>
      <c r="K38" s="38"/>
      <c r="L38" s="9"/>
    </row>
    <row r="39" spans="2:12" x14ac:dyDescent="0.5">
      <c r="B39" s="3" t="s">
        <v>15</v>
      </c>
      <c r="C39">
        <v>0</v>
      </c>
      <c r="D39" s="9">
        <v>0</v>
      </c>
      <c r="F39" s="9"/>
      <c r="H39" s="3" t="s">
        <v>15</v>
      </c>
      <c r="I39" s="38">
        <v>0</v>
      </c>
      <c r="J39" s="9">
        <v>0</v>
      </c>
      <c r="K39" s="38"/>
      <c r="L39" s="9"/>
    </row>
    <row r="40" spans="2:12" x14ac:dyDescent="0.5">
      <c r="B40" s="3" t="s">
        <v>16</v>
      </c>
      <c r="C40">
        <v>0</v>
      </c>
      <c r="D40" s="9">
        <v>0</v>
      </c>
      <c r="F40" s="9"/>
      <c r="H40" s="3" t="s">
        <v>16</v>
      </c>
      <c r="I40" s="38">
        <v>0</v>
      </c>
      <c r="J40" s="9">
        <v>0</v>
      </c>
      <c r="K40" s="38"/>
      <c r="L40" s="9"/>
    </row>
    <row r="41" spans="2:12" ht="14.7" customHeight="1" thickBot="1" x14ac:dyDescent="0.55000000000000004">
      <c r="B41" s="16" t="s">
        <v>26</v>
      </c>
      <c r="C41" s="12">
        <v>2</v>
      </c>
      <c r="D41" s="13">
        <v>2000</v>
      </c>
      <c r="F41" s="9"/>
      <c r="H41" s="16" t="s">
        <v>26</v>
      </c>
      <c r="I41" s="12">
        <v>3</v>
      </c>
      <c r="J41" s="13">
        <v>3000</v>
      </c>
      <c r="K41" s="38"/>
      <c r="L41" s="9"/>
    </row>
    <row r="42" spans="2:12" ht="14.7" customHeight="1" thickBot="1" x14ac:dyDescent="0.55000000000000004">
      <c r="B42" s="8"/>
      <c r="F42" s="9"/>
      <c r="H42" s="8"/>
      <c r="I42" s="38"/>
      <c r="J42" s="38"/>
      <c r="K42" s="38"/>
      <c r="L42" s="9"/>
    </row>
    <row r="43" spans="2:12" ht="14.7" customHeight="1" thickBot="1" x14ac:dyDescent="0.55000000000000004">
      <c r="B43" s="29" t="s">
        <v>27</v>
      </c>
      <c r="C43" s="30"/>
      <c r="D43" s="31"/>
      <c r="F43" s="9"/>
      <c r="H43" s="29" t="s">
        <v>27</v>
      </c>
      <c r="I43" s="30"/>
      <c r="J43" s="31"/>
      <c r="K43" s="38"/>
      <c r="L43" s="9"/>
    </row>
    <row r="44" spans="2:12" ht="14.7" customHeight="1" thickBot="1" x14ac:dyDescent="0.55000000000000004">
      <c r="B44" s="24" t="s">
        <v>23</v>
      </c>
      <c r="C44" s="18" t="s">
        <v>24</v>
      </c>
      <c r="D44" s="19" t="s">
        <v>25</v>
      </c>
      <c r="F44" s="9"/>
      <c r="H44" s="17" t="s">
        <v>23</v>
      </c>
      <c r="I44" s="18" t="s">
        <v>24</v>
      </c>
      <c r="J44" s="19" t="s">
        <v>25</v>
      </c>
      <c r="K44" s="38"/>
      <c r="L44" s="9"/>
    </row>
    <row r="45" spans="2:12" ht="14.7" customHeight="1" thickBot="1" x14ac:dyDescent="0.55000000000000004">
      <c r="B45" s="24" t="s">
        <v>18</v>
      </c>
      <c r="C45" s="12">
        <v>113</v>
      </c>
      <c r="D45" s="13">
        <v>1986.54</v>
      </c>
      <c r="F45" s="9"/>
      <c r="H45" s="24" t="s">
        <v>18</v>
      </c>
      <c r="I45" s="12">
        <v>113</v>
      </c>
      <c r="J45" s="13">
        <v>1986.54</v>
      </c>
      <c r="K45" s="38"/>
      <c r="L45" s="9"/>
    </row>
    <row r="46" spans="2:12" ht="14.7" customHeight="1" thickBot="1" x14ac:dyDescent="0.55000000000000004">
      <c r="B46" s="8"/>
      <c r="F46" s="9"/>
      <c r="H46" s="8"/>
      <c r="I46" s="38"/>
      <c r="J46" s="38"/>
      <c r="K46" s="38"/>
      <c r="L46" s="9"/>
    </row>
    <row r="47" spans="2:12" ht="14.7" customHeight="1" thickBot="1" x14ac:dyDescent="0.55000000000000004">
      <c r="B47" s="29" t="s">
        <v>28</v>
      </c>
      <c r="C47" s="31"/>
      <c r="F47" s="9"/>
      <c r="H47" s="29" t="s">
        <v>28</v>
      </c>
      <c r="I47" s="31"/>
      <c r="J47" s="38"/>
      <c r="K47" s="38"/>
      <c r="L47" s="9"/>
    </row>
    <row r="48" spans="2:12" ht="14.7" customHeight="1" thickBot="1" x14ac:dyDescent="0.55000000000000004">
      <c r="B48" s="11" t="s">
        <v>29</v>
      </c>
      <c r="C48" s="13">
        <v>46030</v>
      </c>
      <c r="F48" s="9"/>
      <c r="H48" s="24" t="s">
        <v>29</v>
      </c>
      <c r="I48" s="13">
        <v>13250</v>
      </c>
      <c r="J48" s="38"/>
      <c r="K48" s="38"/>
      <c r="L48" s="9"/>
    </row>
    <row r="49" spans="2:12" ht="14.7" customHeight="1" thickBot="1" x14ac:dyDescent="0.55000000000000004">
      <c r="B49" s="8"/>
      <c r="F49" s="9"/>
      <c r="H49" s="8"/>
      <c r="I49" s="38"/>
      <c r="J49" s="38"/>
      <c r="K49" s="38"/>
      <c r="L49" s="9"/>
    </row>
    <row r="50" spans="2:12" ht="14.7" customHeight="1" thickBot="1" x14ac:dyDescent="0.55000000000000004">
      <c r="B50" s="29" t="s">
        <v>30</v>
      </c>
      <c r="C50" s="30"/>
      <c r="D50" s="31"/>
      <c r="F50" s="9"/>
      <c r="H50" s="35" t="s">
        <v>30</v>
      </c>
      <c r="I50" s="36"/>
      <c r="J50" s="37"/>
      <c r="K50" s="38"/>
      <c r="L50" s="9"/>
    </row>
    <row r="51" spans="2:12" ht="14.7" customHeight="1" thickBot="1" x14ac:dyDescent="0.55000000000000004">
      <c r="B51" s="11" t="s">
        <v>31</v>
      </c>
      <c r="C51" s="12" t="s">
        <v>32</v>
      </c>
      <c r="D51" s="13" t="s">
        <v>33</v>
      </c>
      <c r="F51" s="9"/>
      <c r="H51" s="24" t="s">
        <v>31</v>
      </c>
      <c r="I51" s="18" t="s">
        <v>61</v>
      </c>
      <c r="J51" s="21" t="s">
        <v>33</v>
      </c>
      <c r="K51" s="38"/>
      <c r="L51" s="9"/>
    </row>
    <row r="52" spans="2:12" ht="14.7" customHeight="1" x14ac:dyDescent="0.5">
      <c r="B52" s="23" t="s">
        <v>34</v>
      </c>
      <c r="C52" s="26">
        <v>4274032.2009316096</v>
      </c>
      <c r="D52" s="27">
        <f>C52*25</f>
        <v>106850805.02329025</v>
      </c>
      <c r="F52" s="9"/>
      <c r="H52" s="3" t="s">
        <v>34</v>
      </c>
      <c r="I52" s="40">
        <v>4907821.4904364198</v>
      </c>
      <c r="J52" s="27">
        <f>I52*25</f>
        <v>122695537.2609105</v>
      </c>
      <c r="K52" s="38"/>
      <c r="L52" s="9"/>
    </row>
    <row r="53" spans="2:12" ht="14.7" customHeight="1" thickBot="1" x14ac:dyDescent="0.55000000000000004">
      <c r="B53" s="16" t="s">
        <v>35</v>
      </c>
      <c r="C53" s="25">
        <v>2322902.9175733803</v>
      </c>
      <c r="D53" s="28">
        <f>C53*25</f>
        <v>58072572.939334504</v>
      </c>
      <c r="F53" s="9"/>
      <c r="H53" s="16" t="s">
        <v>35</v>
      </c>
      <c r="I53" s="25">
        <v>701893.25519247097</v>
      </c>
      <c r="J53" s="28">
        <f>I53*25</f>
        <v>17547331.379811775</v>
      </c>
      <c r="K53" s="38"/>
      <c r="L53" s="9"/>
    </row>
    <row r="54" spans="2:12" ht="14.7" customHeight="1" thickBot="1" x14ac:dyDescent="0.55000000000000004">
      <c r="B54" s="8"/>
      <c r="F54" s="9"/>
      <c r="H54" s="8"/>
      <c r="I54" s="39"/>
      <c r="J54" s="10"/>
      <c r="K54" s="38"/>
      <c r="L54" s="9"/>
    </row>
    <row r="55" spans="2:12" ht="14.7" customHeight="1" thickBot="1" x14ac:dyDescent="0.55000000000000004">
      <c r="B55" s="29" t="s">
        <v>36</v>
      </c>
      <c r="C55" s="30"/>
      <c r="D55" s="31"/>
      <c r="F55" s="9"/>
      <c r="H55" s="35" t="s">
        <v>36</v>
      </c>
      <c r="I55" s="36"/>
      <c r="J55" s="37"/>
      <c r="K55" s="38"/>
      <c r="L55" s="9"/>
    </row>
    <row r="56" spans="2:12" ht="14.7" customHeight="1" thickBot="1" x14ac:dyDescent="0.55000000000000004">
      <c r="B56" s="11" t="s">
        <v>31</v>
      </c>
      <c r="C56" s="12" t="s">
        <v>32</v>
      </c>
      <c r="D56" s="13" t="s">
        <v>33</v>
      </c>
      <c r="F56" s="9"/>
      <c r="H56" s="24" t="s">
        <v>31</v>
      </c>
      <c r="I56" s="20">
        <v>1332988.55295803</v>
      </c>
      <c r="J56" s="21" t="s">
        <v>33</v>
      </c>
      <c r="K56" s="38"/>
      <c r="L56" s="9"/>
    </row>
    <row r="57" spans="2:12" ht="14.7" customHeight="1" thickBot="1" x14ac:dyDescent="0.55000000000000004">
      <c r="B57" s="23" t="s">
        <v>34</v>
      </c>
      <c r="C57">
        <v>1160848.2521048801</v>
      </c>
      <c r="D57" s="9">
        <f>C57*25</f>
        <v>29021206.302622002</v>
      </c>
      <c r="F57" s="9"/>
      <c r="H57" s="16" t="s">
        <v>34</v>
      </c>
      <c r="I57" s="14">
        <v>277498.78536091797</v>
      </c>
      <c r="J57" s="15">
        <f>I57*25</f>
        <v>6937469.6340229493</v>
      </c>
      <c r="K57" s="38"/>
      <c r="L57" s="9"/>
    </row>
    <row r="58" spans="2:12" ht="14.7" customHeight="1" thickBot="1" x14ac:dyDescent="0.55000000000000004">
      <c r="B58" s="16" t="s">
        <v>35</v>
      </c>
      <c r="C58" s="12">
        <v>932467.45909400599</v>
      </c>
      <c r="D58" s="13">
        <f>C58*25</f>
        <v>23311686.477350149</v>
      </c>
      <c r="F58" s="9"/>
      <c r="H58" s="8" t="s">
        <v>35</v>
      </c>
      <c r="I58" s="12">
        <v>701893.25519247097</v>
      </c>
      <c r="J58" s="38">
        <f>I58*25</f>
        <v>17547331.379811775</v>
      </c>
      <c r="K58" s="38"/>
      <c r="L58" s="9"/>
    </row>
    <row r="59" spans="2:12" ht="14.7" customHeight="1" thickBot="1" x14ac:dyDescent="0.55000000000000004">
      <c r="B59" s="8"/>
      <c r="F59" s="9"/>
      <c r="H59" s="8"/>
      <c r="I59" s="38"/>
      <c r="J59" s="38"/>
      <c r="K59" s="38"/>
      <c r="L59" s="9"/>
    </row>
    <row r="60" spans="2:12" ht="14.7" customHeight="1" thickBot="1" x14ac:dyDescent="0.55000000000000004">
      <c r="B60" s="29" t="s">
        <v>37</v>
      </c>
      <c r="C60" s="31"/>
      <c r="F60" s="9"/>
      <c r="H60" s="29" t="s">
        <v>38</v>
      </c>
      <c r="I60" s="31"/>
      <c r="J60" s="38"/>
      <c r="K60" s="38"/>
      <c r="L60" s="9"/>
    </row>
    <row r="61" spans="2:12" ht="14.7" customHeight="1" thickBot="1" x14ac:dyDescent="0.55000000000000004">
      <c r="B61" s="24" t="s">
        <v>39</v>
      </c>
      <c r="C61" s="13">
        <v>414000</v>
      </c>
      <c r="F61" s="9"/>
      <c r="H61" s="24" t="s">
        <v>39</v>
      </c>
      <c r="I61" s="13">
        <v>119250</v>
      </c>
      <c r="J61" s="38"/>
      <c r="K61" s="38"/>
      <c r="L61" s="9"/>
    </row>
    <row r="62" spans="2:12" ht="14.7" customHeight="1" thickBot="1" x14ac:dyDescent="0.55000000000000004">
      <c r="B62" s="8"/>
      <c r="F62" s="9"/>
      <c r="H62" s="8"/>
      <c r="I62" s="38"/>
      <c r="J62" s="38"/>
      <c r="K62" s="38"/>
      <c r="L62" s="9"/>
    </row>
    <row r="63" spans="2:12" ht="14.7" customHeight="1" thickBot="1" x14ac:dyDescent="0.55000000000000004">
      <c r="B63" s="29" t="s">
        <v>40</v>
      </c>
      <c r="C63" s="31"/>
      <c r="F63" s="9"/>
      <c r="H63" s="29" t="s">
        <v>40</v>
      </c>
      <c r="I63" s="31"/>
      <c r="J63" s="38"/>
      <c r="K63" s="38"/>
      <c r="L63" s="9"/>
    </row>
    <row r="64" spans="2:12" ht="14.7" customHeight="1" thickBot="1" x14ac:dyDescent="0.55000000000000004">
      <c r="B64" s="29">
        <f>E23/B70</f>
        <v>1.3808950354807432</v>
      </c>
      <c r="C64" s="31"/>
      <c r="F64" s="9"/>
      <c r="H64" s="29">
        <f>K23/B70</f>
        <v>1.3724849403719375</v>
      </c>
      <c r="I64" s="31"/>
      <c r="J64" s="38"/>
      <c r="K64" s="38"/>
      <c r="L64" s="9"/>
    </row>
    <row r="65" spans="2:12" x14ac:dyDescent="0.5">
      <c r="B65" s="8"/>
      <c r="F65" s="9"/>
      <c r="H65" s="8"/>
      <c r="I65" s="38"/>
      <c r="J65" s="38"/>
      <c r="K65" s="38"/>
      <c r="L65" s="9"/>
    </row>
    <row r="66" spans="2:12" ht="14.7" customHeight="1" thickBot="1" x14ac:dyDescent="0.55000000000000004">
      <c r="B66" s="11"/>
      <c r="C66" s="12"/>
      <c r="D66" s="12"/>
      <c r="E66" s="12"/>
      <c r="F66" s="13"/>
      <c r="G66" s="12"/>
      <c r="H66" s="11"/>
      <c r="I66" s="12"/>
      <c r="J66" s="12"/>
      <c r="K66" s="12"/>
      <c r="L66" s="13"/>
    </row>
    <row r="67" spans="2:12" ht="14.7" customHeight="1" thickBot="1" x14ac:dyDescent="0.55000000000000004">
      <c r="B67" s="11"/>
      <c r="C67" s="12"/>
      <c r="L67" s="9"/>
    </row>
    <row r="68" spans="2:12" ht="14.7" customHeight="1" thickBot="1" x14ac:dyDescent="0.55000000000000004">
      <c r="B68" s="32" t="s">
        <v>41</v>
      </c>
      <c r="C68" s="33"/>
      <c r="L68" s="9"/>
    </row>
    <row r="69" spans="2:12" ht="14.7" customHeight="1" thickBot="1" x14ac:dyDescent="0.55000000000000004">
      <c r="B69" s="17" t="s">
        <v>42</v>
      </c>
      <c r="C69" s="19" t="s">
        <v>43</v>
      </c>
      <c r="L69" s="9"/>
    </row>
    <row r="70" spans="2:12" ht="14.7" customHeight="1" thickBot="1" x14ac:dyDescent="0.55000000000000004">
      <c r="B70" s="11">
        <f>C108</f>
        <v>2960263.6103253397</v>
      </c>
      <c r="C70" s="13">
        <f>D108</f>
        <v>74006590.258133486</v>
      </c>
      <c r="D70" s="12"/>
      <c r="E70" s="12"/>
      <c r="F70" s="12"/>
      <c r="G70" s="12"/>
      <c r="H70" s="12"/>
      <c r="I70" s="12"/>
      <c r="J70" s="12"/>
      <c r="K70" s="12"/>
      <c r="L70" s="13"/>
    </row>
    <row r="71" spans="2:12" ht="14.7" customHeight="1" thickBot="1" x14ac:dyDescent="0.55000000000000004"/>
    <row r="72" spans="2:12" ht="14.7" customHeight="1" thickBot="1" x14ac:dyDescent="0.55000000000000004">
      <c r="B72" s="29" t="s">
        <v>44</v>
      </c>
      <c r="C72" s="30"/>
      <c r="D72" s="30"/>
      <c r="E72" s="30"/>
      <c r="F72" s="31"/>
    </row>
    <row r="73" spans="2:12" ht="14.7" customHeight="1" thickBot="1" x14ac:dyDescent="0.55000000000000004">
      <c r="B73" s="29" t="s">
        <v>45</v>
      </c>
      <c r="C73" s="30"/>
      <c r="D73" s="30"/>
      <c r="E73" s="30"/>
      <c r="F73" s="31"/>
    </row>
    <row r="74" spans="2:12" ht="14.7" customHeight="1" thickBot="1" x14ac:dyDescent="0.55000000000000004">
      <c r="B74" s="24" t="s">
        <v>46</v>
      </c>
      <c r="C74" s="18" t="s">
        <v>4</v>
      </c>
      <c r="D74" s="18" t="s">
        <v>5</v>
      </c>
      <c r="E74" s="18" t="s">
        <v>6</v>
      </c>
      <c r="F74" s="19" t="s">
        <v>7</v>
      </c>
    </row>
    <row r="75" spans="2:12" x14ac:dyDescent="0.5">
      <c r="B75" s="23" t="s">
        <v>9</v>
      </c>
      <c r="C75">
        <v>19157.163470791991</v>
      </c>
      <c r="D75">
        <v>44700</v>
      </c>
      <c r="E75">
        <f>C75+D75</f>
        <v>63857.163470791987</v>
      </c>
      <c r="F75" s="9">
        <f>E75*25</f>
        <v>1596429.0867697997</v>
      </c>
    </row>
    <row r="76" spans="2:12" x14ac:dyDescent="0.5">
      <c r="B76" s="3" t="s">
        <v>10</v>
      </c>
      <c r="C76">
        <v>0</v>
      </c>
      <c r="D76">
        <v>0</v>
      </c>
      <c r="E76">
        <f>C76+D76</f>
        <v>0</v>
      </c>
      <c r="F76" s="9">
        <f>E76*25</f>
        <v>0</v>
      </c>
    </row>
    <row r="77" spans="2:12" x14ac:dyDescent="0.5">
      <c r="B77" s="3" t="s">
        <v>14</v>
      </c>
      <c r="C77">
        <v>0</v>
      </c>
      <c r="D77">
        <v>0</v>
      </c>
      <c r="E77">
        <f>C77+D77</f>
        <v>0</v>
      </c>
      <c r="F77" s="9">
        <f>E77*25</f>
        <v>0</v>
      </c>
    </row>
    <row r="78" spans="2:12" x14ac:dyDescent="0.5">
      <c r="B78" s="3" t="s">
        <v>47</v>
      </c>
      <c r="C78">
        <v>0</v>
      </c>
      <c r="D78">
        <v>0</v>
      </c>
      <c r="E78">
        <f>C78+D78</f>
        <v>0</v>
      </c>
      <c r="F78" s="9">
        <f>E78*25</f>
        <v>0</v>
      </c>
    </row>
    <row r="79" spans="2:12" ht="14.7" customHeight="1" thickBot="1" x14ac:dyDescent="0.55000000000000004">
      <c r="B79" s="16" t="s">
        <v>48</v>
      </c>
      <c r="C79" s="12"/>
      <c r="D79" s="12"/>
      <c r="E79">
        <f>C79+D79</f>
        <v>0</v>
      </c>
      <c r="F79" s="9">
        <f>E79*25</f>
        <v>0</v>
      </c>
    </row>
    <row r="80" spans="2:12" ht="14.7" customHeight="1" thickBot="1" x14ac:dyDescent="0.55000000000000004">
      <c r="B80" s="17" t="s">
        <v>49</v>
      </c>
      <c r="C80" s="18" t="s">
        <v>4</v>
      </c>
      <c r="D80" s="18" t="s">
        <v>5</v>
      </c>
      <c r="E80" s="18" t="s">
        <v>6</v>
      </c>
      <c r="F80" s="19" t="s">
        <v>7</v>
      </c>
    </row>
    <row r="81" spans="2:6" x14ac:dyDescent="0.5">
      <c r="B81" s="23" t="s">
        <v>18</v>
      </c>
      <c r="C81">
        <v>25504.817465247339</v>
      </c>
      <c r="D81">
        <v>31784.639999999999</v>
      </c>
      <c r="E81">
        <f>C81+D81</f>
        <v>57289.457465247338</v>
      </c>
      <c r="F81" s="9">
        <f>E81*25</f>
        <v>1432236.4366311834</v>
      </c>
    </row>
    <row r="82" spans="2:6" ht="14.7" customHeight="1" thickBot="1" x14ac:dyDescent="0.55000000000000004">
      <c r="B82" s="16" t="s">
        <v>50</v>
      </c>
      <c r="C82" s="12"/>
      <c r="D82" s="12"/>
      <c r="E82">
        <f>C82+D82</f>
        <v>0</v>
      </c>
      <c r="F82" s="9">
        <f>E82*25</f>
        <v>0</v>
      </c>
    </row>
    <row r="83" spans="2:6" ht="14.7" customHeight="1" thickBot="1" x14ac:dyDescent="0.55000000000000004">
      <c r="B83" s="17"/>
      <c r="C83" s="18" t="s">
        <v>4</v>
      </c>
      <c r="D83" s="18" t="s">
        <v>5</v>
      </c>
      <c r="E83" s="18" t="s">
        <v>6</v>
      </c>
      <c r="F83" s="19" t="s">
        <v>7</v>
      </c>
    </row>
    <row r="84" spans="2:6" ht="14.7" customHeight="1" thickBot="1" x14ac:dyDescent="0.55000000000000004">
      <c r="B84" s="24" t="s">
        <v>22</v>
      </c>
      <c r="C84" s="12">
        <v>44661.980936039326</v>
      </c>
      <c r="D84" s="12">
        <v>2444355.072410896</v>
      </c>
      <c r="E84" s="12">
        <v>2489017.0533469352</v>
      </c>
      <c r="F84" s="13">
        <f>E84*25</f>
        <v>62225426.33367338</v>
      </c>
    </row>
    <row r="85" spans="2:6" ht="14.7" customHeight="1" thickBot="1" x14ac:dyDescent="0.55000000000000004">
      <c r="B85" s="8"/>
      <c r="F85" s="9"/>
    </row>
    <row r="86" spans="2:6" ht="14.7" customHeight="1" thickBot="1" x14ac:dyDescent="0.55000000000000004">
      <c r="B86" s="29" t="s">
        <v>46</v>
      </c>
      <c r="C86" s="30"/>
      <c r="D86" s="31"/>
      <c r="F86" s="9"/>
    </row>
    <row r="87" spans="2:6" ht="14.7" customHeight="1" thickBot="1" x14ac:dyDescent="0.55000000000000004">
      <c r="B87" s="24" t="s">
        <v>23</v>
      </c>
      <c r="C87" s="18" t="s">
        <v>24</v>
      </c>
      <c r="D87" s="19" t="s">
        <v>25</v>
      </c>
      <c r="F87" s="9"/>
    </row>
    <row r="88" spans="2:6" x14ac:dyDescent="0.5">
      <c r="B88" s="23" t="s">
        <v>9</v>
      </c>
      <c r="C88">
        <v>3</v>
      </c>
      <c r="D88" s="9">
        <v>300</v>
      </c>
      <c r="F88" s="9"/>
    </row>
    <row r="89" spans="2:6" x14ac:dyDescent="0.5">
      <c r="B89" s="3" t="s">
        <v>10</v>
      </c>
      <c r="C89">
        <v>0</v>
      </c>
      <c r="D89" s="9">
        <v>0</v>
      </c>
      <c r="F89" s="9"/>
    </row>
    <row r="90" spans="2:6" x14ac:dyDescent="0.5">
      <c r="B90" s="3" t="s">
        <v>14</v>
      </c>
      <c r="C90">
        <v>0</v>
      </c>
      <c r="D90" s="9">
        <v>0</v>
      </c>
      <c r="F90" s="9"/>
    </row>
    <row r="91" spans="2:6" x14ac:dyDescent="0.5">
      <c r="B91" s="3" t="s">
        <v>47</v>
      </c>
      <c r="C91">
        <v>0</v>
      </c>
      <c r="D91" s="9">
        <v>0</v>
      </c>
      <c r="F91" s="9"/>
    </row>
    <row r="92" spans="2:6" ht="14.7" customHeight="1" thickBot="1" x14ac:dyDescent="0.55000000000000004">
      <c r="B92" s="16" t="s">
        <v>26</v>
      </c>
      <c r="C92" s="12">
        <v>3</v>
      </c>
      <c r="D92" s="13">
        <v>300</v>
      </c>
      <c r="F92" s="9"/>
    </row>
    <row r="93" spans="2:6" ht="14.7" customHeight="1" thickBot="1" x14ac:dyDescent="0.55000000000000004">
      <c r="B93" s="8"/>
      <c r="F93" s="9"/>
    </row>
    <row r="94" spans="2:6" ht="14.7" customHeight="1" thickBot="1" x14ac:dyDescent="0.55000000000000004">
      <c r="B94" s="29" t="s">
        <v>51</v>
      </c>
      <c r="C94" s="30"/>
      <c r="D94" s="31"/>
      <c r="F94" s="9"/>
    </row>
    <row r="95" spans="2:6" ht="14.7" customHeight="1" thickBot="1" x14ac:dyDescent="0.55000000000000004">
      <c r="B95" s="17" t="s">
        <v>23</v>
      </c>
      <c r="C95" s="18" t="s">
        <v>24</v>
      </c>
      <c r="D95" s="19" t="s">
        <v>25</v>
      </c>
      <c r="F95" s="9"/>
    </row>
    <row r="96" spans="2:6" ht="14.7" customHeight="1" thickBot="1" x14ac:dyDescent="0.55000000000000004">
      <c r="B96" s="24" t="s">
        <v>18</v>
      </c>
      <c r="C96" s="12">
        <v>113</v>
      </c>
      <c r="D96" s="13">
        <v>1986.54</v>
      </c>
      <c r="F96" s="9"/>
    </row>
    <row r="97" spans="2:6" ht="14.7" customHeight="1" thickBot="1" x14ac:dyDescent="0.55000000000000004">
      <c r="B97" s="8"/>
      <c r="F97" s="9"/>
    </row>
    <row r="98" spans="2:6" ht="14.7" customHeight="1" thickBot="1" x14ac:dyDescent="0.55000000000000004">
      <c r="B98" s="29" t="s">
        <v>52</v>
      </c>
      <c r="C98" s="30"/>
      <c r="D98" s="31"/>
      <c r="F98" s="9"/>
    </row>
    <row r="99" spans="2:6" ht="14.7" customHeight="1" thickBot="1" x14ac:dyDescent="0.55000000000000004">
      <c r="B99" s="17" t="s">
        <v>53</v>
      </c>
      <c r="C99" s="18" t="s">
        <v>54</v>
      </c>
      <c r="D99" s="19" t="s">
        <v>55</v>
      </c>
      <c r="F99" s="9"/>
    </row>
    <row r="100" spans="2:6" x14ac:dyDescent="0.5">
      <c r="B100" s="23" t="s">
        <v>56</v>
      </c>
      <c r="C100">
        <v>467105.26315789251</v>
      </c>
      <c r="D100" s="9">
        <f>C100*25</f>
        <v>11677631.578947313</v>
      </c>
      <c r="F100" s="9"/>
    </row>
    <row r="101" spans="2:6" x14ac:dyDescent="0.5">
      <c r="B101" s="3" t="s">
        <v>57</v>
      </c>
      <c r="C101">
        <v>667747.5680958319</v>
      </c>
      <c r="D101" s="9">
        <f>C101*25</f>
        <v>16693689.202395797</v>
      </c>
      <c r="F101" s="9"/>
    </row>
    <row r="102" spans="2:6" ht="14.7" customHeight="1" thickBot="1" x14ac:dyDescent="0.55000000000000004">
      <c r="B102" s="16" t="s">
        <v>26</v>
      </c>
      <c r="C102" s="12">
        <f>C100+C101</f>
        <v>1134852.8312537244</v>
      </c>
      <c r="D102" s="13">
        <f>C102*25</f>
        <v>28371320.78134311</v>
      </c>
      <c r="F102" s="9"/>
    </row>
    <row r="103" spans="2:6" ht="14.7" customHeight="1" thickBot="1" x14ac:dyDescent="0.55000000000000004">
      <c r="B103" s="8"/>
      <c r="F103" s="9"/>
    </row>
    <row r="104" spans="2:6" ht="14.7" customHeight="1" thickBot="1" x14ac:dyDescent="0.55000000000000004">
      <c r="B104" s="29" t="s">
        <v>58</v>
      </c>
      <c r="C104" s="30"/>
      <c r="D104" s="31"/>
      <c r="F104" s="9"/>
    </row>
    <row r="105" spans="2:6" ht="14.7" customHeight="1" thickBot="1" x14ac:dyDescent="0.55000000000000004">
      <c r="B105" s="17" t="s">
        <v>53</v>
      </c>
      <c r="C105" s="18" t="s">
        <v>59</v>
      </c>
      <c r="D105" s="22" t="s">
        <v>60</v>
      </c>
      <c r="F105" s="9"/>
    </row>
    <row r="106" spans="2:6" x14ac:dyDescent="0.5">
      <c r="B106" s="23" t="s">
        <v>56</v>
      </c>
      <c r="C106">
        <f>2.6085*C100</f>
        <v>1218444.0789473625</v>
      </c>
      <c r="D106" s="9">
        <f>C106*25</f>
        <v>30461101.973684061</v>
      </c>
      <c r="F106" s="9"/>
    </row>
    <row r="107" spans="2:6" x14ac:dyDescent="0.5">
      <c r="B107" s="3" t="s">
        <v>57</v>
      </c>
      <c r="C107">
        <f>2.6085*C101</f>
        <v>1741819.5313779775</v>
      </c>
      <c r="D107" s="9">
        <f>C107*25</f>
        <v>43545488.284449436</v>
      </c>
      <c r="F107" s="9"/>
    </row>
    <row r="108" spans="2:6" ht="14.7" customHeight="1" thickBot="1" x14ac:dyDescent="0.55000000000000004">
      <c r="B108" s="16" t="s">
        <v>26</v>
      </c>
      <c r="C108" s="12">
        <f>2.6085*C102</f>
        <v>2960263.6103253397</v>
      </c>
      <c r="D108" s="13">
        <f>C108*25</f>
        <v>74006590.258133486</v>
      </c>
      <c r="E108" s="12"/>
      <c r="F108" s="13"/>
    </row>
  </sheetData>
  <mergeCells count="30">
    <mergeCell ref="H64:I64"/>
    <mergeCell ref="H50:J50"/>
    <mergeCell ref="H55:J55"/>
    <mergeCell ref="B86:D86"/>
    <mergeCell ref="B104:D104"/>
    <mergeCell ref="B73:F73"/>
    <mergeCell ref="B36:D36"/>
    <mergeCell ref="B94:D94"/>
    <mergeCell ref="B50:D50"/>
    <mergeCell ref="B68:C68"/>
    <mergeCell ref="B64:C64"/>
    <mergeCell ref="B47:C47"/>
    <mergeCell ref="B98:D98"/>
    <mergeCell ref="B72:F72"/>
    <mergeCell ref="H33:I33"/>
    <mergeCell ref="B5:L5"/>
    <mergeCell ref="B63:C63"/>
    <mergeCell ref="B43:D43"/>
    <mergeCell ref="H25:J25"/>
    <mergeCell ref="H6:L6"/>
    <mergeCell ref="H60:I60"/>
    <mergeCell ref="B60:C60"/>
    <mergeCell ref="B55:D55"/>
    <mergeCell ref="H47:I47"/>
    <mergeCell ref="B25:D25"/>
    <mergeCell ref="H43:J43"/>
    <mergeCell ref="B6:F6"/>
    <mergeCell ref="B33:C33"/>
    <mergeCell ref="H36:J36"/>
    <mergeCell ref="H63:I6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B4:N108"/>
  <sheetViews>
    <sheetView tabSelected="1" topLeftCell="A15" zoomScale="70" zoomScaleNormal="70" workbookViewId="0">
      <selection activeCell="M29" sqref="M29"/>
    </sheetView>
  </sheetViews>
  <sheetFormatPr defaultColWidth="39.234375" defaultRowHeight="14.35" x14ac:dyDescent="0.5"/>
  <cols>
    <col min="1" max="1" width="13.52734375" customWidth="1"/>
    <col min="2" max="2" width="15.234375" bestFit="1" customWidth="1"/>
    <col min="3" max="3" width="17.64453125" bestFit="1" customWidth="1"/>
    <col min="4" max="4" width="18.64453125" bestFit="1" customWidth="1"/>
    <col min="5" max="5" width="12.46875" bestFit="1" customWidth="1"/>
    <col min="6" max="6" width="13.5859375" bestFit="1" customWidth="1"/>
    <col min="7" max="7" width="12.46875" customWidth="1"/>
    <col min="8" max="8" width="15.234375" bestFit="1" customWidth="1"/>
    <col min="9" max="9" width="15.703125" bestFit="1" customWidth="1"/>
    <col min="10" max="10" width="18" bestFit="1" customWidth="1"/>
    <col min="11" max="11" width="12.46875" bestFit="1" customWidth="1"/>
    <col min="12" max="12" width="14.5859375" bestFit="1" customWidth="1"/>
    <col min="13" max="14" width="13.41015625" bestFit="1" customWidth="1"/>
    <col min="15" max="15" width="11.76171875" bestFit="1" customWidth="1"/>
  </cols>
  <sheetData>
    <row r="4" spans="2:14" ht="14.7" customHeight="1" thickBot="1" x14ac:dyDescent="0.55000000000000004"/>
    <row r="5" spans="2:14" ht="14.7" customHeight="1" thickBot="1" x14ac:dyDescent="0.55000000000000004">
      <c r="B5" s="29" t="s">
        <v>0</v>
      </c>
      <c r="C5" s="30"/>
      <c r="D5" s="30"/>
      <c r="E5" s="30"/>
      <c r="F5" s="30"/>
      <c r="G5" s="30"/>
      <c r="H5" s="30"/>
      <c r="I5" s="30"/>
      <c r="J5" s="30"/>
      <c r="K5" s="30"/>
      <c r="L5" s="31"/>
    </row>
    <row r="6" spans="2:14" ht="14.7" customHeight="1" thickBot="1" x14ac:dyDescent="0.55000000000000004">
      <c r="B6" s="29" t="s">
        <v>1</v>
      </c>
      <c r="C6" s="30"/>
      <c r="D6" s="30"/>
      <c r="E6" s="30"/>
      <c r="F6" s="31"/>
      <c r="H6" s="29" t="s">
        <v>2</v>
      </c>
      <c r="I6" s="30"/>
      <c r="J6" s="30"/>
      <c r="K6" s="30"/>
      <c r="L6" s="31"/>
    </row>
    <row r="7" spans="2:14" ht="14.7" customHeight="1" thickBot="1" x14ac:dyDescent="0.55000000000000004">
      <c r="B7" s="24" t="s">
        <v>3</v>
      </c>
      <c r="C7" s="18" t="s">
        <v>4</v>
      </c>
      <c r="D7" s="18" t="s">
        <v>5</v>
      </c>
      <c r="E7" s="18" t="s">
        <v>6</v>
      </c>
      <c r="F7" s="19" t="s">
        <v>7</v>
      </c>
      <c r="H7" s="24" t="s">
        <v>3</v>
      </c>
      <c r="I7" s="18" t="s">
        <v>4</v>
      </c>
      <c r="J7" s="18" t="s">
        <v>5</v>
      </c>
      <c r="K7" s="18" t="s">
        <v>6</v>
      </c>
      <c r="L7" s="19" t="s">
        <v>7</v>
      </c>
    </row>
    <row r="8" spans="2:14" x14ac:dyDescent="0.5">
      <c r="B8" s="3" t="s">
        <v>8</v>
      </c>
      <c r="C8" s="6">
        <f>13698 * D27*((0.05*((1.05)^25))/((1.05^25)-1))</f>
        <v>2332576.2242036336</v>
      </c>
      <c r="D8" s="6">
        <f>29*D27</f>
        <v>69600</v>
      </c>
      <c r="E8" s="6">
        <f>C8+D8</f>
        <v>2402176.2242036336</v>
      </c>
      <c r="F8" s="10">
        <f>E8*25</f>
        <v>60054405.605090842</v>
      </c>
      <c r="H8" s="3" t="s">
        <v>9</v>
      </c>
      <c r="I8" s="39">
        <f>1615 * J27*((0.05*((1.05)^25))/((1.05^25)-1))</f>
        <v>389599.94303006987</v>
      </c>
      <c r="J8" s="39">
        <f>29*J27</f>
        <v>98600</v>
      </c>
      <c r="K8" s="39">
        <f>I8+J8</f>
        <v>488199.94303006987</v>
      </c>
      <c r="L8" s="10">
        <f>K8*25</f>
        <v>12204998.575751746</v>
      </c>
    </row>
    <row r="9" spans="2:14" x14ac:dyDescent="0.5">
      <c r="B9" s="3" t="s">
        <v>10</v>
      </c>
      <c r="C9" s="6">
        <f>13698 * D28*((0.05*((1.05)^25))/((1.05^25)-1))</f>
        <v>0</v>
      </c>
      <c r="D9" s="6">
        <f>29*D28</f>
        <v>0</v>
      </c>
      <c r="E9" s="6">
        <f>C9+D9</f>
        <v>0</v>
      </c>
      <c r="F9" s="10">
        <f>E9*25</f>
        <v>0</v>
      </c>
      <c r="H9" s="3" t="s">
        <v>10</v>
      </c>
      <c r="I9" s="39">
        <f>1615 * J28*((0.05*((1.05)^25))/((1.05^25)-1))</f>
        <v>0</v>
      </c>
      <c r="J9" s="39">
        <f>29*J28</f>
        <v>0</v>
      </c>
      <c r="K9" s="39">
        <f>I9+J9</f>
        <v>0</v>
      </c>
      <c r="L9" s="10">
        <f>K9*25</f>
        <v>0</v>
      </c>
      <c r="M9" s="7"/>
      <c r="N9" s="6"/>
    </row>
    <row r="10" spans="2:14" x14ac:dyDescent="0.5">
      <c r="B10" s="3" t="s">
        <v>11</v>
      </c>
      <c r="C10" s="6">
        <f>13698 * D29*((0.05*((1.05)^25))/((1.05^25)-1))</f>
        <v>0</v>
      </c>
      <c r="D10" s="6">
        <f>29*D29</f>
        <v>0</v>
      </c>
      <c r="E10" s="6">
        <f>C10+D10</f>
        <v>0</v>
      </c>
      <c r="F10" s="10">
        <f>E10*25</f>
        <v>0</v>
      </c>
      <c r="H10" s="3" t="s">
        <v>11</v>
      </c>
      <c r="I10" s="39">
        <f>1615 * J29*((0.05*((1.05)^25))/((1.05^25)-1))</f>
        <v>0</v>
      </c>
      <c r="J10" s="39">
        <f>29*J29</f>
        <v>0</v>
      </c>
      <c r="K10" s="39">
        <f>I10+J10</f>
        <v>0</v>
      </c>
      <c r="L10" s="10">
        <f>K10*25</f>
        <v>0</v>
      </c>
      <c r="M10" s="7"/>
    </row>
    <row r="11" spans="2:14" ht="14.7" customHeight="1" thickBot="1" x14ac:dyDescent="0.55000000000000004">
      <c r="B11" s="16" t="s">
        <v>12</v>
      </c>
      <c r="C11" s="14">
        <f>13698 * D30*((0.05*((1.05)^25))/((1.05^25)-1))</f>
        <v>0</v>
      </c>
      <c r="D11" s="14">
        <f>29*D30</f>
        <v>0</v>
      </c>
      <c r="E11" s="14">
        <f>C11+D11</f>
        <v>0</v>
      </c>
      <c r="F11" s="15">
        <f>E11*25</f>
        <v>0</v>
      </c>
      <c r="H11" s="16" t="s">
        <v>12</v>
      </c>
      <c r="I11" s="14">
        <f>1615 * J30*((0.05*((1.05)^25))/((1.05^25)-1))</f>
        <v>0</v>
      </c>
      <c r="J11" s="14">
        <f>29*J30</f>
        <v>0</v>
      </c>
      <c r="K11" s="14">
        <f>I11+J11</f>
        <v>0</v>
      </c>
      <c r="L11" s="13">
        <f>K11*25</f>
        <v>0</v>
      </c>
    </row>
    <row r="12" spans="2:14" ht="14.7" customHeight="1" thickBot="1" x14ac:dyDescent="0.55000000000000004">
      <c r="B12" s="24" t="s">
        <v>13</v>
      </c>
      <c r="C12" s="18" t="s">
        <v>4</v>
      </c>
      <c r="D12" s="18" t="s">
        <v>5</v>
      </c>
      <c r="E12" s="18" t="s">
        <v>6</v>
      </c>
      <c r="F12" s="19" t="s">
        <v>7</v>
      </c>
      <c r="H12" s="24" t="s">
        <v>13</v>
      </c>
      <c r="I12" s="18" t="s">
        <v>4</v>
      </c>
      <c r="J12" s="18" t="s">
        <v>5</v>
      </c>
      <c r="K12" s="18" t="s">
        <v>6</v>
      </c>
      <c r="L12" s="19" t="s">
        <v>7</v>
      </c>
    </row>
    <row r="13" spans="2:14" x14ac:dyDescent="0.5">
      <c r="B13" s="3" t="s">
        <v>14</v>
      </c>
      <c r="C13" s="4">
        <f>2490 * D38*((0.05*((1.05)^10))/((1.05^10)-1))</f>
        <v>644932.78332797438</v>
      </c>
      <c r="D13" s="1">
        <f>37.35*D38</f>
        <v>74700</v>
      </c>
      <c r="E13">
        <f>C13+D13</f>
        <v>719632.78332797438</v>
      </c>
      <c r="F13" s="9">
        <f>E13*25</f>
        <v>17990819.583199359</v>
      </c>
      <c r="H13" s="3" t="s">
        <v>14</v>
      </c>
      <c r="I13" s="4">
        <f>2490 * J38*((0.05*((1.05)^10))/((1.05^10)-1))</f>
        <v>967399.17499196157</v>
      </c>
      <c r="J13" s="1">
        <f>37.35*J38</f>
        <v>112050</v>
      </c>
      <c r="K13" s="39">
        <f>I13+J13</f>
        <v>1079449.1749919616</v>
      </c>
      <c r="L13" s="10">
        <f>K13*25</f>
        <v>26986229.374799039</v>
      </c>
    </row>
    <row r="14" spans="2:14" x14ac:dyDescent="0.5">
      <c r="B14" s="3" t="s">
        <v>15</v>
      </c>
      <c r="C14" s="4">
        <f>1570 * D39*((0.05*((1.05)^10))/((1.05^10)-1))</f>
        <v>0</v>
      </c>
      <c r="D14" s="1">
        <f>23.55*D39</f>
        <v>0</v>
      </c>
      <c r="E14">
        <f>C14+D14</f>
        <v>0</v>
      </c>
      <c r="F14" s="9">
        <f>E14*25</f>
        <v>0</v>
      </c>
      <c r="H14" s="3" t="s">
        <v>15</v>
      </c>
      <c r="I14" s="4">
        <f>1570 * J39*((0.05*((1.05)^10))/((1.05^10)-1))</f>
        <v>0</v>
      </c>
      <c r="J14" s="1">
        <f>23.55*J39</f>
        <v>0</v>
      </c>
      <c r="K14" s="38">
        <f>I14+J14</f>
        <v>0</v>
      </c>
      <c r="L14" s="10">
        <f>K14*25</f>
        <v>0</v>
      </c>
    </row>
    <row r="15" spans="2:14" ht="14.7" customHeight="1" thickBot="1" x14ac:dyDescent="0.55000000000000004">
      <c r="B15" s="16" t="s">
        <v>16</v>
      </c>
      <c r="C15" s="5">
        <f>1190 * D40*((0.05*((1.05)^10))/((1.05^10)-1))</f>
        <v>0</v>
      </c>
      <c r="D15" s="2">
        <f>17.85*D40</f>
        <v>0</v>
      </c>
      <c r="E15" s="12">
        <f>C15+D15</f>
        <v>0</v>
      </c>
      <c r="F15" s="13">
        <f>E15*25</f>
        <v>0</v>
      </c>
      <c r="H15" s="16" t="s">
        <v>16</v>
      </c>
      <c r="I15" s="5">
        <f>1190 * J40*((0.05*((1.05)^10))/((1.05^10)-1))</f>
        <v>0</v>
      </c>
      <c r="J15" s="2">
        <f>17.85*J40</f>
        <v>0</v>
      </c>
      <c r="K15" s="12">
        <f>I15+J15</f>
        <v>0</v>
      </c>
      <c r="L15" s="15">
        <f>K15*25</f>
        <v>0</v>
      </c>
    </row>
    <row r="16" spans="2:14" ht="14.7" customHeight="1" thickBot="1" x14ac:dyDescent="0.55000000000000004">
      <c r="B16" s="24" t="s">
        <v>17</v>
      </c>
      <c r="C16" s="18" t="s">
        <v>4</v>
      </c>
      <c r="D16" s="18" t="s">
        <v>5</v>
      </c>
      <c r="E16" s="18" t="s">
        <v>6</v>
      </c>
      <c r="F16" s="19" t="s">
        <v>7</v>
      </c>
      <c r="H16" s="24" t="s">
        <v>17</v>
      </c>
      <c r="I16" s="18" t="s">
        <v>4</v>
      </c>
      <c r="J16" s="18" t="s">
        <v>5</v>
      </c>
      <c r="K16" s="18" t="s">
        <v>6</v>
      </c>
      <c r="L16" s="19" t="s">
        <v>7</v>
      </c>
    </row>
    <row r="17" spans="2:14" ht="14.7" customHeight="1" thickBot="1" x14ac:dyDescent="0.55000000000000004">
      <c r="B17" s="16" t="s">
        <v>18</v>
      </c>
      <c r="C17" s="12">
        <v>36338.722229246203</v>
      </c>
      <c r="D17" s="12">
        <v>45286.079999999987</v>
      </c>
      <c r="E17" s="12">
        <f>D17+C17</f>
        <v>81624.802229246183</v>
      </c>
      <c r="F17" s="13">
        <f>E17*25</f>
        <v>2040620.0557311545</v>
      </c>
      <c r="H17" s="16" t="s">
        <v>18</v>
      </c>
      <c r="I17" s="12">
        <v>36338.722229246203</v>
      </c>
      <c r="J17" s="12">
        <v>45286.079999999987</v>
      </c>
      <c r="K17" s="12">
        <f>J17+I17</f>
        <v>81624.802229246183</v>
      </c>
      <c r="L17" s="15">
        <f>K17*25</f>
        <v>2040620.0557311545</v>
      </c>
    </row>
    <row r="18" spans="2:14" ht="14.7" customHeight="1" thickBot="1" x14ac:dyDescent="0.55000000000000004">
      <c r="B18" s="24" t="s">
        <v>19</v>
      </c>
      <c r="C18" s="18" t="s">
        <v>4</v>
      </c>
      <c r="D18" s="18" t="s">
        <v>5</v>
      </c>
      <c r="E18" s="18" t="s">
        <v>6</v>
      </c>
      <c r="F18" s="19" t="s">
        <v>7</v>
      </c>
      <c r="H18" s="24" t="s">
        <v>20</v>
      </c>
      <c r="I18" s="18" t="s">
        <v>4</v>
      </c>
      <c r="J18" s="18" t="s">
        <v>5</v>
      </c>
      <c r="K18" s="18" t="s">
        <v>6</v>
      </c>
      <c r="L18" s="19" t="s">
        <v>7</v>
      </c>
    </row>
    <row r="19" spans="2:14" ht="14.7" customHeight="1" thickBot="1" x14ac:dyDescent="0.55000000000000004">
      <c r="B19" s="11"/>
      <c r="C19" s="12">
        <f>C48*300*((0.05*((1.05)^20))/((1.05^20)-1))</f>
        <v>906821.47784200252</v>
      </c>
      <c r="D19" s="12">
        <v>0</v>
      </c>
      <c r="E19" s="12">
        <f>D19+C19</f>
        <v>906821.47784200252</v>
      </c>
      <c r="F19" s="13">
        <f>E19*25</f>
        <v>22670536.946050063</v>
      </c>
      <c r="H19" s="11"/>
      <c r="I19" s="14">
        <f>(I48/10)*3000*((0.05*((1.05)^20))/((1.05^20)-1))</f>
        <v>51997.196499567974</v>
      </c>
      <c r="J19" s="12">
        <v>0</v>
      </c>
      <c r="K19" s="12">
        <f>J19+I19</f>
        <v>51997.196499567974</v>
      </c>
      <c r="L19" s="15">
        <f>K19*25</f>
        <v>1299929.9124891993</v>
      </c>
    </row>
    <row r="20" spans="2:14" ht="14.7" customHeight="1" thickBot="1" x14ac:dyDescent="0.55000000000000004">
      <c r="B20" s="24" t="s">
        <v>21</v>
      </c>
      <c r="C20" s="18" t="s">
        <v>4</v>
      </c>
      <c r="D20" s="18" t="s">
        <v>5</v>
      </c>
      <c r="E20" s="18" t="s">
        <v>6</v>
      </c>
      <c r="F20" s="19" t="s">
        <v>7</v>
      </c>
      <c r="H20" s="24" t="s">
        <v>21</v>
      </c>
      <c r="I20" s="18" t="s">
        <v>4</v>
      </c>
      <c r="J20" s="18" t="s">
        <v>5</v>
      </c>
      <c r="K20" s="18" t="s">
        <v>6</v>
      </c>
      <c r="L20" s="19" t="s">
        <v>7</v>
      </c>
    </row>
    <row r="21" spans="2:14" ht="14.7" customHeight="1" thickBot="1" x14ac:dyDescent="0.55000000000000004">
      <c r="B21" s="11"/>
      <c r="C21" s="12">
        <v>0</v>
      </c>
      <c r="D21" s="12">
        <v>0</v>
      </c>
      <c r="E21" s="12">
        <f>C21+D21</f>
        <v>0</v>
      </c>
      <c r="F21" s="13">
        <f>E21*25</f>
        <v>0</v>
      </c>
      <c r="H21" s="11"/>
      <c r="I21" s="12">
        <v>271.70140022768072</v>
      </c>
      <c r="J21" s="12">
        <v>38</v>
      </c>
      <c r="K21" s="12">
        <f>J21+I21</f>
        <v>309.70140022768072</v>
      </c>
      <c r="L21" s="13">
        <f>K21*25</f>
        <v>7742.5350056920179</v>
      </c>
    </row>
    <row r="22" spans="2:14" ht="14.7" customHeight="1" thickBot="1" x14ac:dyDescent="0.55000000000000004">
      <c r="B22" s="17"/>
      <c r="C22" s="18" t="s">
        <v>4</v>
      </c>
      <c r="D22" s="18" t="s">
        <v>5</v>
      </c>
      <c r="E22" s="18" t="s">
        <v>6</v>
      </c>
      <c r="F22" s="19" t="s">
        <v>7</v>
      </c>
      <c r="H22" s="17"/>
      <c r="I22" s="18" t="s">
        <v>4</v>
      </c>
      <c r="J22" s="18" t="s">
        <v>5</v>
      </c>
      <c r="K22" s="18" t="s">
        <v>6</v>
      </c>
      <c r="L22" s="19" t="s">
        <v>7</v>
      </c>
    </row>
    <row r="23" spans="2:14" ht="14.7" customHeight="1" thickBot="1" x14ac:dyDescent="0.55000000000000004">
      <c r="B23" s="24" t="s">
        <v>22</v>
      </c>
      <c r="C23" s="12">
        <v>3920909.935364427</v>
      </c>
      <c r="D23" s="12">
        <v>189586.08</v>
      </c>
      <c r="E23" s="25">
        <v>4110496.0153644271</v>
      </c>
      <c r="F23" s="13">
        <f>D23*25</f>
        <v>4739652</v>
      </c>
      <c r="H23" s="24" t="s">
        <v>22</v>
      </c>
      <c r="I23" s="14">
        <v>1445606.738151073</v>
      </c>
      <c r="J23" s="14">
        <v>255974.08</v>
      </c>
      <c r="K23" s="14">
        <v>4062917.2247025901</v>
      </c>
      <c r="L23" s="15">
        <f>K23*25</f>
        <v>101572930.61756475</v>
      </c>
      <c r="M23" s="6"/>
    </row>
    <row r="24" spans="2:14" ht="14.7" customHeight="1" thickBot="1" x14ac:dyDescent="0.55000000000000004">
      <c r="B24" s="8"/>
      <c r="F24" s="9"/>
      <c r="H24" s="8"/>
      <c r="I24" s="39"/>
      <c r="J24" s="39"/>
      <c r="K24" s="39"/>
      <c r="L24" s="10"/>
      <c r="M24" s="6"/>
      <c r="N24" s="7"/>
    </row>
    <row r="25" spans="2:14" ht="14.7" customHeight="1" thickBot="1" x14ac:dyDescent="0.55000000000000004">
      <c r="B25" s="29" t="s">
        <v>3</v>
      </c>
      <c r="C25" s="30"/>
      <c r="D25" s="31"/>
      <c r="F25" s="9"/>
      <c r="H25" s="29" t="s">
        <v>3</v>
      </c>
      <c r="I25" s="30"/>
      <c r="J25" s="31"/>
      <c r="K25" s="38"/>
      <c r="L25" s="10"/>
      <c r="M25" s="6"/>
    </row>
    <row r="26" spans="2:14" ht="14.7" customHeight="1" thickBot="1" x14ac:dyDescent="0.55000000000000004">
      <c r="B26" s="17" t="s">
        <v>23</v>
      </c>
      <c r="C26" s="18" t="s">
        <v>24</v>
      </c>
      <c r="D26" s="19" t="s">
        <v>25</v>
      </c>
      <c r="F26" s="9"/>
      <c r="H26" s="17" t="s">
        <v>23</v>
      </c>
      <c r="I26" s="18" t="s">
        <v>24</v>
      </c>
      <c r="J26" s="19" t="s">
        <v>25</v>
      </c>
      <c r="K26" s="38"/>
      <c r="L26" s="10"/>
      <c r="M26" s="6"/>
    </row>
    <row r="27" spans="2:14" x14ac:dyDescent="0.5">
      <c r="B27" s="23" t="s">
        <v>9</v>
      </c>
      <c r="C27">
        <v>24</v>
      </c>
      <c r="D27" s="9">
        <v>2400</v>
      </c>
      <c r="F27" s="9"/>
      <c r="H27" s="8" t="s">
        <v>9</v>
      </c>
      <c r="I27" s="38">
        <v>34</v>
      </c>
      <c r="J27" s="9">
        <v>3400</v>
      </c>
      <c r="K27" s="38"/>
      <c r="L27" s="9"/>
    </row>
    <row r="28" spans="2:14" x14ac:dyDescent="0.5">
      <c r="B28" s="3" t="s">
        <v>10</v>
      </c>
      <c r="C28">
        <v>0</v>
      </c>
      <c r="D28" s="9">
        <v>0</v>
      </c>
      <c r="F28" s="9"/>
      <c r="H28" s="8" t="s">
        <v>10</v>
      </c>
      <c r="I28" s="38">
        <v>0</v>
      </c>
      <c r="J28" s="9">
        <v>0</v>
      </c>
      <c r="K28" s="38"/>
      <c r="L28" s="9"/>
    </row>
    <row r="29" spans="2:14" x14ac:dyDescent="0.5">
      <c r="B29" s="3" t="s">
        <v>11</v>
      </c>
      <c r="C29">
        <v>0</v>
      </c>
      <c r="D29" s="9">
        <v>0</v>
      </c>
      <c r="F29" s="9"/>
      <c r="H29" s="8" t="s">
        <v>11</v>
      </c>
      <c r="I29" s="38">
        <v>0</v>
      </c>
      <c r="J29" s="9">
        <v>0</v>
      </c>
      <c r="K29" s="38"/>
      <c r="L29" s="9"/>
    </row>
    <row r="30" spans="2:14" x14ac:dyDescent="0.5">
      <c r="B30" s="3" t="s">
        <v>12</v>
      </c>
      <c r="C30">
        <v>0</v>
      </c>
      <c r="D30" s="9">
        <v>0</v>
      </c>
      <c r="F30" s="9"/>
      <c r="H30" s="8" t="s">
        <v>12</v>
      </c>
      <c r="I30" s="38">
        <v>0</v>
      </c>
      <c r="J30" s="9">
        <v>0</v>
      </c>
      <c r="K30" s="38"/>
      <c r="L30" s="9"/>
    </row>
    <row r="31" spans="2:14" ht="14.7" customHeight="1" thickBot="1" x14ac:dyDescent="0.55000000000000004">
      <c r="B31" s="16" t="s">
        <v>26</v>
      </c>
      <c r="C31" s="12">
        <v>24</v>
      </c>
      <c r="D31" s="13">
        <v>2400</v>
      </c>
      <c r="F31" s="9"/>
      <c r="H31" s="11" t="s">
        <v>26</v>
      </c>
      <c r="I31" s="12">
        <v>34</v>
      </c>
      <c r="J31" s="13">
        <v>3400</v>
      </c>
      <c r="K31" s="38"/>
      <c r="L31" s="9"/>
    </row>
    <row r="32" spans="2:14" ht="14.7" customHeight="1" thickBot="1" x14ac:dyDescent="0.55000000000000004">
      <c r="B32" s="8"/>
      <c r="F32" s="9"/>
      <c r="H32" s="8"/>
      <c r="I32" s="38"/>
      <c r="J32" s="38"/>
      <c r="K32" s="38"/>
      <c r="L32" s="9"/>
    </row>
    <row r="33" spans="2:12" ht="14.7" customHeight="1" thickBot="1" x14ac:dyDescent="0.55000000000000004">
      <c r="B33" s="29" t="s">
        <v>21</v>
      </c>
      <c r="C33" s="31"/>
      <c r="F33" s="9"/>
      <c r="H33" s="29" t="s">
        <v>21</v>
      </c>
      <c r="I33" s="31"/>
      <c r="J33" s="38"/>
      <c r="K33" s="38"/>
      <c r="L33" s="9"/>
    </row>
    <row r="34" spans="2:12" ht="14.7" customHeight="1" thickBot="1" x14ac:dyDescent="0.55000000000000004">
      <c r="B34" s="24" t="s">
        <v>25</v>
      </c>
      <c r="C34" s="13">
        <v>0</v>
      </c>
      <c r="F34" s="9"/>
      <c r="H34" s="24" t="s">
        <v>25</v>
      </c>
      <c r="I34" s="13">
        <v>2</v>
      </c>
      <c r="J34" s="38"/>
      <c r="K34" s="38"/>
      <c r="L34" s="9"/>
    </row>
    <row r="35" spans="2:12" ht="14.7" customHeight="1" thickBot="1" x14ac:dyDescent="0.55000000000000004">
      <c r="B35" s="8"/>
      <c r="F35" s="9"/>
      <c r="H35" s="8"/>
      <c r="I35" s="38"/>
      <c r="J35" s="38"/>
      <c r="K35" s="38"/>
      <c r="L35" s="9"/>
    </row>
    <row r="36" spans="2:12" ht="14.7" customHeight="1" thickBot="1" x14ac:dyDescent="0.55000000000000004">
      <c r="B36" s="29" t="s">
        <v>13</v>
      </c>
      <c r="C36" s="30"/>
      <c r="D36" s="31"/>
      <c r="F36" s="9"/>
      <c r="H36" s="29" t="s">
        <v>13</v>
      </c>
      <c r="I36" s="30"/>
      <c r="J36" s="31"/>
      <c r="K36" s="38"/>
      <c r="L36" s="9"/>
    </row>
    <row r="37" spans="2:12" ht="14.7" customHeight="1" thickBot="1" x14ac:dyDescent="0.55000000000000004">
      <c r="B37" s="24" t="s">
        <v>23</v>
      </c>
      <c r="C37" s="18" t="s">
        <v>24</v>
      </c>
      <c r="D37" s="19" t="s">
        <v>25</v>
      </c>
      <c r="F37" s="9"/>
      <c r="H37" s="17" t="s">
        <v>23</v>
      </c>
      <c r="I37" s="18" t="s">
        <v>24</v>
      </c>
      <c r="J37" s="19" t="s">
        <v>25</v>
      </c>
      <c r="K37" s="38"/>
      <c r="L37" s="9"/>
    </row>
    <row r="38" spans="2:12" x14ac:dyDescent="0.5">
      <c r="B38" s="23" t="s">
        <v>14</v>
      </c>
      <c r="C38">
        <v>2</v>
      </c>
      <c r="D38" s="9">
        <v>2000</v>
      </c>
      <c r="F38" s="9"/>
      <c r="H38" s="23" t="s">
        <v>14</v>
      </c>
      <c r="I38" s="38">
        <v>3</v>
      </c>
      <c r="J38" s="9">
        <v>3000</v>
      </c>
      <c r="K38" s="38"/>
      <c r="L38" s="9"/>
    </row>
    <row r="39" spans="2:12" x14ac:dyDescent="0.5">
      <c r="B39" s="3" t="s">
        <v>15</v>
      </c>
      <c r="C39">
        <v>0</v>
      </c>
      <c r="D39" s="9">
        <v>0</v>
      </c>
      <c r="F39" s="9"/>
      <c r="H39" s="3" t="s">
        <v>15</v>
      </c>
      <c r="I39" s="38">
        <v>0</v>
      </c>
      <c r="J39" s="9">
        <v>0</v>
      </c>
      <c r="K39" s="38"/>
      <c r="L39" s="9"/>
    </row>
    <row r="40" spans="2:12" x14ac:dyDescent="0.5">
      <c r="B40" s="3" t="s">
        <v>16</v>
      </c>
      <c r="C40">
        <v>0</v>
      </c>
      <c r="D40" s="9">
        <v>0</v>
      </c>
      <c r="F40" s="9"/>
      <c r="H40" s="3" t="s">
        <v>16</v>
      </c>
      <c r="I40" s="38">
        <v>0</v>
      </c>
      <c r="J40" s="9">
        <v>0</v>
      </c>
      <c r="K40" s="38"/>
      <c r="L40" s="9"/>
    </row>
    <row r="41" spans="2:12" ht="14.7" customHeight="1" thickBot="1" x14ac:dyDescent="0.55000000000000004">
      <c r="B41" s="16" t="s">
        <v>26</v>
      </c>
      <c r="C41" s="12">
        <v>2</v>
      </c>
      <c r="D41" s="13">
        <v>2000</v>
      </c>
      <c r="F41" s="9"/>
      <c r="H41" s="16" t="s">
        <v>26</v>
      </c>
      <c r="I41" s="12">
        <v>3</v>
      </c>
      <c r="J41" s="13">
        <v>3000</v>
      </c>
      <c r="K41" s="38"/>
      <c r="L41" s="9"/>
    </row>
    <row r="42" spans="2:12" ht="14.7" customHeight="1" thickBot="1" x14ac:dyDescent="0.55000000000000004">
      <c r="B42" s="8"/>
      <c r="F42" s="9"/>
      <c r="H42" s="8"/>
      <c r="I42" s="38"/>
      <c r="J42" s="38"/>
      <c r="K42" s="38"/>
      <c r="L42" s="9"/>
    </row>
    <row r="43" spans="2:12" ht="14.7" customHeight="1" thickBot="1" x14ac:dyDescent="0.55000000000000004">
      <c r="B43" s="29" t="s">
        <v>27</v>
      </c>
      <c r="C43" s="30"/>
      <c r="D43" s="31"/>
      <c r="F43" s="9"/>
      <c r="H43" s="29" t="s">
        <v>27</v>
      </c>
      <c r="I43" s="30"/>
      <c r="J43" s="31"/>
      <c r="K43" s="38"/>
      <c r="L43" s="9"/>
    </row>
    <row r="44" spans="2:12" ht="14.7" customHeight="1" thickBot="1" x14ac:dyDescent="0.55000000000000004">
      <c r="B44" s="24" t="s">
        <v>23</v>
      </c>
      <c r="C44" s="18" t="s">
        <v>24</v>
      </c>
      <c r="D44" s="19" t="s">
        <v>25</v>
      </c>
      <c r="F44" s="9"/>
      <c r="H44" s="17" t="s">
        <v>23</v>
      </c>
      <c r="I44" s="18" t="s">
        <v>24</v>
      </c>
      <c r="J44" s="19" t="s">
        <v>25</v>
      </c>
      <c r="K44" s="38"/>
      <c r="L44" s="9"/>
    </row>
    <row r="45" spans="2:12" ht="14.7" customHeight="1" thickBot="1" x14ac:dyDescent="0.55000000000000004">
      <c r="B45" s="24" t="s">
        <v>18</v>
      </c>
      <c r="C45" s="12">
        <v>161</v>
      </c>
      <c r="D45" s="13">
        <v>2830.38</v>
      </c>
      <c r="F45" s="9"/>
      <c r="H45" s="24" t="s">
        <v>18</v>
      </c>
      <c r="I45" s="12">
        <v>161</v>
      </c>
      <c r="J45" s="13">
        <v>2830.38</v>
      </c>
      <c r="K45" s="38"/>
      <c r="L45" s="9"/>
    </row>
    <row r="46" spans="2:12" ht="14.7" customHeight="1" thickBot="1" x14ac:dyDescent="0.55000000000000004">
      <c r="B46" s="8"/>
      <c r="F46" s="9"/>
      <c r="H46" s="8"/>
      <c r="I46" s="38"/>
      <c r="J46" s="38"/>
      <c r="K46" s="38"/>
      <c r="L46" s="9"/>
    </row>
    <row r="47" spans="2:12" ht="14.7" customHeight="1" thickBot="1" x14ac:dyDescent="0.55000000000000004">
      <c r="B47" s="29" t="s">
        <v>28</v>
      </c>
      <c r="C47" s="31"/>
      <c r="F47" s="9"/>
      <c r="H47" s="29" t="s">
        <v>28</v>
      </c>
      <c r="I47" s="31"/>
      <c r="J47" s="38"/>
      <c r="K47" s="38"/>
      <c r="L47" s="9"/>
    </row>
    <row r="48" spans="2:12" ht="14.7" customHeight="1" thickBot="1" x14ac:dyDescent="0.55000000000000004">
      <c r="B48" s="11" t="s">
        <v>29</v>
      </c>
      <c r="C48" s="13">
        <v>37670</v>
      </c>
      <c r="F48" s="9"/>
      <c r="H48" s="24" t="s">
        <v>29</v>
      </c>
      <c r="I48" s="13">
        <v>2160</v>
      </c>
      <c r="J48" s="38"/>
      <c r="K48" s="38"/>
      <c r="L48" s="9"/>
    </row>
    <row r="49" spans="2:12" ht="14.7" customHeight="1" thickBot="1" x14ac:dyDescent="0.55000000000000004">
      <c r="B49" s="8"/>
      <c r="F49" s="9"/>
      <c r="H49" s="8"/>
      <c r="I49" s="38"/>
      <c r="J49" s="38"/>
      <c r="K49" s="38"/>
      <c r="L49" s="9"/>
    </row>
    <row r="50" spans="2:12" ht="14.7" customHeight="1" thickBot="1" x14ac:dyDescent="0.55000000000000004">
      <c r="B50" s="29" t="s">
        <v>30</v>
      </c>
      <c r="C50" s="30"/>
      <c r="D50" s="31"/>
      <c r="F50" s="9"/>
      <c r="H50" s="35" t="s">
        <v>30</v>
      </c>
      <c r="I50" s="36"/>
      <c r="J50" s="37"/>
      <c r="K50" s="38"/>
      <c r="L50" s="9"/>
    </row>
    <row r="51" spans="2:12" ht="14.7" customHeight="1" thickBot="1" x14ac:dyDescent="0.55000000000000004">
      <c r="B51" s="11" t="s">
        <v>31</v>
      </c>
      <c r="C51" s="12" t="s">
        <v>32</v>
      </c>
      <c r="D51" s="13" t="s">
        <v>33</v>
      </c>
      <c r="F51" s="9"/>
      <c r="H51" s="24" t="s">
        <v>31</v>
      </c>
      <c r="I51" s="18" t="s">
        <v>61</v>
      </c>
      <c r="J51" s="21" t="s">
        <v>33</v>
      </c>
      <c r="K51" s="38"/>
      <c r="L51" s="9"/>
    </row>
    <row r="52" spans="2:12" ht="14.7" customHeight="1" x14ac:dyDescent="0.5">
      <c r="B52" s="23" t="s">
        <v>34</v>
      </c>
      <c r="C52" s="26">
        <v>2808616.5649003801</v>
      </c>
      <c r="D52" s="27">
        <f>C52*25</f>
        <v>70215414.122509509</v>
      </c>
      <c r="F52" s="9"/>
      <c r="H52" s="3" t="s">
        <v>34</v>
      </c>
      <c r="I52" s="40">
        <v>2724153.7671609102</v>
      </c>
      <c r="J52" s="27">
        <f>I52*25</f>
        <v>68103844.179022759</v>
      </c>
      <c r="K52" s="38"/>
      <c r="L52" s="9"/>
    </row>
    <row r="53" spans="2:12" ht="14.7" customHeight="1" thickBot="1" x14ac:dyDescent="0.55000000000000004">
      <c r="B53" s="16" t="s">
        <v>35</v>
      </c>
      <c r="C53" s="25">
        <v>1287015.2150416209</v>
      </c>
      <c r="D53" s="28">
        <f>C53*25</f>
        <v>32175380.376040522</v>
      </c>
      <c r="F53" s="9"/>
      <c r="H53" s="16" t="s">
        <v>35</v>
      </c>
      <c r="I53" s="25">
        <v>136002.75022690539</v>
      </c>
      <c r="J53" s="28">
        <f>I53*25</f>
        <v>3400068.755672635</v>
      </c>
      <c r="K53" s="38"/>
      <c r="L53" s="9"/>
    </row>
    <row r="54" spans="2:12" ht="14.7" customHeight="1" thickBot="1" x14ac:dyDescent="0.55000000000000004">
      <c r="B54" s="8"/>
      <c r="F54" s="9"/>
      <c r="H54" s="8"/>
      <c r="I54" s="39"/>
      <c r="J54" s="10"/>
      <c r="K54" s="38"/>
      <c r="L54" s="9"/>
    </row>
    <row r="55" spans="2:12" ht="14.7" customHeight="1" thickBot="1" x14ac:dyDescent="0.55000000000000004">
      <c r="B55" s="29" t="s">
        <v>36</v>
      </c>
      <c r="C55" s="30"/>
      <c r="D55" s="31"/>
      <c r="F55" s="9"/>
      <c r="H55" s="35" t="s">
        <v>36</v>
      </c>
      <c r="I55" s="36"/>
      <c r="J55" s="37"/>
      <c r="K55" s="38"/>
      <c r="L55" s="9"/>
    </row>
    <row r="56" spans="2:12" ht="14.7" customHeight="1" thickBot="1" x14ac:dyDescent="0.55000000000000004">
      <c r="B56" s="11" t="s">
        <v>31</v>
      </c>
      <c r="C56" s="12" t="s">
        <v>32</v>
      </c>
      <c r="D56" s="13" t="s">
        <v>33</v>
      </c>
      <c r="F56" s="9"/>
      <c r="H56" s="24" t="s">
        <v>31</v>
      </c>
      <c r="I56" s="20">
        <v>739893.61577210203</v>
      </c>
      <c r="J56" s="21" t="s">
        <v>33</v>
      </c>
      <c r="K56" s="38"/>
      <c r="L56" s="9"/>
    </row>
    <row r="57" spans="2:12" ht="14.7" customHeight="1" thickBot="1" x14ac:dyDescent="0.55000000000000004">
      <c r="B57" s="23" t="s">
        <v>34</v>
      </c>
      <c r="C57">
        <v>762834.12873837794</v>
      </c>
      <c r="D57" s="9">
        <f>C57*25</f>
        <v>19070853.21845945</v>
      </c>
      <c r="F57" s="9"/>
      <c r="H57" s="16" t="s">
        <v>34</v>
      </c>
      <c r="I57" s="14">
        <v>51033.634961166201</v>
      </c>
      <c r="J57" s="15">
        <f>I57*25</f>
        <v>1275840.8740291551</v>
      </c>
      <c r="K57" s="38"/>
      <c r="L57" s="9"/>
    </row>
    <row r="58" spans="2:12" ht="14.7" customHeight="1" thickBot="1" x14ac:dyDescent="0.55000000000000004">
      <c r="B58" s="16" t="s">
        <v>35</v>
      </c>
      <c r="C58" s="12">
        <v>596570.38527216204</v>
      </c>
      <c r="D58" s="13">
        <f>C58*25</f>
        <v>14914259.631804051</v>
      </c>
      <c r="F58" s="9"/>
      <c r="H58" s="8" t="s">
        <v>35</v>
      </c>
      <c r="I58" s="12">
        <v>136002.75022690539</v>
      </c>
      <c r="J58" s="38">
        <f>I58*25</f>
        <v>3400068.755672635</v>
      </c>
      <c r="K58" s="38"/>
      <c r="L58" s="9"/>
    </row>
    <row r="59" spans="2:12" ht="14.7" customHeight="1" thickBot="1" x14ac:dyDescent="0.55000000000000004">
      <c r="B59" s="8"/>
      <c r="F59" s="9"/>
      <c r="H59" s="8"/>
      <c r="I59" s="38"/>
      <c r="J59" s="38"/>
      <c r="K59" s="38"/>
      <c r="L59" s="9"/>
    </row>
    <row r="60" spans="2:12" ht="14.7" customHeight="1" thickBot="1" x14ac:dyDescent="0.55000000000000004">
      <c r="B60" s="29" t="s">
        <v>37</v>
      </c>
      <c r="C60" s="31"/>
      <c r="F60" s="9"/>
      <c r="H60" s="29" t="s">
        <v>38</v>
      </c>
      <c r="I60" s="31"/>
      <c r="J60" s="38"/>
      <c r="K60" s="38"/>
      <c r="L60" s="9"/>
    </row>
    <row r="61" spans="2:12" ht="14.7" customHeight="1" thickBot="1" x14ac:dyDescent="0.55000000000000004">
      <c r="B61" s="24" t="s">
        <v>39</v>
      </c>
      <c r="C61" s="13">
        <v>339116.380951347</v>
      </c>
      <c r="F61" s="9"/>
      <c r="H61" s="24" t="s">
        <v>39</v>
      </c>
      <c r="I61" s="13">
        <v>19350.236048517399</v>
      </c>
      <c r="J61" s="38"/>
      <c r="K61" s="38"/>
      <c r="L61" s="9"/>
    </row>
    <row r="62" spans="2:12" ht="14.7" customHeight="1" thickBot="1" x14ac:dyDescent="0.55000000000000004">
      <c r="B62" s="8"/>
      <c r="F62" s="9"/>
      <c r="H62" s="8"/>
      <c r="I62" s="38"/>
      <c r="J62" s="38"/>
      <c r="K62" s="38"/>
      <c r="L62" s="9"/>
    </row>
    <row r="63" spans="2:12" ht="14.7" customHeight="1" thickBot="1" x14ac:dyDescent="0.55000000000000004">
      <c r="B63" s="29" t="s">
        <v>40</v>
      </c>
      <c r="C63" s="31"/>
      <c r="F63" s="9"/>
      <c r="H63" s="29" t="s">
        <v>40</v>
      </c>
      <c r="I63" s="31"/>
      <c r="J63" s="38"/>
      <c r="K63" s="38"/>
      <c r="L63" s="9"/>
    </row>
    <row r="64" spans="2:12" ht="14.7" customHeight="1" thickBot="1" x14ac:dyDescent="0.55000000000000004">
      <c r="B64" s="29">
        <f>E23/B70</f>
        <v>0.88154090874022306</v>
      </c>
      <c r="C64" s="31"/>
      <c r="F64" s="9"/>
      <c r="H64" s="29">
        <f>K23/B70</f>
        <v>0.87133711576730177</v>
      </c>
      <c r="I64" s="31"/>
      <c r="J64" s="38"/>
      <c r="K64" s="38"/>
      <c r="L64" s="9"/>
    </row>
    <row r="65" spans="2:12" x14ac:dyDescent="0.5">
      <c r="B65" s="8"/>
      <c r="F65" s="9"/>
      <c r="H65" s="8"/>
      <c r="I65" s="38"/>
      <c r="J65" s="38"/>
      <c r="K65" s="38"/>
      <c r="L65" s="9"/>
    </row>
    <row r="66" spans="2:12" ht="14.7" customHeight="1" thickBot="1" x14ac:dyDescent="0.55000000000000004">
      <c r="B66" s="11"/>
      <c r="C66" s="12"/>
      <c r="D66" s="12"/>
      <c r="E66" s="12"/>
      <c r="F66" s="13"/>
      <c r="G66" s="12"/>
      <c r="H66" s="11"/>
      <c r="I66" s="12"/>
      <c r="J66" s="12"/>
      <c r="K66" s="12"/>
      <c r="L66" s="13"/>
    </row>
    <row r="67" spans="2:12" ht="14.7" customHeight="1" thickBot="1" x14ac:dyDescent="0.55000000000000004">
      <c r="B67" s="11"/>
      <c r="C67" s="12"/>
      <c r="L67" s="9"/>
    </row>
    <row r="68" spans="2:12" ht="14.7" customHeight="1" thickBot="1" x14ac:dyDescent="0.55000000000000004">
      <c r="B68" s="32" t="s">
        <v>41</v>
      </c>
      <c r="C68" s="33"/>
      <c r="L68" s="9"/>
    </row>
    <row r="69" spans="2:12" ht="14.7" customHeight="1" thickBot="1" x14ac:dyDescent="0.55000000000000004">
      <c r="B69" s="17" t="s">
        <v>42</v>
      </c>
      <c r="C69" s="19" t="s">
        <v>43</v>
      </c>
      <c r="L69" s="9"/>
    </row>
    <row r="70" spans="2:12" ht="14.7" customHeight="1" thickBot="1" x14ac:dyDescent="0.55000000000000004">
      <c r="B70" s="11">
        <f>C108</f>
        <v>4662853.3907048991</v>
      </c>
      <c r="C70" s="13">
        <f>D108</f>
        <v>116571334.76762247</v>
      </c>
      <c r="D70" s="12"/>
      <c r="E70" s="12"/>
      <c r="F70" s="12"/>
      <c r="G70" s="12"/>
      <c r="H70" s="12"/>
      <c r="I70" s="12"/>
      <c r="J70" s="12"/>
      <c r="K70" s="12"/>
      <c r="L70" s="13"/>
    </row>
    <row r="71" spans="2:12" ht="14.7" customHeight="1" thickBot="1" x14ac:dyDescent="0.55000000000000004"/>
    <row r="72" spans="2:12" ht="14.7" customHeight="1" thickBot="1" x14ac:dyDescent="0.55000000000000004">
      <c r="B72" s="29" t="s">
        <v>44</v>
      </c>
      <c r="C72" s="30"/>
      <c r="D72" s="30"/>
      <c r="E72" s="30"/>
      <c r="F72" s="31"/>
    </row>
    <row r="73" spans="2:12" ht="14.7" customHeight="1" thickBot="1" x14ac:dyDescent="0.55000000000000004">
      <c r="B73" s="29" t="s">
        <v>45</v>
      </c>
      <c r="C73" s="30"/>
      <c r="D73" s="30"/>
      <c r="E73" s="30"/>
      <c r="F73" s="31"/>
    </row>
    <row r="74" spans="2:12" ht="14.7" customHeight="1" thickBot="1" x14ac:dyDescent="0.55000000000000004">
      <c r="B74" s="24" t="s">
        <v>46</v>
      </c>
      <c r="C74" s="18" t="s">
        <v>4</v>
      </c>
      <c r="D74" s="18" t="s">
        <v>5</v>
      </c>
      <c r="E74" s="18" t="s">
        <v>6</v>
      </c>
      <c r="F74" s="19" t="s">
        <v>7</v>
      </c>
    </row>
    <row r="75" spans="2:12" x14ac:dyDescent="0.5">
      <c r="B75" s="23" t="s">
        <v>9</v>
      </c>
      <c r="C75">
        <v>38314.326941583982</v>
      </c>
      <c r="D75">
        <v>89400</v>
      </c>
      <c r="E75">
        <f>C75+D75</f>
        <v>127714.32694158397</v>
      </c>
      <c r="F75" s="9">
        <f>E75*25</f>
        <v>3192858.1735395994</v>
      </c>
    </row>
    <row r="76" spans="2:12" x14ac:dyDescent="0.5">
      <c r="B76" s="3" t="s">
        <v>10</v>
      </c>
      <c r="C76">
        <v>0</v>
      </c>
      <c r="D76">
        <v>0</v>
      </c>
      <c r="E76">
        <f>C76+D76</f>
        <v>0</v>
      </c>
      <c r="F76" s="9">
        <f>E76*25</f>
        <v>0</v>
      </c>
    </row>
    <row r="77" spans="2:12" x14ac:dyDescent="0.5">
      <c r="B77" s="3" t="s">
        <v>14</v>
      </c>
      <c r="C77">
        <v>0</v>
      </c>
      <c r="D77">
        <v>0</v>
      </c>
      <c r="E77">
        <f>C77+D77</f>
        <v>0</v>
      </c>
      <c r="F77" s="9">
        <f>E77*25</f>
        <v>0</v>
      </c>
    </row>
    <row r="78" spans="2:12" x14ac:dyDescent="0.5">
      <c r="B78" s="3" t="s">
        <v>47</v>
      </c>
      <c r="C78">
        <v>0</v>
      </c>
      <c r="D78">
        <v>0</v>
      </c>
      <c r="E78">
        <f>C78+D78</f>
        <v>0</v>
      </c>
      <c r="F78" s="9">
        <f>E78*25</f>
        <v>0</v>
      </c>
    </row>
    <row r="79" spans="2:12" ht="14.7" customHeight="1" thickBot="1" x14ac:dyDescent="0.55000000000000004">
      <c r="B79" s="16" t="s">
        <v>48</v>
      </c>
      <c r="C79" s="12"/>
      <c r="D79" s="12"/>
      <c r="E79">
        <f>C79+D79</f>
        <v>0</v>
      </c>
      <c r="F79" s="9">
        <f>E79*25</f>
        <v>0</v>
      </c>
    </row>
    <row r="80" spans="2:12" ht="14.7" customHeight="1" thickBot="1" x14ac:dyDescent="0.55000000000000004">
      <c r="B80" s="17" t="s">
        <v>49</v>
      </c>
      <c r="C80" s="18" t="s">
        <v>4</v>
      </c>
      <c r="D80" s="18" t="s">
        <v>5</v>
      </c>
      <c r="E80" s="18" t="s">
        <v>6</v>
      </c>
      <c r="F80" s="19" t="s">
        <v>7</v>
      </c>
    </row>
    <row r="81" spans="2:6" x14ac:dyDescent="0.5">
      <c r="B81" s="23" t="s">
        <v>18</v>
      </c>
      <c r="C81">
        <v>36338.722229246203</v>
      </c>
      <c r="D81">
        <v>45286.079999999987</v>
      </c>
      <c r="E81">
        <f>C81+D81</f>
        <v>81624.802229246183</v>
      </c>
      <c r="F81" s="9">
        <f>E81*25</f>
        <v>2040620.0557311545</v>
      </c>
    </row>
    <row r="82" spans="2:6" ht="14.7" customHeight="1" thickBot="1" x14ac:dyDescent="0.55000000000000004">
      <c r="B82" s="16" t="s">
        <v>50</v>
      </c>
      <c r="C82" s="12"/>
      <c r="D82" s="12"/>
      <c r="E82">
        <f>C82+D82</f>
        <v>0</v>
      </c>
      <c r="F82" s="9">
        <f>E82*25</f>
        <v>0</v>
      </c>
    </row>
    <row r="83" spans="2:6" ht="14.7" customHeight="1" thickBot="1" x14ac:dyDescent="0.55000000000000004">
      <c r="B83" s="17"/>
      <c r="C83" s="18" t="s">
        <v>4</v>
      </c>
      <c r="D83" s="18" t="s">
        <v>5</v>
      </c>
      <c r="E83" s="18" t="s">
        <v>6</v>
      </c>
      <c r="F83" s="19" t="s">
        <v>7</v>
      </c>
    </row>
    <row r="84" spans="2:6" ht="14.7" customHeight="1" thickBot="1" x14ac:dyDescent="0.55000000000000004">
      <c r="B84" s="24" t="s">
        <v>22</v>
      </c>
      <c r="C84" s="12">
        <v>74653.049170830185</v>
      </c>
      <c r="D84" s="12">
        <v>3864432.5242038621</v>
      </c>
      <c r="E84" s="12">
        <v>3939085.5733746919</v>
      </c>
      <c r="F84" s="13">
        <f>E84*25</f>
        <v>98477139.33436729</v>
      </c>
    </row>
    <row r="85" spans="2:6" ht="14.7" customHeight="1" thickBot="1" x14ac:dyDescent="0.55000000000000004">
      <c r="B85" s="8"/>
      <c r="F85" s="9"/>
    </row>
    <row r="86" spans="2:6" ht="14.7" customHeight="1" thickBot="1" x14ac:dyDescent="0.55000000000000004">
      <c r="B86" s="29" t="s">
        <v>46</v>
      </c>
      <c r="C86" s="30"/>
      <c r="D86" s="31"/>
      <c r="F86" s="9"/>
    </row>
    <row r="87" spans="2:6" ht="14.7" customHeight="1" thickBot="1" x14ac:dyDescent="0.55000000000000004">
      <c r="B87" s="24" t="s">
        <v>23</v>
      </c>
      <c r="C87" s="18" t="s">
        <v>24</v>
      </c>
      <c r="D87" s="19" t="s">
        <v>25</v>
      </c>
      <c r="F87" s="9"/>
    </row>
    <row r="88" spans="2:6" x14ac:dyDescent="0.5">
      <c r="B88" s="23" t="s">
        <v>9</v>
      </c>
      <c r="C88">
        <v>6</v>
      </c>
      <c r="D88" s="9">
        <v>600</v>
      </c>
      <c r="F88" s="9"/>
    </row>
    <row r="89" spans="2:6" x14ac:dyDescent="0.5">
      <c r="B89" s="3" t="s">
        <v>10</v>
      </c>
      <c r="C89">
        <v>0</v>
      </c>
      <c r="D89" s="9">
        <v>0</v>
      </c>
      <c r="F89" s="9"/>
    </row>
    <row r="90" spans="2:6" x14ac:dyDescent="0.5">
      <c r="B90" s="3" t="s">
        <v>14</v>
      </c>
      <c r="C90">
        <v>0</v>
      </c>
      <c r="D90" s="9">
        <v>0</v>
      </c>
      <c r="F90" s="9"/>
    </row>
    <row r="91" spans="2:6" x14ac:dyDescent="0.5">
      <c r="B91" s="3" t="s">
        <v>47</v>
      </c>
      <c r="C91">
        <v>0</v>
      </c>
      <c r="D91" s="9">
        <v>0</v>
      </c>
      <c r="F91" s="9"/>
    </row>
    <row r="92" spans="2:6" ht="14.7" customHeight="1" thickBot="1" x14ac:dyDescent="0.55000000000000004">
      <c r="B92" s="16" t="s">
        <v>26</v>
      </c>
      <c r="C92" s="12">
        <v>6</v>
      </c>
      <c r="D92" s="13">
        <v>600</v>
      </c>
      <c r="F92" s="9"/>
    </row>
    <row r="93" spans="2:6" ht="14.7" customHeight="1" thickBot="1" x14ac:dyDescent="0.55000000000000004">
      <c r="B93" s="8"/>
      <c r="F93" s="9"/>
    </row>
    <row r="94" spans="2:6" ht="14.7" customHeight="1" thickBot="1" x14ac:dyDescent="0.55000000000000004">
      <c r="B94" s="29" t="s">
        <v>51</v>
      </c>
      <c r="C94" s="30"/>
      <c r="D94" s="31"/>
      <c r="F94" s="9"/>
    </row>
    <row r="95" spans="2:6" ht="14.7" customHeight="1" thickBot="1" x14ac:dyDescent="0.55000000000000004">
      <c r="B95" s="17" t="s">
        <v>23</v>
      </c>
      <c r="C95" s="18" t="s">
        <v>24</v>
      </c>
      <c r="D95" s="19" t="s">
        <v>25</v>
      </c>
      <c r="F95" s="9"/>
    </row>
    <row r="96" spans="2:6" ht="14.7" customHeight="1" thickBot="1" x14ac:dyDescent="0.55000000000000004">
      <c r="B96" s="24" t="s">
        <v>18</v>
      </c>
      <c r="C96" s="12">
        <v>161</v>
      </c>
      <c r="D96" s="13">
        <v>2830.38</v>
      </c>
      <c r="F96" s="9"/>
    </row>
    <row r="97" spans="2:6" ht="14.7" customHeight="1" thickBot="1" x14ac:dyDescent="0.55000000000000004">
      <c r="B97" s="8"/>
      <c r="F97" s="9"/>
    </row>
    <row r="98" spans="2:6" ht="14.7" customHeight="1" thickBot="1" x14ac:dyDescent="0.55000000000000004">
      <c r="B98" s="29" t="s">
        <v>52</v>
      </c>
      <c r="C98" s="30"/>
      <c r="D98" s="31"/>
      <c r="F98" s="9"/>
    </row>
    <row r="99" spans="2:6" ht="14.7" customHeight="1" thickBot="1" x14ac:dyDescent="0.55000000000000004">
      <c r="B99" s="17" t="s">
        <v>53</v>
      </c>
      <c r="C99" s="18" t="s">
        <v>54</v>
      </c>
      <c r="D99" s="19" t="s">
        <v>55</v>
      </c>
      <c r="F99" s="9"/>
    </row>
    <row r="100" spans="2:6" x14ac:dyDescent="0.5">
      <c r="B100" s="23" t="s">
        <v>56</v>
      </c>
      <c r="C100">
        <v>818157.89473684086</v>
      </c>
      <c r="D100" s="9">
        <f>C100*25</f>
        <v>20453947.368421022</v>
      </c>
      <c r="F100" s="9"/>
    </row>
    <row r="101" spans="2:6" x14ac:dyDescent="0.5">
      <c r="B101" s="3" t="s">
        <v>57</v>
      </c>
      <c r="C101">
        <v>969403.30545671855</v>
      </c>
      <c r="D101" s="9">
        <f>C101*25</f>
        <v>24235082.636417963</v>
      </c>
      <c r="F101" s="9"/>
    </row>
    <row r="102" spans="2:6" ht="14.7" customHeight="1" thickBot="1" x14ac:dyDescent="0.55000000000000004">
      <c r="B102" s="16" t="s">
        <v>26</v>
      </c>
      <c r="C102" s="12">
        <f>C100+C101</f>
        <v>1787561.2001935593</v>
      </c>
      <c r="D102" s="13">
        <f>C102*25</f>
        <v>44689030.004838981</v>
      </c>
      <c r="F102" s="9"/>
    </row>
    <row r="103" spans="2:6" ht="14.7" customHeight="1" thickBot="1" x14ac:dyDescent="0.55000000000000004">
      <c r="B103" s="8"/>
      <c r="F103" s="9"/>
    </row>
    <row r="104" spans="2:6" ht="14.7" customHeight="1" thickBot="1" x14ac:dyDescent="0.55000000000000004">
      <c r="B104" s="29" t="s">
        <v>58</v>
      </c>
      <c r="C104" s="30"/>
      <c r="D104" s="31"/>
      <c r="F104" s="9"/>
    </row>
    <row r="105" spans="2:6" ht="14.7" customHeight="1" thickBot="1" x14ac:dyDescent="0.55000000000000004">
      <c r="B105" s="17" t="s">
        <v>53</v>
      </c>
      <c r="C105" s="18" t="s">
        <v>59</v>
      </c>
      <c r="D105" s="22" t="s">
        <v>60</v>
      </c>
      <c r="F105" s="9"/>
    </row>
    <row r="106" spans="2:6" x14ac:dyDescent="0.5">
      <c r="B106" s="23" t="s">
        <v>56</v>
      </c>
      <c r="C106">
        <f>2.6085*C100</f>
        <v>2134164.8684210493</v>
      </c>
      <c r="D106" s="9">
        <f>C106*25</f>
        <v>53354121.710526235</v>
      </c>
      <c r="F106" s="9"/>
    </row>
    <row r="107" spans="2:6" x14ac:dyDescent="0.5">
      <c r="B107" s="3" t="s">
        <v>57</v>
      </c>
      <c r="C107">
        <f>2.6085*C101</f>
        <v>2528688.5222838502</v>
      </c>
      <c r="D107" s="9">
        <f>C107*25</f>
        <v>63217213.057096258</v>
      </c>
      <c r="F107" s="9"/>
    </row>
    <row r="108" spans="2:6" ht="14.7" customHeight="1" thickBot="1" x14ac:dyDescent="0.55000000000000004">
      <c r="B108" s="16" t="s">
        <v>26</v>
      </c>
      <c r="C108" s="12">
        <f>2.6085*C102</f>
        <v>4662853.3907048991</v>
      </c>
      <c r="D108" s="13">
        <f>C108*25</f>
        <v>116571334.76762247</v>
      </c>
      <c r="E108" s="12"/>
      <c r="F108" s="13"/>
    </row>
  </sheetData>
  <mergeCells count="30">
    <mergeCell ref="H64:I64"/>
    <mergeCell ref="H50:J50"/>
    <mergeCell ref="H55:J55"/>
    <mergeCell ref="B86:D86"/>
    <mergeCell ref="B104:D104"/>
    <mergeCell ref="B73:F73"/>
    <mergeCell ref="B36:D36"/>
    <mergeCell ref="B94:D94"/>
    <mergeCell ref="B50:D50"/>
    <mergeCell ref="B68:C68"/>
    <mergeCell ref="B64:C64"/>
    <mergeCell ref="B47:C47"/>
    <mergeCell ref="B98:D98"/>
    <mergeCell ref="B72:F72"/>
    <mergeCell ref="H33:I33"/>
    <mergeCell ref="B5:L5"/>
    <mergeCell ref="B63:C63"/>
    <mergeCell ref="B43:D43"/>
    <mergeCell ref="H25:J25"/>
    <mergeCell ref="H6:L6"/>
    <mergeCell ref="H60:I60"/>
    <mergeCell ref="B60:C60"/>
    <mergeCell ref="B55:D55"/>
    <mergeCell ref="H47:I47"/>
    <mergeCell ref="B25:D25"/>
    <mergeCell ref="H43:J43"/>
    <mergeCell ref="B6:F6"/>
    <mergeCell ref="B33:C33"/>
    <mergeCell ref="H36:J36"/>
    <mergeCell ref="H63:I6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B4:N108"/>
  <sheetViews>
    <sheetView tabSelected="1" topLeftCell="A15" zoomScale="70" zoomScaleNormal="70" workbookViewId="0">
      <selection activeCell="M29" sqref="M29"/>
    </sheetView>
  </sheetViews>
  <sheetFormatPr defaultColWidth="39.234375" defaultRowHeight="14.35" x14ac:dyDescent="0.5"/>
  <cols>
    <col min="1" max="1" width="13.52734375" customWidth="1"/>
    <col min="2" max="2" width="15.234375" bestFit="1" customWidth="1"/>
    <col min="3" max="3" width="17.64453125" bestFit="1" customWidth="1"/>
    <col min="4" max="4" width="18.64453125" bestFit="1" customWidth="1"/>
    <col min="5" max="5" width="13.5859375" bestFit="1" customWidth="1"/>
    <col min="6" max="6" width="14.5859375" bestFit="1" customWidth="1"/>
    <col min="7" max="7" width="12.46875" customWidth="1"/>
    <col min="8" max="8" width="15.234375" bestFit="1" customWidth="1"/>
    <col min="9" max="9" width="15.703125" bestFit="1" customWidth="1"/>
    <col min="10" max="10" width="18" bestFit="1" customWidth="1"/>
    <col min="11" max="11" width="12.46875" bestFit="1" customWidth="1"/>
    <col min="12" max="12" width="14.5859375" bestFit="1" customWidth="1"/>
    <col min="13" max="13" width="13.41015625" bestFit="1" customWidth="1"/>
    <col min="14" max="14" width="12.3515625" bestFit="1" customWidth="1"/>
    <col min="15" max="15" width="11.76171875" bestFit="1" customWidth="1"/>
  </cols>
  <sheetData>
    <row r="4" spans="2:14" ht="14.7" customHeight="1" thickBot="1" x14ac:dyDescent="0.55000000000000004"/>
    <row r="5" spans="2:14" ht="14.7" customHeight="1" thickBot="1" x14ac:dyDescent="0.55000000000000004">
      <c r="B5" s="29" t="s">
        <v>0</v>
      </c>
      <c r="C5" s="30"/>
      <c r="D5" s="30"/>
      <c r="E5" s="30"/>
      <c r="F5" s="30"/>
      <c r="G5" s="30"/>
      <c r="H5" s="30"/>
      <c r="I5" s="30"/>
      <c r="J5" s="30"/>
      <c r="K5" s="30"/>
      <c r="L5" s="31"/>
    </row>
    <row r="6" spans="2:14" ht="14.7" customHeight="1" thickBot="1" x14ac:dyDescent="0.55000000000000004">
      <c r="B6" s="29" t="s">
        <v>1</v>
      </c>
      <c r="C6" s="30"/>
      <c r="D6" s="30"/>
      <c r="E6" s="30"/>
      <c r="F6" s="31"/>
      <c r="H6" s="29" t="s">
        <v>2</v>
      </c>
      <c r="I6" s="30"/>
      <c r="J6" s="30"/>
      <c r="K6" s="30"/>
      <c r="L6" s="31"/>
    </row>
    <row r="7" spans="2:14" ht="14.7" customHeight="1" thickBot="1" x14ac:dyDescent="0.55000000000000004">
      <c r="B7" s="24" t="s">
        <v>3</v>
      </c>
      <c r="C7" s="18" t="s">
        <v>4</v>
      </c>
      <c r="D7" s="18" t="s">
        <v>5</v>
      </c>
      <c r="E7" s="18" t="s">
        <v>6</v>
      </c>
      <c r="F7" s="19" t="s">
        <v>7</v>
      </c>
      <c r="H7" s="24" t="s">
        <v>3</v>
      </c>
      <c r="I7" s="18" t="s">
        <v>4</v>
      </c>
      <c r="J7" s="18" t="s">
        <v>5</v>
      </c>
      <c r="K7" s="18" t="s">
        <v>6</v>
      </c>
      <c r="L7" s="19" t="s">
        <v>7</v>
      </c>
    </row>
    <row r="8" spans="2:14" x14ac:dyDescent="0.5">
      <c r="B8" s="3" t="s">
        <v>8</v>
      </c>
      <c r="C8" s="6">
        <f>13698 * D27*((0.05*((1.05)^25))/((1.05^25)-1))</f>
        <v>388762.70403393894</v>
      </c>
      <c r="D8" s="6">
        <f>29*D27</f>
        <v>11600</v>
      </c>
      <c r="E8" s="6">
        <f>C8+D8</f>
        <v>400362.70403393894</v>
      </c>
      <c r="F8" s="10">
        <f>E8*25</f>
        <v>10009067.600848474</v>
      </c>
      <c r="H8" s="3" t="s">
        <v>9</v>
      </c>
      <c r="I8" s="39">
        <f>1615 * J27*((0.05*((1.05)^25))/((1.05^25)-1))</f>
        <v>905246.92645222112</v>
      </c>
      <c r="J8" s="39">
        <f>29*J27</f>
        <v>229100</v>
      </c>
      <c r="K8" s="39">
        <f>I8+J8</f>
        <v>1134346.9264522211</v>
      </c>
      <c r="L8" s="10">
        <f>K8*25</f>
        <v>28358673.161305528</v>
      </c>
    </row>
    <row r="9" spans="2:14" x14ac:dyDescent="0.5">
      <c r="B9" s="3" t="s">
        <v>10</v>
      </c>
      <c r="C9" s="6">
        <f>13698 * D28*((0.05*((1.05)^25))/((1.05^25)-1))</f>
        <v>6803347.3205939317</v>
      </c>
      <c r="D9" s="6">
        <f>29*D28</f>
        <v>203000</v>
      </c>
      <c r="E9" s="6">
        <f>C9+D9</f>
        <v>7006347.3205939317</v>
      </c>
      <c r="F9" s="10">
        <f>E9*25</f>
        <v>175158683.01484829</v>
      </c>
      <c r="H9" s="3" t="s">
        <v>10</v>
      </c>
      <c r="I9" s="39">
        <f>1615 * J28*((0.05*((1.05)^25))/((1.05^25)-1))</f>
        <v>0</v>
      </c>
      <c r="J9" s="39">
        <f>29*J28</f>
        <v>0</v>
      </c>
      <c r="K9" s="39">
        <f>I9+J9</f>
        <v>0</v>
      </c>
      <c r="L9" s="10">
        <f>K9*25</f>
        <v>0</v>
      </c>
      <c r="M9" s="7"/>
      <c r="N9" s="6"/>
    </row>
    <row r="10" spans="2:14" x14ac:dyDescent="0.5">
      <c r="B10" s="3" t="s">
        <v>11</v>
      </c>
      <c r="C10" s="6">
        <f>13698 * D29*((0.05*((1.05)^25))/((1.05^25)-1))</f>
        <v>0</v>
      </c>
      <c r="D10" s="6">
        <f>29*D29</f>
        <v>0</v>
      </c>
      <c r="E10" s="6">
        <f>C10+D10</f>
        <v>0</v>
      </c>
      <c r="F10" s="10">
        <f>E10*25</f>
        <v>0</v>
      </c>
      <c r="H10" s="3" t="s">
        <v>11</v>
      </c>
      <c r="I10" s="39">
        <f>1615 * J29*((0.05*((1.05)^25))/((1.05^25)-1))</f>
        <v>0</v>
      </c>
      <c r="J10" s="39">
        <f>29*J29</f>
        <v>0</v>
      </c>
      <c r="K10" s="39">
        <f>I10+J10</f>
        <v>0</v>
      </c>
      <c r="L10" s="10">
        <f>K10*25</f>
        <v>0</v>
      </c>
      <c r="M10" s="7"/>
    </row>
    <row r="11" spans="2:14" ht="14.7" customHeight="1" thickBot="1" x14ac:dyDescent="0.55000000000000004">
      <c r="B11" s="16" t="s">
        <v>12</v>
      </c>
      <c r="C11" s="14">
        <f>13698 * D30*((0.05*((1.05)^25))/((1.05^25)-1))</f>
        <v>0</v>
      </c>
      <c r="D11" s="14">
        <f>29*D30</f>
        <v>0</v>
      </c>
      <c r="E11" s="14">
        <f>C11+D11</f>
        <v>0</v>
      </c>
      <c r="F11" s="15">
        <f>E11*25</f>
        <v>0</v>
      </c>
      <c r="H11" s="16" t="s">
        <v>12</v>
      </c>
      <c r="I11" s="14">
        <f>1615 * J30*((0.05*((1.05)^25))/((1.05^25)-1))</f>
        <v>0</v>
      </c>
      <c r="J11" s="14">
        <f>29*J30</f>
        <v>0</v>
      </c>
      <c r="K11" s="14">
        <f>I11+J11</f>
        <v>0</v>
      </c>
      <c r="L11" s="13">
        <f>K11*25</f>
        <v>0</v>
      </c>
    </row>
    <row r="12" spans="2:14" ht="14.7" customHeight="1" thickBot="1" x14ac:dyDescent="0.55000000000000004">
      <c r="B12" s="24" t="s">
        <v>13</v>
      </c>
      <c r="C12" s="18" t="s">
        <v>4</v>
      </c>
      <c r="D12" s="18" t="s">
        <v>5</v>
      </c>
      <c r="E12" s="18" t="s">
        <v>6</v>
      </c>
      <c r="F12" s="19" t="s">
        <v>7</v>
      </c>
      <c r="H12" s="24" t="s">
        <v>13</v>
      </c>
      <c r="I12" s="18" t="s">
        <v>4</v>
      </c>
      <c r="J12" s="18" t="s">
        <v>5</v>
      </c>
      <c r="K12" s="18" t="s">
        <v>6</v>
      </c>
      <c r="L12" s="19" t="s">
        <v>7</v>
      </c>
    </row>
    <row r="13" spans="2:14" x14ac:dyDescent="0.5">
      <c r="B13" s="3" t="s">
        <v>14</v>
      </c>
      <c r="C13" s="4">
        <f>2490 * D38*((0.05*((1.05)^10))/((1.05^10)-1))</f>
        <v>1934798.3499839231</v>
      </c>
      <c r="D13" s="1">
        <f>37.35*D38</f>
        <v>224100</v>
      </c>
      <c r="E13">
        <f>C13+D13</f>
        <v>2158898.3499839231</v>
      </c>
      <c r="F13" s="9">
        <f>E13*25</f>
        <v>53972458.749598078</v>
      </c>
      <c r="H13" s="3" t="s">
        <v>14</v>
      </c>
      <c r="I13" s="4">
        <f>2490 * J38*((0.05*((1.05)^10))/((1.05^10)-1))</f>
        <v>1934798.3499839231</v>
      </c>
      <c r="J13" s="1">
        <f>37.35*J38</f>
        <v>224100</v>
      </c>
      <c r="K13" s="39">
        <f>I13+J13</f>
        <v>2158898.3499839231</v>
      </c>
      <c r="L13" s="10">
        <f>K13*25</f>
        <v>53972458.749598078</v>
      </c>
    </row>
    <row r="14" spans="2:14" x14ac:dyDescent="0.5">
      <c r="B14" s="3" t="s">
        <v>15</v>
      </c>
      <c r="C14" s="4">
        <f>1570 * D39*((0.05*((1.05)^10))/((1.05^10)-1))</f>
        <v>0</v>
      </c>
      <c r="D14" s="1">
        <f>23.55*D39</f>
        <v>0</v>
      </c>
      <c r="E14">
        <f>C14+D14</f>
        <v>0</v>
      </c>
      <c r="F14" s="9">
        <f>E14*25</f>
        <v>0</v>
      </c>
      <c r="H14" s="3" t="s">
        <v>15</v>
      </c>
      <c r="I14" s="4">
        <f>1570 * J39*((0.05*((1.05)^10))/((1.05^10)-1))</f>
        <v>0</v>
      </c>
      <c r="J14" s="1">
        <f>23.55*J39</f>
        <v>0</v>
      </c>
      <c r="K14" s="38">
        <f>I14+J14</f>
        <v>0</v>
      </c>
      <c r="L14" s="10">
        <f>K14*25</f>
        <v>0</v>
      </c>
    </row>
    <row r="15" spans="2:14" ht="14.7" customHeight="1" thickBot="1" x14ac:dyDescent="0.55000000000000004">
      <c r="B15" s="16" t="s">
        <v>16</v>
      </c>
      <c r="C15" s="5">
        <f>1190 * D40*((0.05*((1.05)^10))/((1.05^10)-1))</f>
        <v>0</v>
      </c>
      <c r="D15" s="2">
        <f>17.85*D40</f>
        <v>0</v>
      </c>
      <c r="E15" s="12">
        <f>C15+D15</f>
        <v>0</v>
      </c>
      <c r="F15" s="13">
        <f>E15*25</f>
        <v>0</v>
      </c>
      <c r="H15" s="16" t="s">
        <v>16</v>
      </c>
      <c r="I15" s="5">
        <f>1190 * J40*((0.05*((1.05)^10))/((1.05^10)-1))</f>
        <v>0</v>
      </c>
      <c r="J15" s="2">
        <f>17.85*J40</f>
        <v>0</v>
      </c>
      <c r="K15" s="12">
        <f>I15+J15</f>
        <v>0</v>
      </c>
      <c r="L15" s="15">
        <f>K15*25</f>
        <v>0</v>
      </c>
    </row>
    <row r="16" spans="2:14" ht="14.7" customHeight="1" thickBot="1" x14ac:dyDescent="0.55000000000000004">
      <c r="B16" s="24" t="s">
        <v>17</v>
      </c>
      <c r="C16" s="18" t="s">
        <v>4</v>
      </c>
      <c r="D16" s="18" t="s">
        <v>5</v>
      </c>
      <c r="E16" s="18" t="s">
        <v>6</v>
      </c>
      <c r="F16" s="19" t="s">
        <v>7</v>
      </c>
      <c r="H16" s="24" t="s">
        <v>17</v>
      </c>
      <c r="I16" s="18" t="s">
        <v>4</v>
      </c>
      <c r="J16" s="18" t="s">
        <v>5</v>
      </c>
      <c r="K16" s="18" t="s">
        <v>6</v>
      </c>
      <c r="L16" s="19" t="s">
        <v>7</v>
      </c>
    </row>
    <row r="17" spans="2:14" ht="14.7" customHeight="1" thickBot="1" x14ac:dyDescent="0.55000000000000004">
      <c r="B17" s="16" t="s">
        <v>18</v>
      </c>
      <c r="C17" s="12">
        <v>84414.174619491183</v>
      </c>
      <c r="D17" s="12">
        <v>105198.72</v>
      </c>
      <c r="E17" s="12">
        <f>D17+C17</f>
        <v>189612.89461949118</v>
      </c>
      <c r="F17" s="13">
        <f>E17*25</f>
        <v>4740322.3654872794</v>
      </c>
      <c r="H17" s="16" t="s">
        <v>18</v>
      </c>
      <c r="I17" s="12">
        <v>84414.174619491183</v>
      </c>
      <c r="J17" s="12">
        <v>105198.72</v>
      </c>
      <c r="K17" s="12">
        <f>J17+I17</f>
        <v>189612.89461949118</v>
      </c>
      <c r="L17" s="15">
        <f>K17*25</f>
        <v>4740322.3654872794</v>
      </c>
    </row>
    <row r="18" spans="2:14" ht="14.7" customHeight="1" thickBot="1" x14ac:dyDescent="0.55000000000000004">
      <c r="B18" s="24" t="s">
        <v>19</v>
      </c>
      <c r="C18" s="18" t="s">
        <v>4</v>
      </c>
      <c r="D18" s="18" t="s">
        <v>5</v>
      </c>
      <c r="E18" s="18" t="s">
        <v>6</v>
      </c>
      <c r="F18" s="19" t="s">
        <v>7</v>
      </c>
      <c r="H18" s="24" t="s">
        <v>20</v>
      </c>
      <c r="I18" s="18" t="s">
        <v>4</v>
      </c>
      <c r="J18" s="18" t="s">
        <v>5</v>
      </c>
      <c r="K18" s="18" t="s">
        <v>6</v>
      </c>
      <c r="L18" s="19" t="s">
        <v>7</v>
      </c>
    </row>
    <row r="19" spans="2:14" ht="14.7" customHeight="1" thickBot="1" x14ac:dyDescent="0.55000000000000004">
      <c r="B19" s="11"/>
      <c r="C19" s="12">
        <f>C48*300*((0.05*((1.05)^20))/((1.05^20)-1))</f>
        <v>780680.13077823585</v>
      </c>
      <c r="D19" s="12">
        <v>0</v>
      </c>
      <c r="E19" s="12">
        <f>D19+C19</f>
        <v>780680.13077823585</v>
      </c>
      <c r="F19" s="13">
        <f>E19*25</f>
        <v>19517003.269455895</v>
      </c>
      <c r="H19" s="11"/>
      <c r="I19" s="14">
        <f>(I48/10)*3000*((0.05*((1.05)^20))/((1.05^20)-1))</f>
        <v>556321.85699306289</v>
      </c>
      <c r="J19" s="12">
        <v>0</v>
      </c>
      <c r="K19" s="12">
        <f>J19+I19</f>
        <v>556321.85699306289</v>
      </c>
      <c r="L19" s="15">
        <f>K19*25</f>
        <v>13908046.424826572</v>
      </c>
    </row>
    <row r="20" spans="2:14" ht="14.7" customHeight="1" thickBot="1" x14ac:dyDescent="0.55000000000000004">
      <c r="B20" s="24" t="s">
        <v>21</v>
      </c>
      <c r="C20" s="18" t="s">
        <v>4</v>
      </c>
      <c r="D20" s="18" t="s">
        <v>5</v>
      </c>
      <c r="E20" s="18" t="s">
        <v>6</v>
      </c>
      <c r="F20" s="19" t="s">
        <v>7</v>
      </c>
      <c r="H20" s="24" t="s">
        <v>21</v>
      </c>
      <c r="I20" s="18" t="s">
        <v>4</v>
      </c>
      <c r="J20" s="18" t="s">
        <v>5</v>
      </c>
      <c r="K20" s="18" t="s">
        <v>6</v>
      </c>
      <c r="L20" s="19" t="s">
        <v>7</v>
      </c>
    </row>
    <row r="21" spans="2:14" ht="14.7" customHeight="1" thickBot="1" x14ac:dyDescent="0.55000000000000004">
      <c r="B21" s="11"/>
      <c r="C21" s="12">
        <v>0</v>
      </c>
      <c r="D21" s="12">
        <v>0</v>
      </c>
      <c r="E21" s="12">
        <f>C21+D21</f>
        <v>0</v>
      </c>
      <c r="F21" s="13">
        <f>E21*25</f>
        <v>0</v>
      </c>
      <c r="H21" s="11"/>
      <c r="I21" s="12">
        <v>0</v>
      </c>
      <c r="J21" s="12">
        <v>0</v>
      </c>
      <c r="K21" s="12">
        <f>J21+I21</f>
        <v>0</v>
      </c>
      <c r="L21" s="13">
        <f>K21*25</f>
        <v>0</v>
      </c>
    </row>
    <row r="22" spans="2:14" ht="14.7" customHeight="1" thickBot="1" x14ac:dyDescent="0.55000000000000004">
      <c r="B22" s="17"/>
      <c r="C22" s="18" t="s">
        <v>4</v>
      </c>
      <c r="D22" s="18" t="s">
        <v>5</v>
      </c>
      <c r="E22" s="18" t="s">
        <v>6</v>
      </c>
      <c r="F22" s="19" t="s">
        <v>7</v>
      </c>
      <c r="H22" s="17"/>
      <c r="I22" s="18" t="s">
        <v>4</v>
      </c>
      <c r="J22" s="18" t="s">
        <v>5</v>
      </c>
      <c r="K22" s="18" t="s">
        <v>6</v>
      </c>
      <c r="L22" s="19" t="s">
        <v>7</v>
      </c>
    </row>
    <row r="23" spans="2:14" ht="14.7" customHeight="1" thickBot="1" x14ac:dyDescent="0.55000000000000004">
      <c r="B23" s="24" t="s">
        <v>22</v>
      </c>
      <c r="C23" s="12">
        <v>10099367.26167066</v>
      </c>
      <c r="D23" s="12">
        <v>543898.72</v>
      </c>
      <c r="E23" s="25">
        <v>10643265.981670661</v>
      </c>
      <c r="F23" s="13">
        <f>D23*25</f>
        <v>13597468</v>
      </c>
      <c r="H23" s="24" t="s">
        <v>22</v>
      </c>
      <c r="I23" s="14">
        <v>3480781.3080486958</v>
      </c>
      <c r="J23" s="14">
        <v>558398.71999999997</v>
      </c>
      <c r="K23" s="14">
        <v>4062917.2247025901</v>
      </c>
      <c r="L23" s="15">
        <f>K23*25</f>
        <v>101572930.61756475</v>
      </c>
      <c r="M23" s="6"/>
    </row>
    <row r="24" spans="2:14" ht="14.7" customHeight="1" thickBot="1" x14ac:dyDescent="0.55000000000000004">
      <c r="B24" s="8"/>
      <c r="F24" s="9"/>
      <c r="H24" s="8"/>
      <c r="I24" s="39"/>
      <c r="J24" s="39"/>
      <c r="K24" s="39"/>
      <c r="L24" s="10"/>
      <c r="M24" s="6"/>
      <c r="N24" s="7"/>
    </row>
    <row r="25" spans="2:14" ht="14.7" customHeight="1" thickBot="1" x14ac:dyDescent="0.55000000000000004">
      <c r="B25" s="29" t="s">
        <v>3</v>
      </c>
      <c r="C25" s="30"/>
      <c r="D25" s="31"/>
      <c r="F25" s="9"/>
      <c r="H25" s="29" t="s">
        <v>3</v>
      </c>
      <c r="I25" s="30"/>
      <c r="J25" s="31"/>
      <c r="K25" s="38"/>
      <c r="L25" s="10"/>
      <c r="M25" s="6"/>
    </row>
    <row r="26" spans="2:14" ht="14.7" customHeight="1" thickBot="1" x14ac:dyDescent="0.55000000000000004">
      <c r="B26" s="17" t="s">
        <v>23</v>
      </c>
      <c r="C26" s="18" t="s">
        <v>24</v>
      </c>
      <c r="D26" s="19" t="s">
        <v>25</v>
      </c>
      <c r="F26" s="9"/>
      <c r="H26" s="17" t="s">
        <v>23</v>
      </c>
      <c r="I26" s="18" t="s">
        <v>24</v>
      </c>
      <c r="J26" s="19" t="s">
        <v>25</v>
      </c>
      <c r="K26" s="38"/>
      <c r="L26" s="10"/>
      <c r="M26" s="6"/>
    </row>
    <row r="27" spans="2:14" x14ac:dyDescent="0.5">
      <c r="B27" s="23" t="s">
        <v>9</v>
      </c>
      <c r="C27">
        <v>4</v>
      </c>
      <c r="D27" s="9">
        <v>400</v>
      </c>
      <c r="F27" s="9"/>
      <c r="H27" s="8" t="s">
        <v>9</v>
      </c>
      <c r="I27" s="38">
        <v>79</v>
      </c>
      <c r="J27" s="9">
        <v>7900</v>
      </c>
      <c r="K27" s="38"/>
      <c r="L27" s="9"/>
    </row>
    <row r="28" spans="2:14" x14ac:dyDescent="0.5">
      <c r="B28" s="3" t="s">
        <v>10</v>
      </c>
      <c r="C28">
        <v>14</v>
      </c>
      <c r="D28" s="9">
        <v>7000</v>
      </c>
      <c r="F28" s="9"/>
      <c r="H28" s="8" t="s">
        <v>10</v>
      </c>
      <c r="I28" s="38">
        <v>0</v>
      </c>
      <c r="J28" s="9">
        <v>0</v>
      </c>
      <c r="K28" s="38"/>
      <c r="L28" s="9"/>
    </row>
    <row r="29" spans="2:14" x14ac:dyDescent="0.5">
      <c r="B29" s="3" t="s">
        <v>11</v>
      </c>
      <c r="C29">
        <v>0</v>
      </c>
      <c r="D29" s="9">
        <v>0</v>
      </c>
      <c r="F29" s="9"/>
      <c r="H29" s="8" t="s">
        <v>11</v>
      </c>
      <c r="I29" s="38">
        <v>0</v>
      </c>
      <c r="J29" s="9">
        <v>0</v>
      </c>
      <c r="K29" s="38"/>
      <c r="L29" s="9"/>
    </row>
    <row r="30" spans="2:14" x14ac:dyDescent="0.5">
      <c r="B30" s="3" t="s">
        <v>12</v>
      </c>
      <c r="C30">
        <v>0</v>
      </c>
      <c r="D30" s="9">
        <v>0</v>
      </c>
      <c r="F30" s="9"/>
      <c r="H30" s="8" t="s">
        <v>12</v>
      </c>
      <c r="I30" s="38">
        <v>0</v>
      </c>
      <c r="J30" s="9">
        <v>0</v>
      </c>
      <c r="K30" s="38"/>
      <c r="L30" s="9"/>
    </row>
    <row r="31" spans="2:14" ht="14.7" customHeight="1" thickBot="1" x14ac:dyDescent="0.55000000000000004">
      <c r="B31" s="16" t="s">
        <v>26</v>
      </c>
      <c r="C31" s="12">
        <v>18</v>
      </c>
      <c r="D31" s="13">
        <v>7400</v>
      </c>
      <c r="F31" s="9"/>
      <c r="H31" s="11" t="s">
        <v>26</v>
      </c>
      <c r="I31" s="12">
        <v>79</v>
      </c>
      <c r="J31" s="13">
        <v>7900</v>
      </c>
      <c r="K31" s="38"/>
      <c r="L31" s="9"/>
    </row>
    <row r="32" spans="2:14" ht="14.7" customHeight="1" thickBot="1" x14ac:dyDescent="0.55000000000000004">
      <c r="B32" s="8"/>
      <c r="F32" s="9"/>
      <c r="H32" s="8"/>
      <c r="I32" s="38"/>
      <c r="J32" s="38"/>
      <c r="K32" s="38"/>
      <c r="L32" s="9"/>
    </row>
    <row r="33" spans="2:12" ht="14.7" customHeight="1" thickBot="1" x14ac:dyDescent="0.55000000000000004">
      <c r="B33" s="29" t="s">
        <v>21</v>
      </c>
      <c r="C33" s="31"/>
      <c r="F33" s="9"/>
      <c r="H33" s="29" t="s">
        <v>21</v>
      </c>
      <c r="I33" s="31"/>
      <c r="J33" s="38"/>
      <c r="K33" s="38"/>
      <c r="L33" s="9"/>
    </row>
    <row r="34" spans="2:12" ht="14.7" customHeight="1" thickBot="1" x14ac:dyDescent="0.55000000000000004">
      <c r="B34" s="24" t="s">
        <v>25</v>
      </c>
      <c r="C34" s="13">
        <v>0</v>
      </c>
      <c r="F34" s="9"/>
      <c r="H34" s="24" t="s">
        <v>25</v>
      </c>
      <c r="I34" s="13">
        <v>0</v>
      </c>
      <c r="J34" s="38"/>
      <c r="K34" s="38"/>
      <c r="L34" s="9"/>
    </row>
    <row r="35" spans="2:12" ht="14.7" customHeight="1" thickBot="1" x14ac:dyDescent="0.55000000000000004">
      <c r="B35" s="8"/>
      <c r="F35" s="9"/>
      <c r="H35" s="8"/>
      <c r="I35" s="38"/>
      <c r="J35" s="38"/>
      <c r="K35" s="38"/>
      <c r="L35" s="9"/>
    </row>
    <row r="36" spans="2:12" ht="14.7" customHeight="1" thickBot="1" x14ac:dyDescent="0.55000000000000004">
      <c r="B36" s="29" t="s">
        <v>13</v>
      </c>
      <c r="C36" s="30"/>
      <c r="D36" s="31"/>
      <c r="F36" s="9"/>
      <c r="H36" s="29" t="s">
        <v>13</v>
      </c>
      <c r="I36" s="30"/>
      <c r="J36" s="31"/>
      <c r="K36" s="38"/>
      <c r="L36" s="9"/>
    </row>
    <row r="37" spans="2:12" ht="14.7" customHeight="1" thickBot="1" x14ac:dyDescent="0.55000000000000004">
      <c r="B37" s="24" t="s">
        <v>23</v>
      </c>
      <c r="C37" s="18" t="s">
        <v>24</v>
      </c>
      <c r="D37" s="19" t="s">
        <v>25</v>
      </c>
      <c r="F37" s="9"/>
      <c r="H37" s="17" t="s">
        <v>23</v>
      </c>
      <c r="I37" s="18" t="s">
        <v>24</v>
      </c>
      <c r="J37" s="19" t="s">
        <v>25</v>
      </c>
      <c r="K37" s="38"/>
      <c r="L37" s="9"/>
    </row>
    <row r="38" spans="2:12" x14ac:dyDescent="0.5">
      <c r="B38" s="23" t="s">
        <v>14</v>
      </c>
      <c r="C38">
        <v>6</v>
      </c>
      <c r="D38" s="9">
        <v>6000</v>
      </c>
      <c r="F38" s="9"/>
      <c r="H38" s="23" t="s">
        <v>14</v>
      </c>
      <c r="I38" s="38">
        <v>6</v>
      </c>
      <c r="J38" s="9">
        <v>6000</v>
      </c>
      <c r="K38" s="38"/>
      <c r="L38" s="9"/>
    </row>
    <row r="39" spans="2:12" x14ac:dyDescent="0.5">
      <c r="B39" s="3" t="s">
        <v>15</v>
      </c>
      <c r="C39">
        <v>0</v>
      </c>
      <c r="D39" s="9">
        <v>0</v>
      </c>
      <c r="F39" s="9"/>
      <c r="H39" s="3" t="s">
        <v>15</v>
      </c>
      <c r="I39" s="38">
        <v>0</v>
      </c>
      <c r="J39" s="9">
        <v>0</v>
      </c>
      <c r="K39" s="38"/>
      <c r="L39" s="9"/>
    </row>
    <row r="40" spans="2:12" x14ac:dyDescent="0.5">
      <c r="B40" s="3" t="s">
        <v>16</v>
      </c>
      <c r="C40">
        <v>0</v>
      </c>
      <c r="D40" s="9">
        <v>0</v>
      </c>
      <c r="F40" s="9"/>
      <c r="H40" s="3" t="s">
        <v>16</v>
      </c>
      <c r="I40" s="38">
        <v>0</v>
      </c>
      <c r="J40" s="9">
        <v>0</v>
      </c>
      <c r="K40" s="38"/>
      <c r="L40" s="9"/>
    </row>
    <row r="41" spans="2:12" ht="14.7" customHeight="1" thickBot="1" x14ac:dyDescent="0.55000000000000004">
      <c r="B41" s="16" t="s">
        <v>26</v>
      </c>
      <c r="C41" s="12">
        <v>6</v>
      </c>
      <c r="D41" s="13">
        <v>6000</v>
      </c>
      <c r="F41" s="9"/>
      <c r="H41" s="16" t="s">
        <v>26</v>
      </c>
      <c r="I41" s="12">
        <v>6</v>
      </c>
      <c r="J41" s="13">
        <v>6000</v>
      </c>
      <c r="K41" s="38"/>
      <c r="L41" s="9"/>
    </row>
    <row r="42" spans="2:12" ht="14.7" customHeight="1" thickBot="1" x14ac:dyDescent="0.55000000000000004">
      <c r="B42" s="8"/>
      <c r="F42" s="9"/>
      <c r="H42" s="8"/>
      <c r="I42" s="38"/>
      <c r="J42" s="38"/>
      <c r="K42" s="38"/>
      <c r="L42" s="9"/>
    </row>
    <row r="43" spans="2:12" ht="14.7" customHeight="1" thickBot="1" x14ac:dyDescent="0.55000000000000004">
      <c r="B43" s="29" t="s">
        <v>27</v>
      </c>
      <c r="C43" s="30"/>
      <c r="D43" s="31"/>
      <c r="F43" s="9"/>
      <c r="H43" s="29" t="s">
        <v>27</v>
      </c>
      <c r="I43" s="30"/>
      <c r="J43" s="31"/>
      <c r="K43" s="38"/>
      <c r="L43" s="9"/>
    </row>
    <row r="44" spans="2:12" ht="14.7" customHeight="1" thickBot="1" x14ac:dyDescent="0.55000000000000004">
      <c r="B44" s="24" t="s">
        <v>23</v>
      </c>
      <c r="C44" s="18" t="s">
        <v>24</v>
      </c>
      <c r="D44" s="19" t="s">
        <v>25</v>
      </c>
      <c r="F44" s="9"/>
      <c r="H44" s="17" t="s">
        <v>23</v>
      </c>
      <c r="I44" s="18" t="s">
        <v>24</v>
      </c>
      <c r="J44" s="19" t="s">
        <v>25</v>
      </c>
      <c r="K44" s="38"/>
      <c r="L44" s="9"/>
    </row>
    <row r="45" spans="2:12" ht="14.7" customHeight="1" thickBot="1" x14ac:dyDescent="0.55000000000000004">
      <c r="B45" s="24" t="s">
        <v>18</v>
      </c>
      <c r="C45" s="12">
        <v>374</v>
      </c>
      <c r="D45" s="13">
        <v>6574.9199999999992</v>
      </c>
      <c r="F45" s="9"/>
      <c r="H45" s="24" t="s">
        <v>18</v>
      </c>
      <c r="I45" s="12">
        <v>374</v>
      </c>
      <c r="J45" s="13">
        <v>6574.9199999999992</v>
      </c>
      <c r="K45" s="38"/>
      <c r="L45" s="9"/>
    </row>
    <row r="46" spans="2:12" ht="14.7" customHeight="1" thickBot="1" x14ac:dyDescent="0.55000000000000004">
      <c r="B46" s="8"/>
      <c r="F46" s="9"/>
      <c r="H46" s="8"/>
      <c r="I46" s="38"/>
      <c r="J46" s="38"/>
      <c r="K46" s="38"/>
      <c r="L46" s="9"/>
    </row>
    <row r="47" spans="2:12" ht="14.7" customHeight="1" thickBot="1" x14ac:dyDescent="0.55000000000000004">
      <c r="B47" s="29" t="s">
        <v>28</v>
      </c>
      <c r="C47" s="31"/>
      <c r="F47" s="9"/>
      <c r="H47" s="29" t="s">
        <v>28</v>
      </c>
      <c r="I47" s="31"/>
      <c r="J47" s="38"/>
      <c r="K47" s="38"/>
      <c r="L47" s="9"/>
    </row>
    <row r="48" spans="2:12" ht="14.7" customHeight="1" thickBot="1" x14ac:dyDescent="0.55000000000000004">
      <c r="B48" s="11" t="s">
        <v>29</v>
      </c>
      <c r="C48" s="13">
        <v>32430</v>
      </c>
      <c r="F48" s="9"/>
      <c r="H48" s="24" t="s">
        <v>29</v>
      </c>
      <c r="I48" s="13">
        <v>23110</v>
      </c>
      <c r="J48" s="38"/>
      <c r="K48" s="38"/>
      <c r="L48" s="9"/>
    </row>
    <row r="49" spans="2:12" ht="14.7" customHeight="1" thickBot="1" x14ac:dyDescent="0.55000000000000004">
      <c r="B49" s="8"/>
      <c r="F49" s="9"/>
      <c r="H49" s="8"/>
      <c r="I49" s="38"/>
      <c r="J49" s="38"/>
      <c r="K49" s="38"/>
      <c r="L49" s="9"/>
    </row>
    <row r="50" spans="2:12" ht="14.7" customHeight="1" thickBot="1" x14ac:dyDescent="0.55000000000000004">
      <c r="B50" s="29" t="s">
        <v>30</v>
      </c>
      <c r="C50" s="30"/>
      <c r="D50" s="31"/>
      <c r="F50" s="9"/>
      <c r="H50" s="35" t="s">
        <v>30</v>
      </c>
      <c r="I50" s="36"/>
      <c r="J50" s="37"/>
      <c r="K50" s="38"/>
      <c r="L50" s="9"/>
    </row>
    <row r="51" spans="2:12" ht="14.7" customHeight="1" thickBot="1" x14ac:dyDescent="0.55000000000000004">
      <c r="B51" s="11" t="s">
        <v>31</v>
      </c>
      <c r="C51" s="12" t="s">
        <v>32</v>
      </c>
      <c r="D51" s="13" t="s">
        <v>33</v>
      </c>
      <c r="F51" s="9"/>
      <c r="H51" s="24" t="s">
        <v>31</v>
      </c>
      <c r="I51" s="18" t="s">
        <v>61</v>
      </c>
      <c r="J51" s="21" t="s">
        <v>33</v>
      </c>
      <c r="K51" s="38"/>
      <c r="L51" s="9"/>
    </row>
    <row r="52" spans="2:12" ht="14.7" customHeight="1" x14ac:dyDescent="0.5">
      <c r="B52" s="23" t="s">
        <v>34</v>
      </c>
      <c r="C52" s="26">
        <v>8061343.6628932701</v>
      </c>
      <c r="D52" s="27">
        <f>C52*25</f>
        <v>201533591.57233176</v>
      </c>
      <c r="F52" s="9"/>
      <c r="H52" s="3" t="s">
        <v>34</v>
      </c>
      <c r="I52" s="40">
        <v>10329793.775463</v>
      </c>
      <c r="J52" s="27">
        <f>I52*25</f>
        <v>258244844.38657498</v>
      </c>
      <c r="K52" s="38"/>
      <c r="L52" s="9"/>
    </row>
    <row r="53" spans="2:12" ht="14.7" customHeight="1" thickBot="1" x14ac:dyDescent="0.55000000000000004">
      <c r="B53" s="16" t="s">
        <v>35</v>
      </c>
      <c r="C53" s="25">
        <v>1189357.7758836539</v>
      </c>
      <c r="D53" s="28">
        <f>C53*25</f>
        <v>29733944.397091348</v>
      </c>
      <c r="F53" s="9"/>
      <c r="H53" s="16" t="s">
        <v>35</v>
      </c>
      <c r="I53" s="25">
        <v>1342939.347431629</v>
      </c>
      <c r="J53" s="28">
        <f>I53*25</f>
        <v>33573483.685790725</v>
      </c>
      <c r="K53" s="38"/>
      <c r="L53" s="9"/>
    </row>
    <row r="54" spans="2:12" ht="14.7" customHeight="1" thickBot="1" x14ac:dyDescent="0.55000000000000004">
      <c r="B54" s="8"/>
      <c r="F54" s="9"/>
      <c r="H54" s="8"/>
      <c r="I54" s="39"/>
      <c r="J54" s="10"/>
      <c r="K54" s="38"/>
      <c r="L54" s="9"/>
    </row>
    <row r="55" spans="2:12" ht="14.7" customHeight="1" thickBot="1" x14ac:dyDescent="0.55000000000000004">
      <c r="B55" s="29" t="s">
        <v>36</v>
      </c>
      <c r="C55" s="30"/>
      <c r="D55" s="31"/>
      <c r="F55" s="9"/>
      <c r="H55" s="35" t="s">
        <v>36</v>
      </c>
      <c r="I55" s="36"/>
      <c r="J55" s="37"/>
      <c r="K55" s="38"/>
      <c r="L55" s="9"/>
    </row>
    <row r="56" spans="2:12" ht="14.7" customHeight="1" thickBot="1" x14ac:dyDescent="0.55000000000000004">
      <c r="B56" s="11" t="s">
        <v>31</v>
      </c>
      <c r="C56" s="12" t="s">
        <v>32</v>
      </c>
      <c r="D56" s="13" t="s">
        <v>33</v>
      </c>
      <c r="F56" s="9"/>
      <c r="H56" s="24" t="s">
        <v>31</v>
      </c>
      <c r="I56" s="20">
        <v>2805623.0007430501</v>
      </c>
      <c r="J56" s="21" t="s">
        <v>33</v>
      </c>
      <c r="K56" s="38"/>
      <c r="L56" s="9"/>
    </row>
    <row r="57" spans="2:12" ht="14.7" customHeight="1" thickBot="1" x14ac:dyDescent="0.55000000000000004">
      <c r="B57" s="23" t="s">
        <v>34</v>
      </c>
      <c r="C57">
        <v>2189500.7479463099</v>
      </c>
      <c r="D57" s="9">
        <f>C57*25</f>
        <v>54737518.698657744</v>
      </c>
      <c r="F57" s="9"/>
      <c r="H57" s="16" t="s">
        <v>34</v>
      </c>
      <c r="I57" s="14">
        <v>516247.84745506098</v>
      </c>
      <c r="J57" s="15">
        <f>I57*25</f>
        <v>12906196.186376525</v>
      </c>
      <c r="K57" s="38"/>
      <c r="L57" s="9"/>
    </row>
    <row r="58" spans="2:12" ht="14.7" customHeight="1" thickBot="1" x14ac:dyDescent="0.55000000000000004">
      <c r="B58" s="16" t="s">
        <v>35</v>
      </c>
      <c r="C58" s="12">
        <v>564866.29952884198</v>
      </c>
      <c r="D58" s="13">
        <f>C58*25</f>
        <v>14121657.488221049</v>
      </c>
      <c r="F58" s="9"/>
      <c r="H58" s="8" t="s">
        <v>35</v>
      </c>
      <c r="I58" s="12">
        <v>1342939.347431629</v>
      </c>
      <c r="J58" s="38">
        <f>I58*25</f>
        <v>33573483.685790725</v>
      </c>
      <c r="K58" s="38"/>
      <c r="L58" s="9"/>
    </row>
    <row r="59" spans="2:12" ht="14.7" customHeight="1" thickBot="1" x14ac:dyDescent="0.55000000000000004">
      <c r="B59" s="8"/>
      <c r="F59" s="9"/>
      <c r="H59" s="8"/>
      <c r="I59" s="38"/>
      <c r="J59" s="38"/>
      <c r="K59" s="38"/>
      <c r="L59" s="9"/>
    </row>
    <row r="60" spans="2:12" ht="14.7" customHeight="1" thickBot="1" x14ac:dyDescent="0.55000000000000004">
      <c r="B60" s="29" t="s">
        <v>37</v>
      </c>
      <c r="C60" s="31"/>
      <c r="F60" s="9"/>
      <c r="H60" s="29" t="s">
        <v>38</v>
      </c>
      <c r="I60" s="31"/>
      <c r="J60" s="38"/>
      <c r="K60" s="38"/>
      <c r="L60" s="9"/>
    </row>
    <row r="61" spans="2:12" ht="14.7" customHeight="1" thickBot="1" x14ac:dyDescent="0.55000000000000004">
      <c r="B61" s="24" t="s">
        <v>39</v>
      </c>
      <c r="C61" s="13">
        <v>332005.071057558</v>
      </c>
      <c r="F61" s="9"/>
      <c r="H61" s="24" t="s">
        <v>39</v>
      </c>
      <c r="I61" s="13">
        <v>207990.00000616899</v>
      </c>
      <c r="J61" s="38"/>
      <c r="K61" s="38"/>
      <c r="L61" s="9"/>
    </row>
    <row r="62" spans="2:12" ht="14.7" customHeight="1" thickBot="1" x14ac:dyDescent="0.55000000000000004">
      <c r="B62" s="8"/>
      <c r="F62" s="9"/>
      <c r="H62" s="8"/>
      <c r="I62" s="38"/>
      <c r="J62" s="38"/>
      <c r="K62" s="38"/>
      <c r="L62" s="9"/>
    </row>
    <row r="63" spans="2:12" ht="14.7" customHeight="1" thickBot="1" x14ac:dyDescent="0.55000000000000004">
      <c r="B63" s="29" t="s">
        <v>40</v>
      </c>
      <c r="C63" s="31"/>
      <c r="F63" s="9"/>
      <c r="H63" s="29" t="s">
        <v>40</v>
      </c>
      <c r="I63" s="31"/>
      <c r="J63" s="38"/>
      <c r="K63" s="38"/>
      <c r="L63" s="9"/>
    </row>
    <row r="64" spans="2:12" ht="14.7" customHeight="1" thickBot="1" x14ac:dyDescent="0.55000000000000004">
      <c r="B64" s="29">
        <f>E23/B70</f>
        <v>0.73048732411944473</v>
      </c>
      <c r="C64" s="31"/>
      <c r="F64" s="9"/>
      <c r="H64" s="29">
        <f>K23/B70</f>
        <v>0.27885327085717787</v>
      </c>
      <c r="I64" s="31"/>
      <c r="J64" s="38"/>
      <c r="K64" s="38"/>
      <c r="L64" s="9"/>
    </row>
    <row r="65" spans="2:12" x14ac:dyDescent="0.5">
      <c r="B65" s="8"/>
      <c r="F65" s="9"/>
      <c r="H65" s="8"/>
      <c r="I65" s="38"/>
      <c r="J65" s="38"/>
      <c r="K65" s="38"/>
      <c r="L65" s="9"/>
    </row>
    <row r="66" spans="2:12" ht="14.7" customHeight="1" thickBot="1" x14ac:dyDescent="0.55000000000000004">
      <c r="B66" s="11"/>
      <c r="C66" s="12"/>
      <c r="D66" s="12"/>
      <c r="E66" s="12"/>
      <c r="F66" s="13"/>
      <c r="G66" s="12"/>
      <c r="H66" s="11"/>
      <c r="I66" s="12"/>
      <c r="J66" s="12"/>
      <c r="K66" s="12"/>
      <c r="L66" s="13"/>
    </row>
    <row r="67" spans="2:12" ht="14.7" customHeight="1" thickBot="1" x14ac:dyDescent="0.55000000000000004">
      <c r="B67" s="11"/>
      <c r="C67" s="12"/>
      <c r="L67" s="9"/>
    </row>
    <row r="68" spans="2:12" ht="14.7" customHeight="1" thickBot="1" x14ac:dyDescent="0.55000000000000004">
      <c r="B68" s="32" t="s">
        <v>41</v>
      </c>
      <c r="C68" s="33"/>
      <c r="L68" s="9"/>
    </row>
    <row r="69" spans="2:12" ht="14.7" customHeight="1" thickBot="1" x14ac:dyDescent="0.55000000000000004">
      <c r="B69" s="17" t="s">
        <v>42</v>
      </c>
      <c r="C69" s="19" t="s">
        <v>43</v>
      </c>
      <c r="L69" s="9"/>
    </row>
    <row r="70" spans="2:12" ht="14.7" customHeight="1" thickBot="1" x14ac:dyDescent="0.55000000000000004">
      <c r="B70" s="11">
        <f>C108</f>
        <v>14570089.897864319</v>
      </c>
      <c r="C70" s="13">
        <f>D108</f>
        <v>364252247.44660801</v>
      </c>
      <c r="D70" s="12"/>
      <c r="E70" s="12"/>
      <c r="F70" s="12"/>
      <c r="G70" s="12"/>
      <c r="H70" s="12"/>
      <c r="I70" s="12"/>
      <c r="J70" s="12"/>
      <c r="K70" s="12"/>
      <c r="L70" s="13"/>
    </row>
    <row r="71" spans="2:12" ht="14.7" customHeight="1" thickBot="1" x14ac:dyDescent="0.55000000000000004"/>
    <row r="72" spans="2:12" ht="14.7" customHeight="1" thickBot="1" x14ac:dyDescent="0.55000000000000004">
      <c r="B72" s="29" t="s">
        <v>44</v>
      </c>
      <c r="C72" s="30"/>
      <c r="D72" s="30"/>
      <c r="E72" s="30"/>
      <c r="F72" s="31"/>
    </row>
    <row r="73" spans="2:12" ht="14.7" customHeight="1" thickBot="1" x14ac:dyDescent="0.55000000000000004">
      <c r="B73" s="29" t="s">
        <v>45</v>
      </c>
      <c r="C73" s="30"/>
      <c r="D73" s="30"/>
      <c r="E73" s="30"/>
      <c r="F73" s="31"/>
    </row>
    <row r="74" spans="2:12" ht="14.7" customHeight="1" thickBot="1" x14ac:dyDescent="0.55000000000000004">
      <c r="B74" s="24" t="s">
        <v>46</v>
      </c>
      <c r="C74" s="18" t="s">
        <v>4</v>
      </c>
      <c r="D74" s="18" t="s">
        <v>5</v>
      </c>
      <c r="E74" s="18" t="s">
        <v>6</v>
      </c>
      <c r="F74" s="19" t="s">
        <v>7</v>
      </c>
    </row>
    <row r="75" spans="2:12" x14ac:dyDescent="0.5">
      <c r="B75" s="23" t="s">
        <v>9</v>
      </c>
      <c r="C75">
        <v>6385.7211569306637</v>
      </c>
      <c r="D75">
        <v>14900</v>
      </c>
      <c r="E75">
        <f>C75+D75</f>
        <v>21285.721156930664</v>
      </c>
      <c r="F75" s="9">
        <f>E75*25</f>
        <v>532143.02892326657</v>
      </c>
    </row>
    <row r="76" spans="2:12" x14ac:dyDescent="0.5">
      <c r="B76" s="3" t="s">
        <v>10</v>
      </c>
      <c r="C76">
        <v>0</v>
      </c>
      <c r="D76">
        <v>0</v>
      </c>
      <c r="E76">
        <f>C76+D76</f>
        <v>0</v>
      </c>
      <c r="F76" s="9">
        <f>E76*25</f>
        <v>0</v>
      </c>
    </row>
    <row r="77" spans="2:12" x14ac:dyDescent="0.5">
      <c r="B77" s="3" t="s">
        <v>14</v>
      </c>
      <c r="C77">
        <v>141904.9145984592</v>
      </c>
      <c r="D77">
        <v>228000</v>
      </c>
      <c r="E77">
        <f>C77+D77</f>
        <v>369904.9145984592</v>
      </c>
      <c r="F77" s="9">
        <f>E77*25</f>
        <v>9247622.8649614807</v>
      </c>
    </row>
    <row r="78" spans="2:12" x14ac:dyDescent="0.5">
      <c r="B78" s="3" t="s">
        <v>47</v>
      </c>
      <c r="C78">
        <v>0</v>
      </c>
      <c r="D78">
        <v>0</v>
      </c>
      <c r="E78">
        <f>C78+D78</f>
        <v>0</v>
      </c>
      <c r="F78" s="9">
        <f>E78*25</f>
        <v>0</v>
      </c>
    </row>
    <row r="79" spans="2:12" ht="14.7" customHeight="1" thickBot="1" x14ac:dyDescent="0.55000000000000004">
      <c r="B79" s="16" t="s">
        <v>48</v>
      </c>
      <c r="C79" s="12"/>
      <c r="D79" s="12"/>
      <c r="E79">
        <f>C79+D79</f>
        <v>0</v>
      </c>
      <c r="F79" s="9">
        <f>E79*25</f>
        <v>0</v>
      </c>
    </row>
    <row r="80" spans="2:12" ht="14.7" customHeight="1" thickBot="1" x14ac:dyDescent="0.55000000000000004">
      <c r="B80" s="17" t="s">
        <v>49</v>
      </c>
      <c r="C80" s="18" t="s">
        <v>4</v>
      </c>
      <c r="D80" s="18" t="s">
        <v>5</v>
      </c>
      <c r="E80" s="18" t="s">
        <v>6</v>
      </c>
      <c r="F80" s="19" t="s">
        <v>7</v>
      </c>
    </row>
    <row r="81" spans="2:6" x14ac:dyDescent="0.5">
      <c r="B81" s="23" t="s">
        <v>18</v>
      </c>
      <c r="C81">
        <v>84414.174619491183</v>
      </c>
      <c r="D81">
        <v>105198.72</v>
      </c>
      <c r="E81">
        <f>C81+D81</f>
        <v>189612.89461949118</v>
      </c>
      <c r="F81" s="9">
        <f>E81*25</f>
        <v>4740322.3654872794</v>
      </c>
    </row>
    <row r="82" spans="2:6" ht="14.7" customHeight="1" thickBot="1" x14ac:dyDescent="0.55000000000000004">
      <c r="B82" s="16" t="s">
        <v>50</v>
      </c>
      <c r="C82" s="12"/>
      <c r="D82" s="12"/>
      <c r="E82">
        <f>C82+D82</f>
        <v>0</v>
      </c>
      <c r="F82" s="9">
        <f>E82*25</f>
        <v>0</v>
      </c>
    </row>
    <row r="83" spans="2:6" ht="14.7" customHeight="1" thickBot="1" x14ac:dyDescent="0.55000000000000004">
      <c r="B83" s="17"/>
      <c r="C83" s="18" t="s">
        <v>4</v>
      </c>
      <c r="D83" s="18" t="s">
        <v>5</v>
      </c>
      <c r="E83" s="18" t="s">
        <v>6</v>
      </c>
      <c r="F83" s="19" t="s">
        <v>7</v>
      </c>
    </row>
    <row r="84" spans="2:6" ht="14.7" customHeight="1" thickBot="1" x14ac:dyDescent="0.55000000000000004">
      <c r="B84" s="24" t="s">
        <v>22</v>
      </c>
      <c r="C84" s="12">
        <v>232704.810374881</v>
      </c>
      <c r="D84" s="12">
        <v>12002494.95227675</v>
      </c>
      <c r="E84" s="12">
        <v>12235199.76265163</v>
      </c>
      <c r="F84" s="13">
        <f>E84*25</f>
        <v>305879994.06629074</v>
      </c>
    </row>
    <row r="85" spans="2:6" ht="14.7" customHeight="1" thickBot="1" x14ac:dyDescent="0.55000000000000004">
      <c r="B85" s="8"/>
      <c r="F85" s="9"/>
    </row>
    <row r="86" spans="2:6" ht="14.7" customHeight="1" thickBot="1" x14ac:dyDescent="0.55000000000000004">
      <c r="B86" s="29" t="s">
        <v>46</v>
      </c>
      <c r="C86" s="30"/>
      <c r="D86" s="31"/>
      <c r="F86" s="9"/>
    </row>
    <row r="87" spans="2:6" ht="14.7" customHeight="1" thickBot="1" x14ac:dyDescent="0.55000000000000004">
      <c r="B87" s="24" t="s">
        <v>23</v>
      </c>
      <c r="C87" s="18" t="s">
        <v>24</v>
      </c>
      <c r="D87" s="19" t="s">
        <v>25</v>
      </c>
      <c r="F87" s="9"/>
    </row>
    <row r="88" spans="2:6" x14ac:dyDescent="0.5">
      <c r="B88" s="23" t="s">
        <v>9</v>
      </c>
      <c r="C88">
        <v>1</v>
      </c>
      <c r="D88" s="9">
        <v>100</v>
      </c>
      <c r="F88" s="9"/>
    </row>
    <row r="89" spans="2:6" x14ac:dyDescent="0.5">
      <c r="B89" s="3" t="s">
        <v>10</v>
      </c>
      <c r="C89">
        <v>0</v>
      </c>
      <c r="D89" s="9">
        <v>0</v>
      </c>
      <c r="F89" s="9"/>
    </row>
    <row r="90" spans="2:6" x14ac:dyDescent="0.5">
      <c r="B90" s="3" t="s">
        <v>14</v>
      </c>
      <c r="C90">
        <v>2</v>
      </c>
      <c r="D90" s="9">
        <v>2000</v>
      </c>
      <c r="F90" s="9"/>
    </row>
    <row r="91" spans="2:6" x14ac:dyDescent="0.5">
      <c r="B91" s="3" t="s">
        <v>47</v>
      </c>
      <c r="C91">
        <v>0</v>
      </c>
      <c r="D91" s="9">
        <v>0</v>
      </c>
      <c r="F91" s="9"/>
    </row>
    <row r="92" spans="2:6" ht="14.7" customHeight="1" thickBot="1" x14ac:dyDescent="0.55000000000000004">
      <c r="B92" s="16" t="s">
        <v>26</v>
      </c>
      <c r="C92" s="12">
        <v>3</v>
      </c>
      <c r="D92" s="13">
        <v>2100</v>
      </c>
      <c r="F92" s="9"/>
    </row>
    <row r="93" spans="2:6" ht="14.7" customHeight="1" thickBot="1" x14ac:dyDescent="0.55000000000000004">
      <c r="B93" s="8"/>
      <c r="F93" s="9"/>
    </row>
    <row r="94" spans="2:6" ht="14.7" customHeight="1" thickBot="1" x14ac:dyDescent="0.55000000000000004">
      <c r="B94" s="29" t="s">
        <v>51</v>
      </c>
      <c r="C94" s="30"/>
      <c r="D94" s="31"/>
      <c r="F94" s="9"/>
    </row>
    <row r="95" spans="2:6" ht="14.7" customHeight="1" thickBot="1" x14ac:dyDescent="0.55000000000000004">
      <c r="B95" s="17" t="s">
        <v>23</v>
      </c>
      <c r="C95" s="18" t="s">
        <v>24</v>
      </c>
      <c r="D95" s="19" t="s">
        <v>25</v>
      </c>
      <c r="F95" s="9"/>
    </row>
    <row r="96" spans="2:6" ht="14.7" customHeight="1" thickBot="1" x14ac:dyDescent="0.55000000000000004">
      <c r="B96" s="24" t="s">
        <v>18</v>
      </c>
      <c r="C96" s="12">
        <v>374</v>
      </c>
      <c r="D96" s="13">
        <v>6574.9199999999992</v>
      </c>
      <c r="F96" s="9"/>
    </row>
    <row r="97" spans="2:6" ht="14.7" customHeight="1" thickBot="1" x14ac:dyDescent="0.55000000000000004">
      <c r="B97" s="8"/>
      <c r="F97" s="9"/>
    </row>
    <row r="98" spans="2:6" ht="14.7" customHeight="1" thickBot="1" x14ac:dyDescent="0.55000000000000004">
      <c r="B98" s="29" t="s">
        <v>52</v>
      </c>
      <c r="C98" s="30"/>
      <c r="D98" s="31"/>
      <c r="F98" s="9"/>
    </row>
    <row r="99" spans="2:6" ht="14.7" customHeight="1" thickBot="1" x14ac:dyDescent="0.55000000000000004">
      <c r="B99" s="17" t="s">
        <v>53</v>
      </c>
      <c r="C99" s="18" t="s">
        <v>54</v>
      </c>
      <c r="D99" s="19" t="s">
        <v>55</v>
      </c>
      <c r="F99" s="9"/>
    </row>
    <row r="100" spans="2:6" x14ac:dyDescent="0.5">
      <c r="B100" s="23" t="s">
        <v>56</v>
      </c>
      <c r="C100">
        <v>3379736.8421052611</v>
      </c>
      <c r="D100" s="9">
        <f>C100*25</f>
        <v>84493421.052631527</v>
      </c>
      <c r="F100" s="9"/>
    </row>
    <row r="101" spans="2:6" x14ac:dyDescent="0.5">
      <c r="B101" s="3" t="s">
        <v>57</v>
      </c>
      <c r="C101">
        <v>2205883.2069130722</v>
      </c>
      <c r="D101" s="9">
        <f>C101*25</f>
        <v>55147080.172826804</v>
      </c>
      <c r="F101" s="9"/>
    </row>
    <row r="102" spans="2:6" ht="14.7" customHeight="1" thickBot="1" x14ac:dyDescent="0.55000000000000004">
      <c r="B102" s="16" t="s">
        <v>26</v>
      </c>
      <c r="C102" s="12">
        <f>C100+C101</f>
        <v>5585620.0490183327</v>
      </c>
      <c r="D102" s="13">
        <f>C102*25</f>
        <v>139640501.22545832</v>
      </c>
      <c r="F102" s="9"/>
    </row>
    <row r="103" spans="2:6" ht="14.7" customHeight="1" thickBot="1" x14ac:dyDescent="0.55000000000000004">
      <c r="B103" s="8"/>
      <c r="F103" s="9"/>
    </row>
    <row r="104" spans="2:6" ht="14.7" customHeight="1" thickBot="1" x14ac:dyDescent="0.55000000000000004">
      <c r="B104" s="29" t="s">
        <v>58</v>
      </c>
      <c r="C104" s="30"/>
      <c r="D104" s="31"/>
      <c r="F104" s="9"/>
    </row>
    <row r="105" spans="2:6" ht="14.7" customHeight="1" thickBot="1" x14ac:dyDescent="0.55000000000000004">
      <c r="B105" s="17" t="s">
        <v>53</v>
      </c>
      <c r="C105" s="18" t="s">
        <v>59</v>
      </c>
      <c r="D105" s="22" t="s">
        <v>60</v>
      </c>
      <c r="F105" s="9"/>
    </row>
    <row r="106" spans="2:6" x14ac:dyDescent="0.5">
      <c r="B106" s="23" t="s">
        <v>56</v>
      </c>
      <c r="C106">
        <f>2.6085*C100</f>
        <v>8816043.5526315738</v>
      </c>
      <c r="D106" s="9">
        <f>C106*25</f>
        <v>220401088.81578934</v>
      </c>
      <c r="F106" s="9"/>
    </row>
    <row r="107" spans="2:6" x14ac:dyDescent="0.5">
      <c r="B107" s="3" t="s">
        <v>57</v>
      </c>
      <c r="C107">
        <f>2.6085*C101</f>
        <v>5754046.3452327484</v>
      </c>
      <c r="D107" s="9">
        <f>C107*25</f>
        <v>143851158.63081872</v>
      </c>
      <c r="F107" s="9"/>
    </row>
    <row r="108" spans="2:6" ht="14.7" customHeight="1" thickBot="1" x14ac:dyDescent="0.55000000000000004">
      <c r="B108" s="16" t="s">
        <v>26</v>
      </c>
      <c r="C108" s="12">
        <f>2.6085*C102</f>
        <v>14570089.897864319</v>
      </c>
      <c r="D108" s="13">
        <f>C108*25</f>
        <v>364252247.44660801</v>
      </c>
      <c r="E108" s="12"/>
      <c r="F108" s="13"/>
    </row>
  </sheetData>
  <mergeCells count="30">
    <mergeCell ref="H64:I64"/>
    <mergeCell ref="H50:J50"/>
    <mergeCell ref="H55:J55"/>
    <mergeCell ref="B86:D86"/>
    <mergeCell ref="B104:D104"/>
    <mergeCell ref="B73:F73"/>
    <mergeCell ref="B36:D36"/>
    <mergeCell ref="B94:D94"/>
    <mergeCell ref="B50:D50"/>
    <mergeCell ref="B68:C68"/>
    <mergeCell ref="B64:C64"/>
    <mergeCell ref="B47:C47"/>
    <mergeCell ref="B98:D98"/>
    <mergeCell ref="B72:F72"/>
    <mergeCell ref="H33:I33"/>
    <mergeCell ref="B5:L5"/>
    <mergeCell ref="B63:C63"/>
    <mergeCell ref="B43:D43"/>
    <mergeCell ref="H25:J25"/>
    <mergeCell ref="H6:L6"/>
    <mergeCell ref="H60:I60"/>
    <mergeCell ref="B60:C60"/>
    <mergeCell ref="B55:D55"/>
    <mergeCell ref="H47:I47"/>
    <mergeCell ref="B25:D25"/>
    <mergeCell ref="H43:J43"/>
    <mergeCell ref="B6:F6"/>
    <mergeCell ref="B33:C33"/>
    <mergeCell ref="H36:J36"/>
    <mergeCell ref="H63:I6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B4:N108"/>
  <sheetViews>
    <sheetView tabSelected="1" topLeftCell="A20" zoomScale="70" zoomScaleNormal="70" workbookViewId="0">
      <selection activeCell="M29" sqref="M29"/>
    </sheetView>
  </sheetViews>
  <sheetFormatPr defaultColWidth="39.234375" defaultRowHeight="14.35" x14ac:dyDescent="0.5"/>
  <cols>
    <col min="1" max="1" width="13.52734375" customWidth="1"/>
    <col min="2" max="2" width="15.234375" bestFit="1" customWidth="1"/>
    <col min="3" max="3" width="17.64453125" bestFit="1" customWidth="1"/>
    <col min="4" max="4" width="18.64453125" bestFit="1" customWidth="1"/>
    <col min="5" max="5" width="12.46875" bestFit="1" customWidth="1"/>
    <col min="6" max="6" width="13.5859375" bestFit="1" customWidth="1"/>
    <col min="7" max="7" width="12.46875" customWidth="1"/>
    <col min="8" max="8" width="15.234375" bestFit="1" customWidth="1"/>
    <col min="9" max="9" width="15.703125" bestFit="1" customWidth="1"/>
    <col min="10" max="10" width="18" bestFit="1" customWidth="1"/>
    <col min="11" max="11" width="12.46875" bestFit="1" customWidth="1"/>
    <col min="12" max="12" width="14.5859375" bestFit="1" customWidth="1"/>
    <col min="13" max="14" width="13.41015625" bestFit="1" customWidth="1"/>
    <col min="15" max="15" width="11.76171875" bestFit="1" customWidth="1"/>
  </cols>
  <sheetData>
    <row r="4" spans="2:14" ht="14.7" customHeight="1" thickBot="1" x14ac:dyDescent="0.55000000000000004"/>
    <row r="5" spans="2:14" ht="14.7" customHeight="1" thickBot="1" x14ac:dyDescent="0.55000000000000004">
      <c r="B5" s="29" t="s">
        <v>0</v>
      </c>
      <c r="C5" s="30"/>
      <c r="D5" s="30"/>
      <c r="E5" s="30"/>
      <c r="F5" s="30"/>
      <c r="G5" s="30"/>
      <c r="H5" s="30"/>
      <c r="I5" s="30"/>
      <c r="J5" s="30"/>
      <c r="K5" s="30"/>
      <c r="L5" s="31"/>
    </row>
    <row r="6" spans="2:14" ht="14.7" customHeight="1" thickBot="1" x14ac:dyDescent="0.55000000000000004">
      <c r="B6" s="29" t="s">
        <v>1</v>
      </c>
      <c r="C6" s="30"/>
      <c r="D6" s="30"/>
      <c r="E6" s="30"/>
      <c r="F6" s="31"/>
      <c r="H6" s="29" t="s">
        <v>2</v>
      </c>
      <c r="I6" s="30"/>
      <c r="J6" s="30"/>
      <c r="K6" s="30"/>
      <c r="L6" s="31"/>
    </row>
    <row r="7" spans="2:14" ht="14.7" customHeight="1" thickBot="1" x14ac:dyDescent="0.55000000000000004">
      <c r="B7" s="24" t="s">
        <v>3</v>
      </c>
      <c r="C7" s="18" t="s">
        <v>4</v>
      </c>
      <c r="D7" s="18" t="s">
        <v>5</v>
      </c>
      <c r="E7" s="18" t="s">
        <v>6</v>
      </c>
      <c r="F7" s="19" t="s">
        <v>7</v>
      </c>
      <c r="H7" s="24" t="s">
        <v>3</v>
      </c>
      <c r="I7" s="18" t="s">
        <v>4</v>
      </c>
      <c r="J7" s="18" t="s">
        <v>5</v>
      </c>
      <c r="K7" s="18" t="s">
        <v>6</v>
      </c>
      <c r="L7" s="19" t="s">
        <v>7</v>
      </c>
    </row>
    <row r="8" spans="2:14" x14ac:dyDescent="0.5">
      <c r="B8" s="3" t="s">
        <v>8</v>
      </c>
      <c r="C8" s="6">
        <f>13698 * D27*((0.05*((1.05)^25))/((1.05^25)-1))</f>
        <v>3207292.3082799963</v>
      </c>
      <c r="D8" s="6">
        <f>29*D27</f>
        <v>95700</v>
      </c>
      <c r="E8" s="6">
        <f>C8+D8</f>
        <v>3302992.3082799963</v>
      </c>
      <c r="F8" s="10">
        <f>E8*25</f>
        <v>82574807.706999913</v>
      </c>
      <c r="H8" s="3" t="s">
        <v>9</v>
      </c>
      <c r="I8" s="39">
        <f>1615 * J27*((0.05*((1.05)^25))/((1.05^25)-1))</f>
        <v>504188.16156832571</v>
      </c>
      <c r="J8" s="39">
        <f>29*J27</f>
        <v>127600</v>
      </c>
      <c r="K8" s="39">
        <f>I8+J8</f>
        <v>631788.16156832571</v>
      </c>
      <c r="L8" s="10">
        <f>K8*25</f>
        <v>15794704.039208142</v>
      </c>
    </row>
    <row r="9" spans="2:14" x14ac:dyDescent="0.5">
      <c r="B9" s="3" t="s">
        <v>10</v>
      </c>
      <c r="C9" s="6">
        <f>13698 * D28*((0.05*((1.05)^25))/((1.05^25)-1))</f>
        <v>0</v>
      </c>
      <c r="D9" s="6">
        <f>29*D28</f>
        <v>0</v>
      </c>
      <c r="E9" s="6">
        <f>C9+D9</f>
        <v>0</v>
      </c>
      <c r="F9" s="10">
        <f>E9*25</f>
        <v>0</v>
      </c>
      <c r="H9" s="3" t="s">
        <v>10</v>
      </c>
      <c r="I9" s="39">
        <f>1615 * J28*((0.05*((1.05)^25))/((1.05^25)-1))</f>
        <v>0</v>
      </c>
      <c r="J9" s="39">
        <f>29*J28</f>
        <v>0</v>
      </c>
      <c r="K9" s="39">
        <f>I9+J9</f>
        <v>0</v>
      </c>
      <c r="L9" s="10">
        <f>K9*25</f>
        <v>0</v>
      </c>
      <c r="M9" s="7"/>
      <c r="N9" s="6"/>
    </row>
    <row r="10" spans="2:14" x14ac:dyDescent="0.5">
      <c r="B10" s="3" t="s">
        <v>11</v>
      </c>
      <c r="C10" s="6">
        <f>13698 * D29*((0.05*((1.05)^25))/((1.05^25)-1))</f>
        <v>0</v>
      </c>
      <c r="D10" s="6">
        <f>29*D29</f>
        <v>0</v>
      </c>
      <c r="E10" s="6">
        <f>C10+D10</f>
        <v>0</v>
      </c>
      <c r="F10" s="10">
        <f>E10*25</f>
        <v>0</v>
      </c>
      <c r="H10" s="3" t="s">
        <v>11</v>
      </c>
      <c r="I10" s="39">
        <f>1615 * J29*((0.05*((1.05)^25))/((1.05^25)-1))</f>
        <v>0</v>
      </c>
      <c r="J10" s="39">
        <f>29*J29</f>
        <v>0</v>
      </c>
      <c r="K10" s="39">
        <f>I10+J10</f>
        <v>0</v>
      </c>
      <c r="L10" s="10">
        <f>K10*25</f>
        <v>0</v>
      </c>
      <c r="M10" s="7"/>
    </row>
    <row r="11" spans="2:14" ht="14.7" customHeight="1" thickBot="1" x14ac:dyDescent="0.55000000000000004">
      <c r="B11" s="16" t="s">
        <v>12</v>
      </c>
      <c r="C11" s="14">
        <f>13698 * D30*((0.05*((1.05)^25))/((1.05^25)-1))</f>
        <v>0</v>
      </c>
      <c r="D11" s="14">
        <f>29*D30</f>
        <v>0</v>
      </c>
      <c r="E11" s="14">
        <f>C11+D11</f>
        <v>0</v>
      </c>
      <c r="F11" s="15">
        <f>E11*25</f>
        <v>0</v>
      </c>
      <c r="H11" s="16" t="s">
        <v>12</v>
      </c>
      <c r="I11" s="14">
        <f>1615 * J30*((0.05*((1.05)^25))/((1.05^25)-1))</f>
        <v>0</v>
      </c>
      <c r="J11" s="14">
        <f>29*J30</f>
        <v>0</v>
      </c>
      <c r="K11" s="14">
        <f>I11+J11</f>
        <v>0</v>
      </c>
      <c r="L11" s="13">
        <f>K11*25</f>
        <v>0</v>
      </c>
    </row>
    <row r="12" spans="2:14" ht="14.7" customHeight="1" thickBot="1" x14ac:dyDescent="0.55000000000000004">
      <c r="B12" s="24" t="s">
        <v>13</v>
      </c>
      <c r="C12" s="18" t="s">
        <v>4</v>
      </c>
      <c r="D12" s="18" t="s">
        <v>5</v>
      </c>
      <c r="E12" s="18" t="s">
        <v>6</v>
      </c>
      <c r="F12" s="19" t="s">
        <v>7</v>
      </c>
      <c r="H12" s="24" t="s">
        <v>13</v>
      </c>
      <c r="I12" s="18" t="s">
        <v>4</v>
      </c>
      <c r="J12" s="18" t="s">
        <v>5</v>
      </c>
      <c r="K12" s="18" t="s">
        <v>6</v>
      </c>
      <c r="L12" s="19" t="s">
        <v>7</v>
      </c>
    </row>
    <row r="13" spans="2:14" x14ac:dyDescent="0.5">
      <c r="B13" s="3" t="s">
        <v>14</v>
      </c>
      <c r="C13" s="4">
        <f>2490 * D38*((0.05*((1.05)^10))/((1.05^10)-1))</f>
        <v>967399.17499196157</v>
      </c>
      <c r="D13" s="1">
        <f>37.35*D38</f>
        <v>112050</v>
      </c>
      <c r="E13">
        <f>C13+D13</f>
        <v>1079449.1749919616</v>
      </c>
      <c r="F13" s="9">
        <f>E13*25</f>
        <v>26986229.374799039</v>
      </c>
      <c r="H13" s="3" t="s">
        <v>14</v>
      </c>
      <c r="I13" s="4">
        <f>2490 * J38*((0.05*((1.05)^10))/((1.05^10)-1))</f>
        <v>1289865.5666559488</v>
      </c>
      <c r="J13" s="1">
        <f>37.35*J38</f>
        <v>149400</v>
      </c>
      <c r="K13" s="39">
        <f>I13+J13</f>
        <v>1439265.5666559488</v>
      </c>
      <c r="L13" s="10">
        <f>K13*25</f>
        <v>35981639.166398719</v>
      </c>
    </row>
    <row r="14" spans="2:14" x14ac:dyDescent="0.5">
      <c r="B14" s="3" t="s">
        <v>15</v>
      </c>
      <c r="C14" s="4">
        <f>1570 * D39*((0.05*((1.05)^10))/((1.05^10)-1))</f>
        <v>0</v>
      </c>
      <c r="D14" s="1">
        <f>23.55*D39</f>
        <v>0</v>
      </c>
      <c r="E14">
        <f>C14+D14</f>
        <v>0</v>
      </c>
      <c r="F14" s="9">
        <f>E14*25</f>
        <v>0</v>
      </c>
      <c r="H14" s="3" t="s">
        <v>15</v>
      </c>
      <c r="I14" s="4">
        <f>1570 * J39*((0.05*((1.05)^10))/((1.05^10)-1))</f>
        <v>0</v>
      </c>
      <c r="J14" s="1">
        <f>23.55*J39</f>
        <v>0</v>
      </c>
      <c r="K14" s="38">
        <f>I14+J14</f>
        <v>0</v>
      </c>
      <c r="L14" s="10">
        <f>K14*25</f>
        <v>0</v>
      </c>
    </row>
    <row r="15" spans="2:14" ht="14.7" customHeight="1" thickBot="1" x14ac:dyDescent="0.55000000000000004">
      <c r="B15" s="16" t="s">
        <v>16</v>
      </c>
      <c r="C15" s="5">
        <f>1190 * D40*((0.05*((1.05)^10))/((1.05^10)-1))</f>
        <v>0</v>
      </c>
      <c r="D15" s="2">
        <f>17.85*D40</f>
        <v>0</v>
      </c>
      <c r="E15" s="12">
        <f>C15+D15</f>
        <v>0</v>
      </c>
      <c r="F15" s="13">
        <f>E15*25</f>
        <v>0</v>
      </c>
      <c r="H15" s="16" t="s">
        <v>16</v>
      </c>
      <c r="I15" s="5">
        <f>1190 * J40*((0.05*((1.05)^10))/((1.05^10)-1))</f>
        <v>0</v>
      </c>
      <c r="J15" s="2">
        <f>17.85*J40</f>
        <v>0</v>
      </c>
      <c r="K15" s="12">
        <f>I15+J15</f>
        <v>0</v>
      </c>
      <c r="L15" s="15">
        <f>K15*25</f>
        <v>0</v>
      </c>
    </row>
    <row r="16" spans="2:14" ht="14.7" customHeight="1" thickBot="1" x14ac:dyDescent="0.55000000000000004">
      <c r="B16" s="24" t="s">
        <v>17</v>
      </c>
      <c r="C16" s="18" t="s">
        <v>4</v>
      </c>
      <c r="D16" s="18" t="s">
        <v>5</v>
      </c>
      <c r="E16" s="18" t="s">
        <v>6</v>
      </c>
      <c r="F16" s="19" t="s">
        <v>7</v>
      </c>
      <c r="H16" s="24" t="s">
        <v>17</v>
      </c>
      <c r="I16" s="18" t="s">
        <v>4</v>
      </c>
      <c r="J16" s="18" t="s">
        <v>5</v>
      </c>
      <c r="K16" s="18" t="s">
        <v>6</v>
      </c>
      <c r="L16" s="19" t="s">
        <v>7</v>
      </c>
    </row>
    <row r="17" spans="2:14" ht="14.7" customHeight="1" thickBot="1" x14ac:dyDescent="0.55000000000000004">
      <c r="B17" s="16" t="s">
        <v>18</v>
      </c>
      <c r="C17" s="12">
        <v>48526.865088744933</v>
      </c>
      <c r="D17" s="12">
        <v>60475.199999999997</v>
      </c>
      <c r="E17" s="12">
        <f>D17+C17</f>
        <v>109002.06508874493</v>
      </c>
      <c r="F17" s="13">
        <f>E17*25</f>
        <v>2725051.6272186232</v>
      </c>
      <c r="H17" s="16" t="s">
        <v>18</v>
      </c>
      <c r="I17" s="12">
        <v>48526.865088744933</v>
      </c>
      <c r="J17" s="12">
        <v>60475.199999999997</v>
      </c>
      <c r="K17" s="12">
        <f>J17+I17</f>
        <v>109002.06508874493</v>
      </c>
      <c r="L17" s="15">
        <f>K17*25</f>
        <v>2725051.6272186232</v>
      </c>
    </row>
    <row r="18" spans="2:14" ht="14.7" customHeight="1" thickBot="1" x14ac:dyDescent="0.55000000000000004">
      <c r="B18" s="24" t="s">
        <v>19</v>
      </c>
      <c r="C18" s="18" t="s">
        <v>4</v>
      </c>
      <c r="D18" s="18" t="s">
        <v>5</v>
      </c>
      <c r="E18" s="18" t="s">
        <v>6</v>
      </c>
      <c r="F18" s="19" t="s">
        <v>7</v>
      </c>
      <c r="H18" s="24" t="s">
        <v>20</v>
      </c>
      <c r="I18" s="18" t="s">
        <v>4</v>
      </c>
      <c r="J18" s="18" t="s">
        <v>5</v>
      </c>
      <c r="K18" s="18" t="s">
        <v>6</v>
      </c>
      <c r="L18" s="19" t="s">
        <v>7</v>
      </c>
    </row>
    <row r="19" spans="2:14" ht="14.7" customHeight="1" thickBot="1" x14ac:dyDescent="0.55000000000000004">
      <c r="B19" s="11"/>
      <c r="C19" s="12">
        <f>C48*300*((0.05*((1.05)^20))/((1.05^20)-1))</f>
        <v>1540176.218538129</v>
      </c>
      <c r="D19" s="12">
        <v>0</v>
      </c>
      <c r="E19" s="12">
        <f>D19+C19</f>
        <v>1540176.218538129</v>
      </c>
      <c r="F19" s="13">
        <f>E19*25</f>
        <v>38504405.463453226</v>
      </c>
      <c r="H19" s="11"/>
      <c r="I19" s="14">
        <f>(I48/10)*3000*((0.05*((1.05)^20))/((1.05^20)-1))</f>
        <v>418625.5773738366</v>
      </c>
      <c r="J19" s="12">
        <v>0</v>
      </c>
      <c r="K19" s="12">
        <f>J19+I19</f>
        <v>418625.5773738366</v>
      </c>
      <c r="L19" s="15">
        <f>K19*25</f>
        <v>10465639.434345914</v>
      </c>
    </row>
    <row r="20" spans="2:14" ht="14.7" customHeight="1" thickBot="1" x14ac:dyDescent="0.55000000000000004">
      <c r="B20" s="24" t="s">
        <v>21</v>
      </c>
      <c r="C20" s="18" t="s">
        <v>4</v>
      </c>
      <c r="D20" s="18" t="s">
        <v>5</v>
      </c>
      <c r="E20" s="18" t="s">
        <v>6</v>
      </c>
      <c r="F20" s="19" t="s">
        <v>7</v>
      </c>
      <c r="H20" s="24" t="s">
        <v>21</v>
      </c>
      <c r="I20" s="18" t="s">
        <v>4</v>
      </c>
      <c r="J20" s="18" t="s">
        <v>5</v>
      </c>
      <c r="K20" s="18" t="s">
        <v>6</v>
      </c>
      <c r="L20" s="19" t="s">
        <v>7</v>
      </c>
    </row>
    <row r="21" spans="2:14" ht="14.7" customHeight="1" thickBot="1" x14ac:dyDescent="0.55000000000000004">
      <c r="B21" s="11"/>
      <c r="C21" s="12">
        <v>0</v>
      </c>
      <c r="D21" s="12">
        <v>0</v>
      </c>
      <c r="E21" s="12">
        <f>C21+D21</f>
        <v>0</v>
      </c>
      <c r="F21" s="13">
        <f>E21*25</f>
        <v>0</v>
      </c>
      <c r="H21" s="11"/>
      <c r="I21" s="12">
        <v>0</v>
      </c>
      <c r="J21" s="12">
        <v>0</v>
      </c>
      <c r="K21" s="12">
        <f>J21+I21</f>
        <v>0</v>
      </c>
      <c r="L21" s="13">
        <f>K21*25</f>
        <v>0</v>
      </c>
    </row>
    <row r="22" spans="2:14" ht="14.7" customHeight="1" thickBot="1" x14ac:dyDescent="0.55000000000000004">
      <c r="B22" s="17"/>
      <c r="C22" s="18" t="s">
        <v>4</v>
      </c>
      <c r="D22" s="18" t="s">
        <v>5</v>
      </c>
      <c r="E22" s="18" t="s">
        <v>6</v>
      </c>
      <c r="F22" s="19" t="s">
        <v>7</v>
      </c>
      <c r="H22" s="17"/>
      <c r="I22" s="18" t="s">
        <v>4</v>
      </c>
      <c r="J22" s="18" t="s">
        <v>5</v>
      </c>
      <c r="K22" s="18" t="s">
        <v>6</v>
      </c>
      <c r="L22" s="19" t="s">
        <v>7</v>
      </c>
    </row>
    <row r="23" spans="2:14" ht="14.7" customHeight="1" thickBot="1" x14ac:dyDescent="0.55000000000000004">
      <c r="B23" s="24" t="s">
        <v>22</v>
      </c>
      <c r="C23" s="12">
        <v>5763394.5668988293</v>
      </c>
      <c r="D23" s="12">
        <v>268225.2</v>
      </c>
      <c r="E23" s="25">
        <v>6031619.7668988286</v>
      </c>
      <c r="F23" s="13">
        <f>D23*25</f>
        <v>6705630</v>
      </c>
      <c r="H23" s="24" t="s">
        <v>22</v>
      </c>
      <c r="I23" s="14">
        <v>2261206.170686855</v>
      </c>
      <c r="J23" s="14">
        <v>337475.2</v>
      </c>
      <c r="K23" s="14">
        <v>4062917.2247025901</v>
      </c>
      <c r="L23" s="15">
        <f>K23*25</f>
        <v>101572930.61756475</v>
      </c>
      <c r="M23" s="6"/>
    </row>
    <row r="24" spans="2:14" ht="14.7" customHeight="1" thickBot="1" x14ac:dyDescent="0.55000000000000004">
      <c r="B24" s="8"/>
      <c r="F24" s="9"/>
      <c r="H24" s="8"/>
      <c r="I24" s="39"/>
      <c r="J24" s="39"/>
      <c r="K24" s="39"/>
      <c r="L24" s="10"/>
      <c r="M24" s="6"/>
      <c r="N24" s="7"/>
    </row>
    <row r="25" spans="2:14" ht="14.7" customHeight="1" thickBot="1" x14ac:dyDescent="0.55000000000000004">
      <c r="B25" s="29" t="s">
        <v>3</v>
      </c>
      <c r="C25" s="30"/>
      <c r="D25" s="31"/>
      <c r="F25" s="9"/>
      <c r="H25" s="29" t="s">
        <v>3</v>
      </c>
      <c r="I25" s="30"/>
      <c r="J25" s="31"/>
      <c r="K25" s="38"/>
      <c r="L25" s="10"/>
      <c r="M25" s="6"/>
    </row>
    <row r="26" spans="2:14" ht="14.7" customHeight="1" thickBot="1" x14ac:dyDescent="0.55000000000000004">
      <c r="B26" s="17" t="s">
        <v>23</v>
      </c>
      <c r="C26" s="18" t="s">
        <v>24</v>
      </c>
      <c r="D26" s="19" t="s">
        <v>25</v>
      </c>
      <c r="F26" s="9"/>
      <c r="H26" s="17" t="s">
        <v>23</v>
      </c>
      <c r="I26" s="18" t="s">
        <v>24</v>
      </c>
      <c r="J26" s="19" t="s">
        <v>25</v>
      </c>
      <c r="K26" s="38"/>
      <c r="L26" s="10"/>
      <c r="M26" s="6"/>
    </row>
    <row r="27" spans="2:14" x14ac:dyDescent="0.5">
      <c r="B27" s="23" t="s">
        <v>9</v>
      </c>
      <c r="C27">
        <v>33</v>
      </c>
      <c r="D27" s="9">
        <v>3300</v>
      </c>
      <c r="F27" s="9"/>
      <c r="H27" s="8" t="s">
        <v>9</v>
      </c>
      <c r="I27" s="38">
        <v>44</v>
      </c>
      <c r="J27" s="9">
        <v>4400</v>
      </c>
      <c r="K27" s="38"/>
      <c r="L27" s="9"/>
    </row>
    <row r="28" spans="2:14" x14ac:dyDescent="0.5">
      <c r="B28" s="3" t="s">
        <v>10</v>
      </c>
      <c r="C28">
        <v>0</v>
      </c>
      <c r="D28" s="9">
        <v>0</v>
      </c>
      <c r="F28" s="9"/>
      <c r="H28" s="8" t="s">
        <v>10</v>
      </c>
      <c r="I28" s="38">
        <v>0</v>
      </c>
      <c r="J28" s="9">
        <v>0</v>
      </c>
      <c r="K28" s="38"/>
      <c r="L28" s="9"/>
    </row>
    <row r="29" spans="2:14" x14ac:dyDescent="0.5">
      <c r="B29" s="3" t="s">
        <v>11</v>
      </c>
      <c r="C29">
        <v>0</v>
      </c>
      <c r="D29" s="9">
        <v>0</v>
      </c>
      <c r="F29" s="9"/>
      <c r="H29" s="8" t="s">
        <v>11</v>
      </c>
      <c r="I29" s="38">
        <v>0</v>
      </c>
      <c r="J29" s="9">
        <v>0</v>
      </c>
      <c r="K29" s="38"/>
      <c r="L29" s="9"/>
    </row>
    <row r="30" spans="2:14" x14ac:dyDescent="0.5">
      <c r="B30" s="3" t="s">
        <v>12</v>
      </c>
      <c r="C30">
        <v>0</v>
      </c>
      <c r="D30" s="9">
        <v>0</v>
      </c>
      <c r="F30" s="9"/>
      <c r="H30" s="8" t="s">
        <v>12</v>
      </c>
      <c r="I30" s="38">
        <v>0</v>
      </c>
      <c r="J30" s="9">
        <v>0</v>
      </c>
      <c r="K30" s="38"/>
      <c r="L30" s="9"/>
    </row>
    <row r="31" spans="2:14" ht="14.7" customHeight="1" thickBot="1" x14ac:dyDescent="0.55000000000000004">
      <c r="B31" s="16" t="s">
        <v>26</v>
      </c>
      <c r="C31" s="12">
        <v>33</v>
      </c>
      <c r="D31" s="13">
        <v>3300</v>
      </c>
      <c r="F31" s="9"/>
      <c r="H31" s="11" t="s">
        <v>26</v>
      </c>
      <c r="I31" s="12">
        <v>44</v>
      </c>
      <c r="J31" s="13">
        <v>4400</v>
      </c>
      <c r="K31" s="38"/>
      <c r="L31" s="9"/>
    </row>
    <row r="32" spans="2:14" ht="14.7" customHeight="1" thickBot="1" x14ac:dyDescent="0.55000000000000004">
      <c r="B32" s="8"/>
      <c r="F32" s="9"/>
      <c r="H32" s="8"/>
      <c r="I32" s="38"/>
      <c r="J32" s="38"/>
      <c r="K32" s="38"/>
      <c r="L32" s="9"/>
    </row>
    <row r="33" spans="2:12" ht="14.7" customHeight="1" thickBot="1" x14ac:dyDescent="0.55000000000000004">
      <c r="B33" s="29" t="s">
        <v>21</v>
      </c>
      <c r="C33" s="31"/>
      <c r="F33" s="9"/>
      <c r="H33" s="29" t="s">
        <v>21</v>
      </c>
      <c r="I33" s="31"/>
      <c r="J33" s="38"/>
      <c r="K33" s="38"/>
      <c r="L33" s="9"/>
    </row>
    <row r="34" spans="2:12" ht="14.7" customHeight="1" thickBot="1" x14ac:dyDescent="0.55000000000000004">
      <c r="B34" s="24" t="s">
        <v>25</v>
      </c>
      <c r="C34" s="13">
        <v>0</v>
      </c>
      <c r="F34" s="9"/>
      <c r="H34" s="24" t="s">
        <v>25</v>
      </c>
      <c r="I34" s="13">
        <v>0</v>
      </c>
      <c r="J34" s="38"/>
      <c r="K34" s="38"/>
      <c r="L34" s="9"/>
    </row>
    <row r="35" spans="2:12" ht="14.7" customHeight="1" thickBot="1" x14ac:dyDescent="0.55000000000000004">
      <c r="B35" s="8"/>
      <c r="F35" s="9"/>
      <c r="H35" s="8"/>
      <c r="I35" s="38"/>
      <c r="J35" s="38"/>
      <c r="K35" s="38"/>
      <c r="L35" s="9"/>
    </row>
    <row r="36" spans="2:12" ht="14.7" customHeight="1" thickBot="1" x14ac:dyDescent="0.55000000000000004">
      <c r="B36" s="29" t="s">
        <v>13</v>
      </c>
      <c r="C36" s="30"/>
      <c r="D36" s="31"/>
      <c r="F36" s="9"/>
      <c r="H36" s="29" t="s">
        <v>13</v>
      </c>
      <c r="I36" s="30"/>
      <c r="J36" s="31"/>
      <c r="K36" s="38"/>
      <c r="L36" s="9"/>
    </row>
    <row r="37" spans="2:12" ht="14.7" customHeight="1" thickBot="1" x14ac:dyDescent="0.55000000000000004">
      <c r="B37" s="24" t="s">
        <v>23</v>
      </c>
      <c r="C37" s="18" t="s">
        <v>24</v>
      </c>
      <c r="D37" s="19" t="s">
        <v>25</v>
      </c>
      <c r="F37" s="9"/>
      <c r="H37" s="17" t="s">
        <v>23</v>
      </c>
      <c r="I37" s="18" t="s">
        <v>24</v>
      </c>
      <c r="J37" s="19" t="s">
        <v>25</v>
      </c>
      <c r="K37" s="38"/>
      <c r="L37" s="9"/>
    </row>
    <row r="38" spans="2:12" x14ac:dyDescent="0.5">
      <c r="B38" s="23" t="s">
        <v>14</v>
      </c>
      <c r="C38">
        <v>3</v>
      </c>
      <c r="D38" s="9">
        <v>3000</v>
      </c>
      <c r="F38" s="9"/>
      <c r="H38" s="23" t="s">
        <v>14</v>
      </c>
      <c r="I38" s="38">
        <v>4</v>
      </c>
      <c r="J38" s="9">
        <v>4000</v>
      </c>
      <c r="K38" s="38"/>
      <c r="L38" s="9"/>
    </row>
    <row r="39" spans="2:12" x14ac:dyDescent="0.5">
      <c r="B39" s="3" t="s">
        <v>15</v>
      </c>
      <c r="C39">
        <v>0</v>
      </c>
      <c r="D39" s="9">
        <v>0</v>
      </c>
      <c r="F39" s="9"/>
      <c r="H39" s="3" t="s">
        <v>15</v>
      </c>
      <c r="I39" s="38">
        <v>0</v>
      </c>
      <c r="J39" s="9">
        <v>0</v>
      </c>
      <c r="K39" s="38"/>
      <c r="L39" s="9"/>
    </row>
    <row r="40" spans="2:12" x14ac:dyDescent="0.5">
      <c r="B40" s="3" t="s">
        <v>16</v>
      </c>
      <c r="C40">
        <v>0</v>
      </c>
      <c r="D40" s="9">
        <v>0</v>
      </c>
      <c r="F40" s="9"/>
      <c r="H40" s="3" t="s">
        <v>16</v>
      </c>
      <c r="I40" s="38">
        <v>0</v>
      </c>
      <c r="J40" s="9">
        <v>0</v>
      </c>
      <c r="K40" s="38"/>
      <c r="L40" s="9"/>
    </row>
    <row r="41" spans="2:12" ht="14.7" customHeight="1" thickBot="1" x14ac:dyDescent="0.55000000000000004">
      <c r="B41" s="16" t="s">
        <v>26</v>
      </c>
      <c r="C41" s="12">
        <v>3</v>
      </c>
      <c r="D41" s="13">
        <v>3000</v>
      </c>
      <c r="F41" s="9"/>
      <c r="H41" s="16" t="s">
        <v>26</v>
      </c>
      <c r="I41" s="12">
        <v>4</v>
      </c>
      <c r="J41" s="13">
        <v>4000</v>
      </c>
      <c r="K41" s="38"/>
      <c r="L41" s="9"/>
    </row>
    <row r="42" spans="2:12" ht="14.7" customHeight="1" thickBot="1" x14ac:dyDescent="0.55000000000000004">
      <c r="B42" s="8"/>
      <c r="F42" s="9"/>
      <c r="H42" s="8"/>
      <c r="I42" s="38"/>
      <c r="J42" s="38"/>
      <c r="K42" s="38"/>
      <c r="L42" s="9"/>
    </row>
    <row r="43" spans="2:12" ht="14.7" customHeight="1" thickBot="1" x14ac:dyDescent="0.55000000000000004">
      <c r="B43" s="29" t="s">
        <v>27</v>
      </c>
      <c r="C43" s="30"/>
      <c r="D43" s="31"/>
      <c r="F43" s="9"/>
      <c r="H43" s="29" t="s">
        <v>27</v>
      </c>
      <c r="I43" s="30"/>
      <c r="J43" s="31"/>
      <c r="K43" s="38"/>
      <c r="L43" s="9"/>
    </row>
    <row r="44" spans="2:12" ht="14.7" customHeight="1" thickBot="1" x14ac:dyDescent="0.55000000000000004">
      <c r="B44" s="24" t="s">
        <v>23</v>
      </c>
      <c r="C44" s="18" t="s">
        <v>24</v>
      </c>
      <c r="D44" s="19" t="s">
        <v>25</v>
      </c>
      <c r="F44" s="9"/>
      <c r="H44" s="17" t="s">
        <v>23</v>
      </c>
      <c r="I44" s="18" t="s">
        <v>24</v>
      </c>
      <c r="J44" s="19" t="s">
        <v>25</v>
      </c>
      <c r="K44" s="38"/>
      <c r="L44" s="9"/>
    </row>
    <row r="45" spans="2:12" ht="14.7" customHeight="1" thickBot="1" x14ac:dyDescent="0.55000000000000004">
      <c r="B45" s="24" t="s">
        <v>18</v>
      </c>
      <c r="C45" s="12">
        <v>215</v>
      </c>
      <c r="D45" s="13">
        <v>3779.7</v>
      </c>
      <c r="F45" s="9"/>
      <c r="H45" s="24" t="s">
        <v>18</v>
      </c>
      <c r="I45" s="12">
        <v>215</v>
      </c>
      <c r="J45" s="13">
        <v>3779.7</v>
      </c>
      <c r="K45" s="38"/>
      <c r="L45" s="9"/>
    </row>
    <row r="46" spans="2:12" ht="14.7" customHeight="1" thickBot="1" x14ac:dyDescent="0.55000000000000004">
      <c r="B46" s="8"/>
      <c r="F46" s="9"/>
      <c r="H46" s="8"/>
      <c r="I46" s="38"/>
      <c r="J46" s="38"/>
      <c r="K46" s="38"/>
      <c r="L46" s="9"/>
    </row>
    <row r="47" spans="2:12" ht="14.7" customHeight="1" thickBot="1" x14ac:dyDescent="0.55000000000000004">
      <c r="B47" s="29" t="s">
        <v>28</v>
      </c>
      <c r="C47" s="31"/>
      <c r="F47" s="9"/>
      <c r="H47" s="29" t="s">
        <v>28</v>
      </c>
      <c r="I47" s="31"/>
      <c r="J47" s="38"/>
      <c r="K47" s="38"/>
      <c r="L47" s="9"/>
    </row>
    <row r="48" spans="2:12" ht="14.7" customHeight="1" thickBot="1" x14ac:dyDescent="0.55000000000000004">
      <c r="B48" s="11" t="s">
        <v>29</v>
      </c>
      <c r="C48" s="13">
        <v>63980</v>
      </c>
      <c r="F48" s="9"/>
      <c r="H48" s="24" t="s">
        <v>29</v>
      </c>
      <c r="I48" s="13">
        <v>17390</v>
      </c>
      <c r="J48" s="38"/>
      <c r="K48" s="38"/>
      <c r="L48" s="9"/>
    </row>
    <row r="49" spans="2:12" ht="14.7" customHeight="1" thickBot="1" x14ac:dyDescent="0.55000000000000004">
      <c r="B49" s="8"/>
      <c r="F49" s="9"/>
      <c r="H49" s="8"/>
      <c r="I49" s="38"/>
      <c r="J49" s="38"/>
      <c r="K49" s="38"/>
      <c r="L49" s="9"/>
    </row>
    <row r="50" spans="2:12" ht="14.7" customHeight="1" thickBot="1" x14ac:dyDescent="0.55000000000000004">
      <c r="B50" s="29" t="s">
        <v>30</v>
      </c>
      <c r="C50" s="30"/>
      <c r="D50" s="31"/>
      <c r="F50" s="9"/>
      <c r="H50" s="35" t="s">
        <v>30</v>
      </c>
      <c r="I50" s="36"/>
      <c r="J50" s="37"/>
      <c r="K50" s="38"/>
      <c r="L50" s="9"/>
    </row>
    <row r="51" spans="2:12" ht="14.7" customHeight="1" thickBot="1" x14ac:dyDescent="0.55000000000000004">
      <c r="B51" s="11" t="s">
        <v>31</v>
      </c>
      <c r="C51" s="12" t="s">
        <v>32</v>
      </c>
      <c r="D51" s="13" t="s">
        <v>33</v>
      </c>
      <c r="F51" s="9"/>
      <c r="H51" s="24" t="s">
        <v>31</v>
      </c>
      <c r="I51" s="18" t="s">
        <v>61</v>
      </c>
      <c r="J51" s="21" t="s">
        <v>33</v>
      </c>
      <c r="K51" s="38"/>
      <c r="L51" s="9"/>
    </row>
    <row r="52" spans="2:12" ht="14.7" customHeight="1" x14ac:dyDescent="0.5">
      <c r="B52" s="23" t="s">
        <v>34</v>
      </c>
      <c r="C52" s="26">
        <v>4812010.7377066799</v>
      </c>
      <c r="D52" s="27">
        <f>C52*25</f>
        <v>120300268.44266699</v>
      </c>
      <c r="F52" s="9"/>
      <c r="H52" s="3" t="s">
        <v>34</v>
      </c>
      <c r="I52" s="40">
        <v>3866854.4212777899</v>
      </c>
      <c r="J52" s="27">
        <f>I52*25</f>
        <v>96671360.531944752</v>
      </c>
      <c r="K52" s="38"/>
      <c r="L52" s="9"/>
    </row>
    <row r="53" spans="2:12" ht="14.7" customHeight="1" thickBot="1" x14ac:dyDescent="0.55000000000000004">
      <c r="B53" s="16" t="s">
        <v>35</v>
      </c>
      <c r="C53" s="25">
        <v>2781193.547437374</v>
      </c>
      <c r="D53" s="28">
        <f>C53*25</f>
        <v>69529838.68593435</v>
      </c>
      <c r="F53" s="9"/>
      <c r="H53" s="16" t="s">
        <v>35</v>
      </c>
      <c r="I53" s="25">
        <v>911003.93717123102</v>
      </c>
      <c r="J53" s="28">
        <f>I53*25</f>
        <v>22775098.429280777</v>
      </c>
      <c r="K53" s="38"/>
      <c r="L53" s="9"/>
    </row>
    <row r="54" spans="2:12" ht="14.7" customHeight="1" thickBot="1" x14ac:dyDescent="0.55000000000000004">
      <c r="B54" s="8"/>
      <c r="F54" s="9"/>
      <c r="H54" s="8"/>
      <c r="I54" s="39"/>
      <c r="J54" s="10"/>
      <c r="K54" s="38"/>
      <c r="L54" s="9"/>
    </row>
    <row r="55" spans="2:12" ht="14.7" customHeight="1" thickBot="1" x14ac:dyDescent="0.55000000000000004">
      <c r="B55" s="29" t="s">
        <v>36</v>
      </c>
      <c r="C55" s="30"/>
      <c r="D55" s="31"/>
      <c r="F55" s="9"/>
      <c r="H55" s="35" t="s">
        <v>36</v>
      </c>
      <c r="I55" s="36"/>
      <c r="J55" s="37"/>
      <c r="K55" s="38"/>
      <c r="L55" s="9"/>
    </row>
    <row r="56" spans="2:12" ht="14.7" customHeight="1" thickBot="1" x14ac:dyDescent="0.55000000000000004">
      <c r="B56" s="11" t="s">
        <v>31</v>
      </c>
      <c r="C56" s="12" t="s">
        <v>32</v>
      </c>
      <c r="D56" s="13" t="s">
        <v>33</v>
      </c>
      <c r="F56" s="9"/>
      <c r="H56" s="24" t="s">
        <v>31</v>
      </c>
      <c r="I56" s="20">
        <v>1050256.7563964301</v>
      </c>
      <c r="J56" s="21" t="s">
        <v>33</v>
      </c>
      <c r="K56" s="38"/>
      <c r="L56" s="9"/>
    </row>
    <row r="57" spans="2:12" ht="14.7" customHeight="1" thickBot="1" x14ac:dyDescent="0.55000000000000004">
      <c r="B57" s="23" t="s">
        <v>34</v>
      </c>
      <c r="C57">
        <v>1306965.8793771199</v>
      </c>
      <c r="D57" s="9">
        <f>C57*25</f>
        <v>32674146.984428</v>
      </c>
      <c r="F57" s="9"/>
      <c r="H57" s="16" t="s">
        <v>34</v>
      </c>
      <c r="I57" s="14">
        <v>361430.99926124298</v>
      </c>
      <c r="J57" s="15">
        <f>I57*25</f>
        <v>9035774.9815310743</v>
      </c>
      <c r="K57" s="38"/>
      <c r="L57" s="9"/>
    </row>
    <row r="58" spans="2:12" ht="14.7" customHeight="1" thickBot="1" x14ac:dyDescent="0.55000000000000004">
      <c r="B58" s="16" t="s">
        <v>35</v>
      </c>
      <c r="C58" s="12">
        <v>1174809.785459151</v>
      </c>
      <c r="D58" s="13">
        <f>C58*25</f>
        <v>29370244.636478774</v>
      </c>
      <c r="F58" s="9"/>
      <c r="H58" s="8" t="s">
        <v>35</v>
      </c>
      <c r="I58" s="12">
        <v>911003.93717123102</v>
      </c>
      <c r="J58" s="38">
        <f>I58*25</f>
        <v>22775098.429280777</v>
      </c>
      <c r="K58" s="38"/>
      <c r="L58" s="9"/>
    </row>
    <row r="59" spans="2:12" ht="14.7" customHeight="1" thickBot="1" x14ac:dyDescent="0.55000000000000004">
      <c r="B59" s="8"/>
      <c r="F59" s="9"/>
      <c r="H59" s="8"/>
      <c r="I59" s="38"/>
      <c r="J59" s="38"/>
      <c r="K59" s="38"/>
      <c r="L59" s="9"/>
    </row>
    <row r="60" spans="2:12" ht="14.7" customHeight="1" thickBot="1" x14ac:dyDescent="0.55000000000000004">
      <c r="B60" s="29" t="s">
        <v>37</v>
      </c>
      <c r="C60" s="31"/>
      <c r="F60" s="9"/>
      <c r="H60" s="29" t="s">
        <v>38</v>
      </c>
      <c r="I60" s="31"/>
      <c r="J60" s="38"/>
      <c r="K60" s="38"/>
      <c r="L60" s="9"/>
    </row>
    <row r="61" spans="2:12" ht="14.7" customHeight="1" thickBot="1" x14ac:dyDescent="0.55000000000000004">
      <c r="B61" s="24" t="s">
        <v>39</v>
      </c>
      <c r="C61" s="13">
        <v>575819.23014523403</v>
      </c>
      <c r="F61" s="9"/>
      <c r="H61" s="24" t="s">
        <v>39</v>
      </c>
      <c r="I61" s="13">
        <v>156505.49698972201</v>
      </c>
      <c r="J61" s="38"/>
      <c r="K61" s="38"/>
      <c r="L61" s="9"/>
    </row>
    <row r="62" spans="2:12" ht="14.7" customHeight="1" thickBot="1" x14ac:dyDescent="0.55000000000000004">
      <c r="B62" s="8"/>
      <c r="F62" s="9"/>
      <c r="H62" s="8"/>
      <c r="I62" s="38"/>
      <c r="J62" s="38"/>
      <c r="K62" s="38"/>
      <c r="L62" s="9"/>
    </row>
    <row r="63" spans="2:12" ht="14.7" customHeight="1" thickBot="1" x14ac:dyDescent="0.55000000000000004">
      <c r="B63" s="29" t="s">
        <v>40</v>
      </c>
      <c r="C63" s="31"/>
      <c r="F63" s="9"/>
      <c r="H63" s="29" t="s">
        <v>40</v>
      </c>
      <c r="I63" s="31"/>
      <c r="J63" s="38"/>
      <c r="K63" s="38"/>
      <c r="L63" s="9"/>
    </row>
    <row r="64" spans="2:12" ht="14.7" customHeight="1" thickBot="1" x14ac:dyDescent="0.55000000000000004">
      <c r="B64" s="29">
        <f>E23/B70</f>
        <v>1.0977976114591805</v>
      </c>
      <c r="C64" s="31"/>
      <c r="F64" s="9"/>
      <c r="H64" s="29">
        <f>K23/B70</f>
        <v>0.73947977445669122</v>
      </c>
      <c r="I64" s="31"/>
      <c r="J64" s="38"/>
      <c r="K64" s="38"/>
      <c r="L64" s="9"/>
    </row>
    <row r="65" spans="2:12" x14ac:dyDescent="0.5">
      <c r="B65" s="8"/>
      <c r="F65" s="9"/>
      <c r="H65" s="8"/>
      <c r="I65" s="38"/>
      <c r="J65" s="38"/>
      <c r="K65" s="38"/>
      <c r="L65" s="9"/>
    </row>
    <row r="66" spans="2:12" ht="14.7" customHeight="1" thickBot="1" x14ac:dyDescent="0.55000000000000004">
      <c r="B66" s="11"/>
      <c r="C66" s="12"/>
      <c r="D66" s="12"/>
      <c r="E66" s="12"/>
      <c r="F66" s="13"/>
      <c r="G66" s="12"/>
      <c r="H66" s="11"/>
      <c r="I66" s="12"/>
      <c r="J66" s="12"/>
      <c r="K66" s="12"/>
      <c r="L66" s="13"/>
    </row>
    <row r="67" spans="2:12" ht="14.7" customHeight="1" thickBot="1" x14ac:dyDescent="0.55000000000000004">
      <c r="B67" s="11"/>
      <c r="C67" s="12"/>
      <c r="L67" s="9"/>
    </row>
    <row r="68" spans="2:12" ht="14.7" customHeight="1" thickBot="1" x14ac:dyDescent="0.55000000000000004">
      <c r="B68" s="32" t="s">
        <v>41</v>
      </c>
      <c r="C68" s="33"/>
      <c r="L68" s="9"/>
    </row>
    <row r="69" spans="2:12" ht="14.7" customHeight="1" thickBot="1" x14ac:dyDescent="0.55000000000000004">
      <c r="B69" s="17" t="s">
        <v>42</v>
      </c>
      <c r="C69" s="19" t="s">
        <v>43</v>
      </c>
      <c r="L69" s="9"/>
    </row>
    <row r="70" spans="2:12" ht="14.7" customHeight="1" thickBot="1" x14ac:dyDescent="0.55000000000000004">
      <c r="B70" s="11">
        <f>C108</f>
        <v>5494291.2099085962</v>
      </c>
      <c r="C70" s="13">
        <f>D108</f>
        <v>137357280.24771491</v>
      </c>
      <c r="D70" s="12"/>
      <c r="E70" s="12"/>
      <c r="F70" s="12"/>
      <c r="G70" s="12"/>
      <c r="H70" s="12"/>
      <c r="I70" s="12"/>
      <c r="J70" s="12"/>
      <c r="K70" s="12"/>
      <c r="L70" s="13"/>
    </row>
    <row r="71" spans="2:12" ht="14.7" customHeight="1" thickBot="1" x14ac:dyDescent="0.55000000000000004"/>
    <row r="72" spans="2:12" ht="14.7" customHeight="1" thickBot="1" x14ac:dyDescent="0.55000000000000004">
      <c r="B72" s="29" t="s">
        <v>44</v>
      </c>
      <c r="C72" s="30"/>
      <c r="D72" s="30"/>
      <c r="E72" s="30"/>
      <c r="F72" s="31"/>
    </row>
    <row r="73" spans="2:12" ht="14.7" customHeight="1" thickBot="1" x14ac:dyDescent="0.55000000000000004">
      <c r="B73" s="29" t="s">
        <v>45</v>
      </c>
      <c r="C73" s="30"/>
      <c r="D73" s="30"/>
      <c r="E73" s="30"/>
      <c r="F73" s="31"/>
    </row>
    <row r="74" spans="2:12" ht="14.7" customHeight="1" thickBot="1" x14ac:dyDescent="0.55000000000000004">
      <c r="B74" s="24" t="s">
        <v>46</v>
      </c>
      <c r="C74" s="18" t="s">
        <v>4</v>
      </c>
      <c r="D74" s="18" t="s">
        <v>5</v>
      </c>
      <c r="E74" s="18" t="s">
        <v>6</v>
      </c>
      <c r="F74" s="19" t="s">
        <v>7</v>
      </c>
    </row>
    <row r="75" spans="2:12" x14ac:dyDescent="0.5">
      <c r="B75" s="23" t="s">
        <v>9</v>
      </c>
      <c r="C75">
        <v>31928.605784653319</v>
      </c>
      <c r="D75">
        <v>74500</v>
      </c>
      <c r="E75">
        <f>C75+D75</f>
        <v>106428.60578465332</v>
      </c>
      <c r="F75" s="9">
        <f>E75*25</f>
        <v>2660715.1446163328</v>
      </c>
    </row>
    <row r="76" spans="2:12" x14ac:dyDescent="0.5">
      <c r="B76" s="3" t="s">
        <v>10</v>
      </c>
      <c r="C76">
        <v>0</v>
      </c>
      <c r="D76">
        <v>0</v>
      </c>
      <c r="E76">
        <f>C76+D76</f>
        <v>0</v>
      </c>
      <c r="F76" s="9">
        <f>E76*25</f>
        <v>0</v>
      </c>
    </row>
    <row r="77" spans="2:12" x14ac:dyDescent="0.5">
      <c r="B77" s="3" t="s">
        <v>14</v>
      </c>
      <c r="C77">
        <v>0</v>
      </c>
      <c r="D77">
        <v>0</v>
      </c>
      <c r="E77">
        <f>C77+D77</f>
        <v>0</v>
      </c>
      <c r="F77" s="9">
        <f>E77*25</f>
        <v>0</v>
      </c>
    </row>
    <row r="78" spans="2:12" x14ac:dyDescent="0.5">
      <c r="B78" s="3" t="s">
        <v>47</v>
      </c>
      <c r="C78">
        <v>0</v>
      </c>
      <c r="D78">
        <v>0</v>
      </c>
      <c r="E78">
        <f>C78+D78</f>
        <v>0</v>
      </c>
      <c r="F78" s="9">
        <f>E78*25</f>
        <v>0</v>
      </c>
    </row>
    <row r="79" spans="2:12" ht="14.7" customHeight="1" thickBot="1" x14ac:dyDescent="0.55000000000000004">
      <c r="B79" s="16" t="s">
        <v>48</v>
      </c>
      <c r="C79" s="12"/>
      <c r="D79" s="12"/>
      <c r="E79">
        <f>C79+D79</f>
        <v>0</v>
      </c>
      <c r="F79" s="9">
        <f>E79*25</f>
        <v>0</v>
      </c>
    </row>
    <row r="80" spans="2:12" ht="14.7" customHeight="1" thickBot="1" x14ac:dyDescent="0.55000000000000004">
      <c r="B80" s="17" t="s">
        <v>49</v>
      </c>
      <c r="C80" s="18" t="s">
        <v>4</v>
      </c>
      <c r="D80" s="18" t="s">
        <v>5</v>
      </c>
      <c r="E80" s="18" t="s">
        <v>6</v>
      </c>
      <c r="F80" s="19" t="s">
        <v>7</v>
      </c>
    </row>
    <row r="81" spans="2:6" x14ac:dyDescent="0.5">
      <c r="B81" s="23" t="s">
        <v>18</v>
      </c>
      <c r="C81">
        <v>48526.865088744933</v>
      </c>
      <c r="D81">
        <v>60475.199999999997</v>
      </c>
      <c r="E81">
        <f>C81+D81</f>
        <v>109002.06508874493</v>
      </c>
      <c r="F81" s="9">
        <f>E81*25</f>
        <v>2725051.6272186232</v>
      </c>
    </row>
    <row r="82" spans="2:6" ht="14.7" customHeight="1" thickBot="1" x14ac:dyDescent="0.55000000000000004">
      <c r="B82" s="16" t="s">
        <v>50</v>
      </c>
      <c r="C82" s="12"/>
      <c r="D82" s="12"/>
      <c r="E82">
        <f>C82+D82</f>
        <v>0</v>
      </c>
      <c r="F82" s="9">
        <f>E82*25</f>
        <v>0</v>
      </c>
    </row>
    <row r="83" spans="2:6" ht="14.7" customHeight="1" thickBot="1" x14ac:dyDescent="0.55000000000000004">
      <c r="B83" s="17"/>
      <c r="C83" s="18" t="s">
        <v>4</v>
      </c>
      <c r="D83" s="18" t="s">
        <v>5</v>
      </c>
      <c r="E83" s="18" t="s">
        <v>6</v>
      </c>
      <c r="F83" s="19" t="s">
        <v>7</v>
      </c>
    </row>
    <row r="84" spans="2:6" ht="14.7" customHeight="1" thickBot="1" x14ac:dyDescent="0.55000000000000004">
      <c r="B84" s="24" t="s">
        <v>22</v>
      </c>
      <c r="C84" s="12">
        <v>80455.470873398255</v>
      </c>
      <c r="D84" s="12">
        <v>4529776.2770459214</v>
      </c>
      <c r="E84" s="12">
        <v>4610231.7479193201</v>
      </c>
      <c r="F84" s="13">
        <f>E84*25</f>
        <v>115255793.697983</v>
      </c>
    </row>
    <row r="85" spans="2:6" ht="14.7" customHeight="1" thickBot="1" x14ac:dyDescent="0.55000000000000004">
      <c r="B85" s="8"/>
      <c r="F85" s="9"/>
    </row>
    <row r="86" spans="2:6" ht="14.7" customHeight="1" thickBot="1" x14ac:dyDescent="0.55000000000000004">
      <c r="B86" s="29" t="s">
        <v>46</v>
      </c>
      <c r="C86" s="30"/>
      <c r="D86" s="31"/>
      <c r="F86" s="9"/>
    </row>
    <row r="87" spans="2:6" ht="14.7" customHeight="1" thickBot="1" x14ac:dyDescent="0.55000000000000004">
      <c r="B87" s="24" t="s">
        <v>23</v>
      </c>
      <c r="C87" s="18" t="s">
        <v>24</v>
      </c>
      <c r="D87" s="19" t="s">
        <v>25</v>
      </c>
      <c r="F87" s="9"/>
    </row>
    <row r="88" spans="2:6" x14ac:dyDescent="0.5">
      <c r="B88" s="23" t="s">
        <v>9</v>
      </c>
      <c r="C88">
        <v>5</v>
      </c>
      <c r="D88" s="9">
        <v>500</v>
      </c>
      <c r="F88" s="9"/>
    </row>
    <row r="89" spans="2:6" x14ac:dyDescent="0.5">
      <c r="B89" s="3" t="s">
        <v>10</v>
      </c>
      <c r="C89">
        <v>0</v>
      </c>
      <c r="D89" s="9">
        <v>0</v>
      </c>
      <c r="F89" s="9"/>
    </row>
    <row r="90" spans="2:6" x14ac:dyDescent="0.5">
      <c r="B90" s="3" t="s">
        <v>14</v>
      </c>
      <c r="C90">
        <v>0</v>
      </c>
      <c r="D90" s="9">
        <v>0</v>
      </c>
      <c r="F90" s="9"/>
    </row>
    <row r="91" spans="2:6" x14ac:dyDescent="0.5">
      <c r="B91" s="3" t="s">
        <v>47</v>
      </c>
      <c r="C91">
        <v>0</v>
      </c>
      <c r="D91" s="9">
        <v>0</v>
      </c>
      <c r="F91" s="9"/>
    </row>
    <row r="92" spans="2:6" ht="14.7" customHeight="1" thickBot="1" x14ac:dyDescent="0.55000000000000004">
      <c r="B92" s="16" t="s">
        <v>26</v>
      </c>
      <c r="C92" s="12">
        <v>5</v>
      </c>
      <c r="D92" s="13">
        <v>500</v>
      </c>
      <c r="F92" s="9"/>
    </row>
    <row r="93" spans="2:6" ht="14.7" customHeight="1" thickBot="1" x14ac:dyDescent="0.55000000000000004">
      <c r="B93" s="8"/>
      <c r="F93" s="9"/>
    </row>
    <row r="94" spans="2:6" ht="14.7" customHeight="1" thickBot="1" x14ac:dyDescent="0.55000000000000004">
      <c r="B94" s="29" t="s">
        <v>51</v>
      </c>
      <c r="C94" s="30"/>
      <c r="D94" s="31"/>
      <c r="F94" s="9"/>
    </row>
    <row r="95" spans="2:6" ht="14.7" customHeight="1" thickBot="1" x14ac:dyDescent="0.55000000000000004">
      <c r="B95" s="17" t="s">
        <v>23</v>
      </c>
      <c r="C95" s="18" t="s">
        <v>24</v>
      </c>
      <c r="D95" s="19" t="s">
        <v>25</v>
      </c>
      <c r="F95" s="9"/>
    </row>
    <row r="96" spans="2:6" ht="14.7" customHeight="1" thickBot="1" x14ac:dyDescent="0.55000000000000004">
      <c r="B96" s="24" t="s">
        <v>18</v>
      </c>
      <c r="C96" s="12">
        <v>215</v>
      </c>
      <c r="D96" s="13">
        <v>3779.7</v>
      </c>
      <c r="F96" s="9"/>
    </row>
    <row r="97" spans="2:6" ht="14.7" customHeight="1" thickBot="1" x14ac:dyDescent="0.55000000000000004">
      <c r="B97" s="8"/>
      <c r="F97" s="9"/>
    </row>
    <row r="98" spans="2:6" ht="14.7" customHeight="1" thickBot="1" x14ac:dyDescent="0.55000000000000004">
      <c r="B98" s="29" t="s">
        <v>52</v>
      </c>
      <c r="C98" s="30"/>
      <c r="D98" s="31"/>
      <c r="F98" s="9"/>
    </row>
    <row r="99" spans="2:6" ht="14.7" customHeight="1" thickBot="1" x14ac:dyDescent="0.55000000000000004">
      <c r="B99" s="17" t="s">
        <v>53</v>
      </c>
      <c r="C99" s="18" t="s">
        <v>54</v>
      </c>
      <c r="D99" s="19" t="s">
        <v>55</v>
      </c>
      <c r="F99" s="9"/>
    </row>
    <row r="100" spans="2:6" x14ac:dyDescent="0.5">
      <c r="B100" s="23" t="s">
        <v>56</v>
      </c>
      <c r="C100">
        <v>723421.05263157934</v>
      </c>
      <c r="D100" s="9">
        <f>C100*25</f>
        <v>18085526.315789483</v>
      </c>
      <c r="F100" s="9"/>
    </row>
    <row r="101" spans="2:6" x14ac:dyDescent="0.5">
      <c r="B101" s="3" t="s">
        <v>57</v>
      </c>
      <c r="C101">
        <v>1382881.883886955</v>
      </c>
      <c r="D101" s="9">
        <f>C101*25</f>
        <v>34572047.097173877</v>
      </c>
      <c r="F101" s="9"/>
    </row>
    <row r="102" spans="2:6" ht="14.7" customHeight="1" thickBot="1" x14ac:dyDescent="0.55000000000000004">
      <c r="B102" s="16" t="s">
        <v>26</v>
      </c>
      <c r="C102" s="12">
        <f>C100+C101</f>
        <v>2106302.9365185341</v>
      </c>
      <c r="D102" s="13">
        <f>C102*25</f>
        <v>52657573.412963353</v>
      </c>
      <c r="F102" s="9"/>
    </row>
    <row r="103" spans="2:6" ht="14.7" customHeight="1" thickBot="1" x14ac:dyDescent="0.55000000000000004">
      <c r="B103" s="8"/>
      <c r="F103" s="9"/>
    </row>
    <row r="104" spans="2:6" ht="14.7" customHeight="1" thickBot="1" x14ac:dyDescent="0.55000000000000004">
      <c r="B104" s="29" t="s">
        <v>58</v>
      </c>
      <c r="C104" s="30"/>
      <c r="D104" s="31"/>
      <c r="F104" s="9"/>
    </row>
    <row r="105" spans="2:6" ht="14.7" customHeight="1" thickBot="1" x14ac:dyDescent="0.55000000000000004">
      <c r="B105" s="17" t="s">
        <v>53</v>
      </c>
      <c r="C105" s="18" t="s">
        <v>59</v>
      </c>
      <c r="D105" s="22" t="s">
        <v>60</v>
      </c>
      <c r="F105" s="9"/>
    </row>
    <row r="106" spans="2:6" x14ac:dyDescent="0.5">
      <c r="B106" s="23" t="s">
        <v>56</v>
      </c>
      <c r="C106">
        <f>2.6085*C100</f>
        <v>1887043.8157894746</v>
      </c>
      <c r="D106" s="9">
        <f>C106*25</f>
        <v>47176095.394736864</v>
      </c>
      <c r="F106" s="9"/>
    </row>
    <row r="107" spans="2:6" x14ac:dyDescent="0.5">
      <c r="B107" s="3" t="s">
        <v>57</v>
      </c>
      <c r="C107">
        <f>2.6085*C101</f>
        <v>3607247.3941191216</v>
      </c>
      <c r="D107" s="9">
        <f>C107*25</f>
        <v>90181184.852978036</v>
      </c>
      <c r="F107" s="9"/>
    </row>
    <row r="108" spans="2:6" ht="14.7" customHeight="1" thickBot="1" x14ac:dyDescent="0.55000000000000004">
      <c r="B108" s="16" t="s">
        <v>26</v>
      </c>
      <c r="C108" s="12">
        <f>2.6085*C102</f>
        <v>5494291.2099085962</v>
      </c>
      <c r="D108" s="13">
        <f>C108*25</f>
        <v>137357280.24771491</v>
      </c>
      <c r="E108" s="12"/>
      <c r="F108" s="13"/>
    </row>
  </sheetData>
  <mergeCells count="30">
    <mergeCell ref="H64:I64"/>
    <mergeCell ref="H50:J50"/>
    <mergeCell ref="H55:J55"/>
    <mergeCell ref="B86:D86"/>
    <mergeCell ref="B104:D104"/>
    <mergeCell ref="B73:F73"/>
    <mergeCell ref="B36:D36"/>
    <mergeCell ref="B94:D94"/>
    <mergeCell ref="B50:D50"/>
    <mergeCell ref="B68:C68"/>
    <mergeCell ref="B64:C64"/>
    <mergeCell ref="B47:C47"/>
    <mergeCell ref="B98:D98"/>
    <mergeCell ref="B72:F72"/>
    <mergeCell ref="H33:I33"/>
    <mergeCell ref="B5:L5"/>
    <mergeCell ref="B63:C63"/>
    <mergeCell ref="B43:D43"/>
    <mergeCell ref="H25:J25"/>
    <mergeCell ref="H6:L6"/>
    <mergeCell ref="H60:I60"/>
    <mergeCell ref="B60:C60"/>
    <mergeCell ref="B55:D55"/>
    <mergeCell ref="H47:I47"/>
    <mergeCell ref="B25:D25"/>
    <mergeCell ref="H43:J43"/>
    <mergeCell ref="B6:F6"/>
    <mergeCell ref="B33:C33"/>
    <mergeCell ref="H36:J36"/>
    <mergeCell ref="H63:I6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B4:N108"/>
  <sheetViews>
    <sheetView tabSelected="1" topLeftCell="A15" zoomScale="70" zoomScaleNormal="70" workbookViewId="0">
      <selection activeCell="M29" sqref="M29"/>
    </sheetView>
  </sheetViews>
  <sheetFormatPr defaultColWidth="39.234375" defaultRowHeight="14.35" x14ac:dyDescent="0.5"/>
  <cols>
    <col min="1" max="1" width="13.52734375" customWidth="1"/>
    <col min="2" max="2" width="15.234375" bestFit="1" customWidth="1"/>
    <col min="3" max="3" width="17.64453125" bestFit="1" customWidth="1"/>
    <col min="4" max="4" width="18.64453125" bestFit="1" customWidth="1"/>
    <col min="5" max="5" width="12.46875" bestFit="1" customWidth="1"/>
    <col min="6" max="6" width="13.5859375" bestFit="1" customWidth="1"/>
    <col min="7" max="7" width="12.46875" customWidth="1"/>
    <col min="8" max="8" width="15.234375" bestFit="1" customWidth="1"/>
    <col min="9" max="9" width="15.703125" bestFit="1" customWidth="1"/>
    <col min="10" max="10" width="18" bestFit="1" customWidth="1"/>
    <col min="11" max="11" width="12.46875" bestFit="1" customWidth="1"/>
    <col min="12" max="12" width="14.5859375" bestFit="1" customWidth="1"/>
    <col min="13" max="14" width="13.41015625" bestFit="1" customWidth="1"/>
    <col min="15" max="15" width="11.76171875" bestFit="1" customWidth="1"/>
  </cols>
  <sheetData>
    <row r="4" spans="2:14" ht="14.7" customHeight="1" thickBot="1" x14ac:dyDescent="0.55000000000000004"/>
    <row r="5" spans="2:14" ht="14.7" customHeight="1" thickBot="1" x14ac:dyDescent="0.55000000000000004">
      <c r="B5" s="29" t="s">
        <v>0</v>
      </c>
      <c r="C5" s="30"/>
      <c r="D5" s="30"/>
      <c r="E5" s="30"/>
      <c r="F5" s="30"/>
      <c r="G5" s="30"/>
      <c r="H5" s="30"/>
      <c r="I5" s="30"/>
      <c r="J5" s="30"/>
      <c r="K5" s="30"/>
      <c r="L5" s="31"/>
    </row>
    <row r="6" spans="2:14" ht="14.7" customHeight="1" thickBot="1" x14ac:dyDescent="0.55000000000000004">
      <c r="B6" s="29" t="s">
        <v>1</v>
      </c>
      <c r="C6" s="30"/>
      <c r="D6" s="30"/>
      <c r="E6" s="30"/>
      <c r="F6" s="31"/>
      <c r="H6" s="29" t="s">
        <v>2</v>
      </c>
      <c r="I6" s="30"/>
      <c r="J6" s="30"/>
      <c r="K6" s="30"/>
      <c r="L6" s="31"/>
    </row>
    <row r="7" spans="2:14" ht="14.7" customHeight="1" thickBot="1" x14ac:dyDescent="0.55000000000000004">
      <c r="B7" s="24" t="s">
        <v>3</v>
      </c>
      <c r="C7" s="18" t="s">
        <v>4</v>
      </c>
      <c r="D7" s="18" t="s">
        <v>5</v>
      </c>
      <c r="E7" s="18" t="s">
        <v>6</v>
      </c>
      <c r="F7" s="19" t="s">
        <v>7</v>
      </c>
      <c r="H7" s="24" t="s">
        <v>3</v>
      </c>
      <c r="I7" s="18" t="s">
        <v>4</v>
      </c>
      <c r="J7" s="18" t="s">
        <v>5</v>
      </c>
      <c r="K7" s="18" t="s">
        <v>6</v>
      </c>
      <c r="L7" s="19" t="s">
        <v>7</v>
      </c>
    </row>
    <row r="8" spans="2:14" x14ac:dyDescent="0.5">
      <c r="B8" s="3" t="s">
        <v>8</v>
      </c>
      <c r="C8" s="6">
        <f>13698 * D27*((0.05*((1.05)^25))/((1.05^25)-1))</f>
        <v>3304482.9842884811</v>
      </c>
      <c r="D8" s="6">
        <f>29*D27</f>
        <v>98600</v>
      </c>
      <c r="E8" s="6">
        <f>C8+D8</f>
        <v>3403082.9842884811</v>
      </c>
      <c r="F8" s="10">
        <f>E8*25</f>
        <v>85077074.607212022</v>
      </c>
      <c r="H8" s="3" t="s">
        <v>9</v>
      </c>
      <c r="I8" s="39">
        <f>1615 * J27*((0.05*((1.05)^25))/((1.05^25)-1))</f>
        <v>630235.20196040708</v>
      </c>
      <c r="J8" s="39">
        <f>29*J27</f>
        <v>159500</v>
      </c>
      <c r="K8" s="39">
        <f>I8+J8</f>
        <v>789735.20196040708</v>
      </c>
      <c r="L8" s="10">
        <f>K8*25</f>
        <v>19743380.049010176</v>
      </c>
    </row>
    <row r="9" spans="2:14" x14ac:dyDescent="0.5">
      <c r="B9" s="3" t="s">
        <v>10</v>
      </c>
      <c r="C9" s="6">
        <f>13698 * D28*((0.05*((1.05)^25))/((1.05^25)-1))</f>
        <v>0</v>
      </c>
      <c r="D9" s="6">
        <f>29*D28</f>
        <v>0</v>
      </c>
      <c r="E9" s="6">
        <f>C9+D9</f>
        <v>0</v>
      </c>
      <c r="F9" s="10">
        <f>E9*25</f>
        <v>0</v>
      </c>
      <c r="H9" s="3" t="s">
        <v>10</v>
      </c>
      <c r="I9" s="39">
        <f>1615 * J28*((0.05*((1.05)^25))/((1.05^25)-1))</f>
        <v>0</v>
      </c>
      <c r="J9" s="39">
        <f>29*J28</f>
        <v>0</v>
      </c>
      <c r="K9" s="39">
        <f>I9+J9</f>
        <v>0</v>
      </c>
      <c r="L9" s="10">
        <f>K9*25</f>
        <v>0</v>
      </c>
      <c r="M9" s="7"/>
      <c r="N9" s="6"/>
    </row>
    <row r="10" spans="2:14" x14ac:dyDescent="0.5">
      <c r="B10" s="3" t="s">
        <v>11</v>
      </c>
      <c r="C10" s="6">
        <f>13698 * D29*((0.05*((1.05)^25))/((1.05^25)-1))</f>
        <v>0</v>
      </c>
      <c r="D10" s="6">
        <f>29*D29</f>
        <v>0</v>
      </c>
      <c r="E10" s="6">
        <f>C10+D10</f>
        <v>0</v>
      </c>
      <c r="F10" s="10">
        <f>E10*25</f>
        <v>0</v>
      </c>
      <c r="H10" s="3" t="s">
        <v>11</v>
      </c>
      <c r="I10" s="39">
        <f>1615 * J29*((0.05*((1.05)^25))/((1.05^25)-1))</f>
        <v>0</v>
      </c>
      <c r="J10" s="39">
        <f>29*J29</f>
        <v>0</v>
      </c>
      <c r="K10" s="39">
        <f>I10+J10</f>
        <v>0</v>
      </c>
      <c r="L10" s="10">
        <f>K10*25</f>
        <v>0</v>
      </c>
      <c r="M10" s="7"/>
    </row>
    <row r="11" spans="2:14" ht="14.7" customHeight="1" thickBot="1" x14ac:dyDescent="0.55000000000000004">
      <c r="B11" s="16" t="s">
        <v>12</v>
      </c>
      <c r="C11" s="14">
        <f>13698 * D30*((0.05*((1.05)^25))/((1.05^25)-1))</f>
        <v>0</v>
      </c>
      <c r="D11" s="14">
        <f>29*D30</f>
        <v>0</v>
      </c>
      <c r="E11" s="14">
        <f>C11+D11</f>
        <v>0</v>
      </c>
      <c r="F11" s="15">
        <f>E11*25</f>
        <v>0</v>
      </c>
      <c r="H11" s="16" t="s">
        <v>12</v>
      </c>
      <c r="I11" s="14">
        <f>1615 * J30*((0.05*((1.05)^25))/((1.05^25)-1))</f>
        <v>0</v>
      </c>
      <c r="J11" s="14">
        <f>29*J30</f>
        <v>0</v>
      </c>
      <c r="K11" s="14">
        <f>I11+J11</f>
        <v>0</v>
      </c>
      <c r="L11" s="13">
        <f>K11*25</f>
        <v>0</v>
      </c>
    </row>
    <row r="12" spans="2:14" ht="14.7" customHeight="1" thickBot="1" x14ac:dyDescent="0.55000000000000004">
      <c r="B12" s="24" t="s">
        <v>13</v>
      </c>
      <c r="C12" s="18" t="s">
        <v>4</v>
      </c>
      <c r="D12" s="18" t="s">
        <v>5</v>
      </c>
      <c r="E12" s="18" t="s">
        <v>6</v>
      </c>
      <c r="F12" s="19" t="s">
        <v>7</v>
      </c>
      <c r="H12" s="24" t="s">
        <v>13</v>
      </c>
      <c r="I12" s="18" t="s">
        <v>4</v>
      </c>
      <c r="J12" s="18" t="s">
        <v>5</v>
      </c>
      <c r="K12" s="18" t="s">
        <v>6</v>
      </c>
      <c r="L12" s="19" t="s">
        <v>7</v>
      </c>
    </row>
    <row r="13" spans="2:14" x14ac:dyDescent="0.5">
      <c r="B13" s="3" t="s">
        <v>14</v>
      </c>
      <c r="C13" s="4">
        <f>2490 * D38*((0.05*((1.05)^10))/((1.05^10)-1))</f>
        <v>967399.17499196157</v>
      </c>
      <c r="D13" s="1">
        <f>37.35*D38</f>
        <v>112050</v>
      </c>
      <c r="E13">
        <f>C13+D13</f>
        <v>1079449.1749919616</v>
      </c>
      <c r="F13" s="9">
        <f>E13*25</f>
        <v>26986229.374799039</v>
      </c>
      <c r="H13" s="3" t="s">
        <v>14</v>
      </c>
      <c r="I13" s="4">
        <f>2490 * J38*((0.05*((1.05)^10))/((1.05^10)-1))</f>
        <v>1612331.9583199359</v>
      </c>
      <c r="J13" s="1">
        <f>37.35*J38</f>
        <v>186750</v>
      </c>
      <c r="K13" s="39">
        <f>I13+J13</f>
        <v>1799081.9583199359</v>
      </c>
      <c r="L13" s="10">
        <f>K13*25</f>
        <v>44977048.957998395</v>
      </c>
    </row>
    <row r="14" spans="2:14" x14ac:dyDescent="0.5">
      <c r="B14" s="3" t="s">
        <v>15</v>
      </c>
      <c r="C14" s="4">
        <f>1570 * D39*((0.05*((1.05)^10))/((1.05^10)-1))</f>
        <v>0</v>
      </c>
      <c r="D14" s="1">
        <f>23.55*D39</f>
        <v>0</v>
      </c>
      <c r="E14">
        <f>C14+D14</f>
        <v>0</v>
      </c>
      <c r="F14" s="9">
        <f>E14*25</f>
        <v>0</v>
      </c>
      <c r="H14" s="3" t="s">
        <v>15</v>
      </c>
      <c r="I14" s="4">
        <f>1570 * J39*((0.05*((1.05)^10))/((1.05^10)-1))</f>
        <v>0</v>
      </c>
      <c r="J14" s="1">
        <f>23.55*J39</f>
        <v>0</v>
      </c>
      <c r="K14" s="38">
        <f>I14+J14</f>
        <v>0</v>
      </c>
      <c r="L14" s="10">
        <f>K14*25</f>
        <v>0</v>
      </c>
    </row>
    <row r="15" spans="2:14" ht="14.7" customHeight="1" thickBot="1" x14ac:dyDescent="0.55000000000000004">
      <c r="B15" s="16" t="s">
        <v>16</v>
      </c>
      <c r="C15" s="5">
        <f>1190 * D40*((0.05*((1.05)^10))/((1.05^10)-1))</f>
        <v>0</v>
      </c>
      <c r="D15" s="2">
        <f>17.85*D40</f>
        <v>0</v>
      </c>
      <c r="E15" s="12">
        <f>C15+D15</f>
        <v>0</v>
      </c>
      <c r="F15" s="13">
        <f>E15*25</f>
        <v>0</v>
      </c>
      <c r="H15" s="16" t="s">
        <v>16</v>
      </c>
      <c r="I15" s="5">
        <f>1190 * J40*((0.05*((1.05)^10))/((1.05^10)-1))</f>
        <v>0</v>
      </c>
      <c r="J15" s="2">
        <f>17.85*J40</f>
        <v>0</v>
      </c>
      <c r="K15" s="12">
        <f>I15+J15</f>
        <v>0</v>
      </c>
      <c r="L15" s="15">
        <f>K15*25</f>
        <v>0</v>
      </c>
    </row>
    <row r="16" spans="2:14" ht="14.7" customHeight="1" thickBot="1" x14ac:dyDescent="0.55000000000000004">
      <c r="B16" s="24" t="s">
        <v>17</v>
      </c>
      <c r="C16" s="18" t="s">
        <v>4</v>
      </c>
      <c r="D16" s="18" t="s">
        <v>5</v>
      </c>
      <c r="E16" s="18" t="s">
        <v>6</v>
      </c>
      <c r="F16" s="19" t="s">
        <v>7</v>
      </c>
      <c r="H16" s="24" t="s">
        <v>17</v>
      </c>
      <c r="I16" s="18" t="s">
        <v>4</v>
      </c>
      <c r="J16" s="18" t="s">
        <v>5</v>
      </c>
      <c r="K16" s="18" t="s">
        <v>6</v>
      </c>
      <c r="L16" s="19" t="s">
        <v>7</v>
      </c>
    </row>
    <row r="17" spans="2:14" ht="14.7" customHeight="1" thickBot="1" x14ac:dyDescent="0.55000000000000004">
      <c r="B17" s="16" t="s">
        <v>18</v>
      </c>
      <c r="C17" s="12">
        <v>50558.222231994718</v>
      </c>
      <c r="D17" s="12">
        <v>63006.719999999987</v>
      </c>
      <c r="E17" s="12">
        <f>D17+C17</f>
        <v>113564.9422319947</v>
      </c>
      <c r="F17" s="13">
        <f>E17*25</f>
        <v>2839123.5557998675</v>
      </c>
      <c r="H17" s="16" t="s">
        <v>18</v>
      </c>
      <c r="I17" s="12">
        <v>50558.222231994718</v>
      </c>
      <c r="J17" s="12">
        <v>63006.719999999987</v>
      </c>
      <c r="K17" s="12">
        <f>J17+I17</f>
        <v>113564.9422319947</v>
      </c>
      <c r="L17" s="15">
        <f>K17*25</f>
        <v>2839123.5557998675</v>
      </c>
    </row>
    <row r="18" spans="2:14" ht="14.7" customHeight="1" thickBot="1" x14ac:dyDescent="0.55000000000000004">
      <c r="B18" s="24" t="s">
        <v>19</v>
      </c>
      <c r="C18" s="18" t="s">
        <v>4</v>
      </c>
      <c r="D18" s="18" t="s">
        <v>5</v>
      </c>
      <c r="E18" s="18" t="s">
        <v>6</v>
      </c>
      <c r="F18" s="19" t="s">
        <v>7</v>
      </c>
      <c r="H18" s="24" t="s">
        <v>20</v>
      </c>
      <c r="I18" s="18" t="s">
        <v>4</v>
      </c>
      <c r="J18" s="18" t="s">
        <v>5</v>
      </c>
      <c r="K18" s="18" t="s">
        <v>6</v>
      </c>
      <c r="L18" s="19" t="s">
        <v>7</v>
      </c>
    </row>
    <row r="19" spans="2:14" ht="14.7" customHeight="1" thickBot="1" x14ac:dyDescent="0.55000000000000004">
      <c r="B19" s="11"/>
      <c r="C19" s="12">
        <f>C48*300*((0.05*((1.05)^20))/((1.05^20)-1))</f>
        <v>2378631.0120936627</v>
      </c>
      <c r="D19" s="12">
        <v>0</v>
      </c>
      <c r="E19" s="12">
        <f>D19+C19</f>
        <v>2378631.0120936627</v>
      </c>
      <c r="F19" s="13">
        <f>E19*25</f>
        <v>59465775.302341565</v>
      </c>
      <c r="H19" s="11"/>
      <c r="I19" s="14">
        <f>(I48/10)*3000*((0.05*((1.05)^20))/((1.05^20)-1))</f>
        <v>406589.18929523288</v>
      </c>
      <c r="J19" s="12">
        <v>0</v>
      </c>
      <c r="K19" s="12">
        <f>J19+I19</f>
        <v>406589.18929523288</v>
      </c>
      <c r="L19" s="15">
        <f>K19*25</f>
        <v>10164729.732380822</v>
      </c>
    </row>
    <row r="20" spans="2:14" ht="14.7" customHeight="1" thickBot="1" x14ac:dyDescent="0.55000000000000004">
      <c r="B20" s="24" t="s">
        <v>21</v>
      </c>
      <c r="C20" s="18" t="s">
        <v>4</v>
      </c>
      <c r="D20" s="18" t="s">
        <v>5</v>
      </c>
      <c r="E20" s="18" t="s">
        <v>6</v>
      </c>
      <c r="F20" s="19" t="s">
        <v>7</v>
      </c>
      <c r="H20" s="24" t="s">
        <v>21</v>
      </c>
      <c r="I20" s="18" t="s">
        <v>4</v>
      </c>
      <c r="J20" s="18" t="s">
        <v>5</v>
      </c>
      <c r="K20" s="18" t="s">
        <v>6</v>
      </c>
      <c r="L20" s="19" t="s">
        <v>7</v>
      </c>
    </row>
    <row r="21" spans="2:14" ht="14.7" customHeight="1" thickBot="1" x14ac:dyDescent="0.55000000000000004">
      <c r="B21" s="11"/>
      <c r="C21" s="12">
        <v>0</v>
      </c>
      <c r="D21" s="12">
        <v>0</v>
      </c>
      <c r="E21" s="12">
        <f>C21+D21</f>
        <v>0</v>
      </c>
      <c r="F21" s="13">
        <f>E21*25</f>
        <v>0</v>
      </c>
      <c r="H21" s="11"/>
      <c r="I21" s="12">
        <v>0</v>
      </c>
      <c r="J21" s="12">
        <v>0</v>
      </c>
      <c r="K21" s="12">
        <f>J21+I21</f>
        <v>0</v>
      </c>
      <c r="L21" s="13">
        <f>K21*25</f>
        <v>0</v>
      </c>
    </row>
    <row r="22" spans="2:14" ht="14.7" customHeight="1" thickBot="1" x14ac:dyDescent="0.55000000000000004">
      <c r="B22" s="17"/>
      <c r="C22" s="18" t="s">
        <v>4</v>
      </c>
      <c r="D22" s="18" t="s">
        <v>5</v>
      </c>
      <c r="E22" s="18" t="s">
        <v>6</v>
      </c>
      <c r="F22" s="19" t="s">
        <v>7</v>
      </c>
      <c r="H22" s="17"/>
      <c r="I22" s="18" t="s">
        <v>4</v>
      </c>
      <c r="J22" s="18" t="s">
        <v>5</v>
      </c>
      <c r="K22" s="18" t="s">
        <v>6</v>
      </c>
      <c r="L22" s="19" t="s">
        <v>7</v>
      </c>
    </row>
    <row r="23" spans="2:14" ht="14.7" customHeight="1" thickBot="1" x14ac:dyDescent="0.55000000000000004">
      <c r="B23" s="24" t="s">
        <v>22</v>
      </c>
      <c r="C23" s="12">
        <v>6698904.8437519483</v>
      </c>
      <c r="D23" s="12">
        <v>273656.71999999997</v>
      </c>
      <c r="E23" s="25">
        <v>6972561.5637519481</v>
      </c>
      <c r="F23" s="13">
        <f>D23*25</f>
        <v>6841417.9999999991</v>
      </c>
      <c r="H23" s="24" t="s">
        <v>22</v>
      </c>
      <c r="I23" s="14">
        <v>2699714.5718075698</v>
      </c>
      <c r="J23" s="14">
        <v>409256.72</v>
      </c>
      <c r="K23" s="14">
        <v>4062917.2247025901</v>
      </c>
      <c r="L23" s="15">
        <f>K23*25</f>
        <v>101572930.61756475</v>
      </c>
      <c r="M23" s="6"/>
    </row>
    <row r="24" spans="2:14" ht="14.7" customHeight="1" thickBot="1" x14ac:dyDescent="0.55000000000000004">
      <c r="B24" s="8"/>
      <c r="F24" s="9"/>
      <c r="H24" s="8"/>
      <c r="I24" s="39"/>
      <c r="J24" s="39"/>
      <c r="K24" s="39"/>
      <c r="L24" s="10"/>
      <c r="M24" s="6"/>
      <c r="N24" s="7"/>
    </row>
    <row r="25" spans="2:14" ht="14.7" customHeight="1" thickBot="1" x14ac:dyDescent="0.55000000000000004">
      <c r="B25" s="29" t="s">
        <v>3</v>
      </c>
      <c r="C25" s="30"/>
      <c r="D25" s="31"/>
      <c r="F25" s="9"/>
      <c r="H25" s="29" t="s">
        <v>3</v>
      </c>
      <c r="I25" s="30"/>
      <c r="J25" s="31"/>
      <c r="K25" s="38"/>
      <c r="L25" s="10"/>
      <c r="M25" s="6"/>
    </row>
    <row r="26" spans="2:14" ht="14.7" customHeight="1" thickBot="1" x14ac:dyDescent="0.55000000000000004">
      <c r="B26" s="17" t="s">
        <v>23</v>
      </c>
      <c r="C26" s="18" t="s">
        <v>24</v>
      </c>
      <c r="D26" s="19" t="s">
        <v>25</v>
      </c>
      <c r="F26" s="9"/>
      <c r="H26" s="17" t="s">
        <v>23</v>
      </c>
      <c r="I26" s="18" t="s">
        <v>24</v>
      </c>
      <c r="J26" s="19" t="s">
        <v>25</v>
      </c>
      <c r="K26" s="38"/>
      <c r="L26" s="10"/>
      <c r="M26" s="6"/>
    </row>
    <row r="27" spans="2:14" x14ac:dyDescent="0.5">
      <c r="B27" s="23" t="s">
        <v>9</v>
      </c>
      <c r="C27">
        <v>34</v>
      </c>
      <c r="D27" s="9">
        <v>3400</v>
      </c>
      <c r="F27" s="9"/>
      <c r="H27" s="8" t="s">
        <v>9</v>
      </c>
      <c r="I27" s="38">
        <v>55</v>
      </c>
      <c r="J27" s="9">
        <v>5500</v>
      </c>
      <c r="K27" s="38"/>
      <c r="L27" s="9"/>
    </row>
    <row r="28" spans="2:14" x14ac:dyDescent="0.5">
      <c r="B28" s="3" t="s">
        <v>10</v>
      </c>
      <c r="C28">
        <v>0</v>
      </c>
      <c r="D28" s="9">
        <v>0</v>
      </c>
      <c r="F28" s="9"/>
      <c r="H28" s="8" t="s">
        <v>10</v>
      </c>
      <c r="I28" s="38">
        <v>0</v>
      </c>
      <c r="J28" s="9">
        <v>0</v>
      </c>
      <c r="K28" s="38"/>
      <c r="L28" s="9"/>
    </row>
    <row r="29" spans="2:14" x14ac:dyDescent="0.5">
      <c r="B29" s="3" t="s">
        <v>11</v>
      </c>
      <c r="C29">
        <v>0</v>
      </c>
      <c r="D29" s="9">
        <v>0</v>
      </c>
      <c r="F29" s="9"/>
      <c r="H29" s="8" t="s">
        <v>11</v>
      </c>
      <c r="I29" s="38">
        <v>0</v>
      </c>
      <c r="J29" s="9">
        <v>0</v>
      </c>
      <c r="K29" s="38"/>
      <c r="L29" s="9"/>
    </row>
    <row r="30" spans="2:14" x14ac:dyDescent="0.5">
      <c r="B30" s="3" t="s">
        <v>12</v>
      </c>
      <c r="C30">
        <v>0</v>
      </c>
      <c r="D30" s="9">
        <v>0</v>
      </c>
      <c r="F30" s="9"/>
      <c r="H30" s="8" t="s">
        <v>12</v>
      </c>
      <c r="I30" s="38">
        <v>0</v>
      </c>
      <c r="J30" s="9">
        <v>0</v>
      </c>
      <c r="K30" s="38"/>
      <c r="L30" s="9"/>
    </row>
    <row r="31" spans="2:14" ht="14.7" customHeight="1" thickBot="1" x14ac:dyDescent="0.55000000000000004">
      <c r="B31" s="16" t="s">
        <v>26</v>
      </c>
      <c r="C31" s="12">
        <v>34</v>
      </c>
      <c r="D31" s="13">
        <v>3400</v>
      </c>
      <c r="F31" s="9"/>
      <c r="H31" s="11" t="s">
        <v>26</v>
      </c>
      <c r="I31" s="12">
        <v>55</v>
      </c>
      <c r="J31" s="13">
        <v>5500</v>
      </c>
      <c r="K31" s="38"/>
      <c r="L31" s="9"/>
    </row>
    <row r="32" spans="2:14" ht="14.7" customHeight="1" thickBot="1" x14ac:dyDescent="0.55000000000000004">
      <c r="B32" s="8"/>
      <c r="F32" s="9"/>
      <c r="H32" s="8"/>
      <c r="I32" s="38"/>
      <c r="J32" s="38"/>
      <c r="K32" s="38"/>
      <c r="L32" s="9"/>
    </row>
    <row r="33" spans="2:12" ht="14.7" customHeight="1" thickBot="1" x14ac:dyDescent="0.55000000000000004">
      <c r="B33" s="29" t="s">
        <v>21</v>
      </c>
      <c r="C33" s="31"/>
      <c r="F33" s="9"/>
      <c r="H33" s="29" t="s">
        <v>21</v>
      </c>
      <c r="I33" s="31"/>
      <c r="J33" s="38"/>
      <c r="K33" s="38"/>
      <c r="L33" s="9"/>
    </row>
    <row r="34" spans="2:12" ht="14.7" customHeight="1" thickBot="1" x14ac:dyDescent="0.55000000000000004">
      <c r="B34" s="24" t="s">
        <v>25</v>
      </c>
      <c r="C34" s="13">
        <v>0</v>
      </c>
      <c r="F34" s="9"/>
      <c r="H34" s="24" t="s">
        <v>25</v>
      </c>
      <c r="I34" s="13">
        <v>0</v>
      </c>
      <c r="J34" s="38"/>
      <c r="K34" s="38"/>
      <c r="L34" s="9"/>
    </row>
    <row r="35" spans="2:12" ht="14.7" customHeight="1" thickBot="1" x14ac:dyDescent="0.55000000000000004">
      <c r="B35" s="8"/>
      <c r="F35" s="9"/>
      <c r="H35" s="8"/>
      <c r="I35" s="38"/>
      <c r="J35" s="38"/>
      <c r="K35" s="38"/>
      <c r="L35" s="9"/>
    </row>
    <row r="36" spans="2:12" ht="14.7" customHeight="1" thickBot="1" x14ac:dyDescent="0.55000000000000004">
      <c r="B36" s="29" t="s">
        <v>13</v>
      </c>
      <c r="C36" s="30"/>
      <c r="D36" s="31"/>
      <c r="F36" s="9"/>
      <c r="H36" s="29" t="s">
        <v>13</v>
      </c>
      <c r="I36" s="30"/>
      <c r="J36" s="31"/>
      <c r="K36" s="38"/>
      <c r="L36" s="9"/>
    </row>
    <row r="37" spans="2:12" ht="14.7" customHeight="1" thickBot="1" x14ac:dyDescent="0.55000000000000004">
      <c r="B37" s="24" t="s">
        <v>23</v>
      </c>
      <c r="C37" s="18" t="s">
        <v>24</v>
      </c>
      <c r="D37" s="19" t="s">
        <v>25</v>
      </c>
      <c r="F37" s="9"/>
      <c r="H37" s="17" t="s">
        <v>23</v>
      </c>
      <c r="I37" s="18" t="s">
        <v>24</v>
      </c>
      <c r="J37" s="19" t="s">
        <v>25</v>
      </c>
      <c r="K37" s="38"/>
      <c r="L37" s="9"/>
    </row>
    <row r="38" spans="2:12" x14ac:dyDescent="0.5">
      <c r="B38" s="23" t="s">
        <v>14</v>
      </c>
      <c r="C38">
        <v>3</v>
      </c>
      <c r="D38" s="9">
        <v>3000</v>
      </c>
      <c r="F38" s="9"/>
      <c r="H38" s="23" t="s">
        <v>14</v>
      </c>
      <c r="I38" s="38">
        <v>5</v>
      </c>
      <c r="J38" s="9">
        <v>5000</v>
      </c>
      <c r="K38" s="38"/>
      <c r="L38" s="9"/>
    </row>
    <row r="39" spans="2:12" x14ac:dyDescent="0.5">
      <c r="B39" s="3" t="s">
        <v>15</v>
      </c>
      <c r="C39">
        <v>0</v>
      </c>
      <c r="D39" s="9">
        <v>0</v>
      </c>
      <c r="F39" s="9"/>
      <c r="H39" s="3" t="s">
        <v>15</v>
      </c>
      <c r="I39" s="38">
        <v>0</v>
      </c>
      <c r="J39" s="9">
        <v>0</v>
      </c>
      <c r="K39" s="38"/>
      <c r="L39" s="9"/>
    </row>
    <row r="40" spans="2:12" x14ac:dyDescent="0.5">
      <c r="B40" s="3" t="s">
        <v>16</v>
      </c>
      <c r="C40">
        <v>0</v>
      </c>
      <c r="D40" s="9">
        <v>0</v>
      </c>
      <c r="F40" s="9"/>
      <c r="H40" s="3" t="s">
        <v>16</v>
      </c>
      <c r="I40" s="38">
        <v>0</v>
      </c>
      <c r="J40" s="9">
        <v>0</v>
      </c>
      <c r="K40" s="38"/>
      <c r="L40" s="9"/>
    </row>
    <row r="41" spans="2:12" ht="14.7" customHeight="1" thickBot="1" x14ac:dyDescent="0.55000000000000004">
      <c r="B41" s="16" t="s">
        <v>26</v>
      </c>
      <c r="C41" s="12">
        <v>3</v>
      </c>
      <c r="D41" s="13">
        <v>3000</v>
      </c>
      <c r="F41" s="9"/>
      <c r="H41" s="16" t="s">
        <v>26</v>
      </c>
      <c r="I41" s="12">
        <v>5</v>
      </c>
      <c r="J41" s="13">
        <v>5000</v>
      </c>
      <c r="K41" s="38"/>
      <c r="L41" s="9"/>
    </row>
    <row r="42" spans="2:12" ht="14.7" customHeight="1" thickBot="1" x14ac:dyDescent="0.55000000000000004">
      <c r="B42" s="8"/>
      <c r="F42" s="9"/>
      <c r="H42" s="8"/>
      <c r="I42" s="38"/>
      <c r="J42" s="38"/>
      <c r="K42" s="38"/>
      <c r="L42" s="9"/>
    </row>
    <row r="43" spans="2:12" ht="14.7" customHeight="1" thickBot="1" x14ac:dyDescent="0.55000000000000004">
      <c r="B43" s="29" t="s">
        <v>27</v>
      </c>
      <c r="C43" s="30"/>
      <c r="D43" s="31"/>
      <c r="F43" s="9"/>
      <c r="H43" s="29" t="s">
        <v>27</v>
      </c>
      <c r="I43" s="30"/>
      <c r="J43" s="31"/>
      <c r="K43" s="38"/>
      <c r="L43" s="9"/>
    </row>
    <row r="44" spans="2:12" ht="14.7" customHeight="1" thickBot="1" x14ac:dyDescent="0.55000000000000004">
      <c r="B44" s="24" t="s">
        <v>23</v>
      </c>
      <c r="C44" s="18" t="s">
        <v>24</v>
      </c>
      <c r="D44" s="19" t="s">
        <v>25</v>
      </c>
      <c r="F44" s="9"/>
      <c r="H44" s="17" t="s">
        <v>23</v>
      </c>
      <c r="I44" s="18" t="s">
        <v>24</v>
      </c>
      <c r="J44" s="19" t="s">
        <v>25</v>
      </c>
      <c r="K44" s="38"/>
      <c r="L44" s="9"/>
    </row>
    <row r="45" spans="2:12" ht="14.7" customHeight="1" thickBot="1" x14ac:dyDescent="0.55000000000000004">
      <c r="B45" s="24" t="s">
        <v>18</v>
      </c>
      <c r="C45" s="12">
        <v>224</v>
      </c>
      <c r="D45" s="13">
        <v>3937.92</v>
      </c>
      <c r="F45" s="9"/>
      <c r="H45" s="24" t="s">
        <v>18</v>
      </c>
      <c r="I45" s="12">
        <v>224</v>
      </c>
      <c r="J45" s="13">
        <v>3937.92</v>
      </c>
      <c r="K45" s="38"/>
      <c r="L45" s="9"/>
    </row>
    <row r="46" spans="2:12" ht="14.7" customHeight="1" thickBot="1" x14ac:dyDescent="0.55000000000000004">
      <c r="B46" s="8"/>
      <c r="F46" s="9"/>
      <c r="H46" s="8"/>
      <c r="I46" s="38"/>
      <c r="J46" s="38"/>
      <c r="K46" s="38"/>
      <c r="L46" s="9"/>
    </row>
    <row r="47" spans="2:12" ht="14.7" customHeight="1" thickBot="1" x14ac:dyDescent="0.55000000000000004">
      <c r="B47" s="29" t="s">
        <v>28</v>
      </c>
      <c r="C47" s="31"/>
      <c r="F47" s="9"/>
      <c r="H47" s="29" t="s">
        <v>28</v>
      </c>
      <c r="I47" s="31"/>
      <c r="J47" s="38"/>
      <c r="K47" s="38"/>
      <c r="L47" s="9"/>
    </row>
    <row r="48" spans="2:12" ht="14.7" customHeight="1" thickBot="1" x14ac:dyDescent="0.55000000000000004">
      <c r="B48" s="11" t="s">
        <v>29</v>
      </c>
      <c r="C48" s="13">
        <v>98810</v>
      </c>
      <c r="F48" s="9"/>
      <c r="H48" s="24" t="s">
        <v>29</v>
      </c>
      <c r="I48" s="13">
        <v>16890</v>
      </c>
      <c r="J48" s="38"/>
      <c r="K48" s="38"/>
      <c r="L48" s="9"/>
    </row>
    <row r="49" spans="2:12" ht="14.7" customHeight="1" thickBot="1" x14ac:dyDescent="0.55000000000000004">
      <c r="B49" s="8"/>
      <c r="F49" s="9"/>
      <c r="H49" s="8"/>
      <c r="I49" s="38"/>
      <c r="J49" s="38"/>
      <c r="K49" s="38"/>
      <c r="L49" s="9"/>
    </row>
    <row r="50" spans="2:12" ht="14.7" customHeight="1" thickBot="1" x14ac:dyDescent="0.55000000000000004">
      <c r="B50" s="29" t="s">
        <v>30</v>
      </c>
      <c r="C50" s="30"/>
      <c r="D50" s="31"/>
      <c r="F50" s="9"/>
      <c r="H50" s="35" t="s">
        <v>30</v>
      </c>
      <c r="I50" s="36"/>
      <c r="J50" s="37"/>
      <c r="K50" s="38"/>
      <c r="L50" s="9"/>
    </row>
    <row r="51" spans="2:12" ht="14.7" customHeight="1" thickBot="1" x14ac:dyDescent="0.55000000000000004">
      <c r="B51" s="11" t="s">
        <v>31</v>
      </c>
      <c r="C51" s="12" t="s">
        <v>32</v>
      </c>
      <c r="D51" s="13" t="s">
        <v>33</v>
      </c>
      <c r="F51" s="9"/>
      <c r="H51" s="24" t="s">
        <v>31</v>
      </c>
      <c r="I51" s="18" t="s">
        <v>61</v>
      </c>
      <c r="J51" s="21" t="s">
        <v>33</v>
      </c>
      <c r="K51" s="38"/>
      <c r="L51" s="9"/>
    </row>
    <row r="52" spans="2:12" ht="14.7" customHeight="1" x14ac:dyDescent="0.5">
      <c r="B52" s="23" t="s">
        <v>34</v>
      </c>
      <c r="C52" s="26">
        <v>6005915.7414901797</v>
      </c>
      <c r="D52" s="27">
        <f>C52*25</f>
        <v>150147893.53725448</v>
      </c>
      <c r="F52" s="9"/>
      <c r="H52" s="3" t="s">
        <v>34</v>
      </c>
      <c r="I52" s="40">
        <v>5714865.7309369203</v>
      </c>
      <c r="J52" s="27">
        <f>I52*25</f>
        <v>142871643.27342302</v>
      </c>
      <c r="K52" s="38"/>
      <c r="L52" s="9"/>
    </row>
    <row r="53" spans="2:12" ht="14.7" customHeight="1" thickBot="1" x14ac:dyDescent="0.55000000000000004">
      <c r="B53" s="16" t="s">
        <v>35</v>
      </c>
      <c r="C53" s="25">
        <v>3861845.003912014</v>
      </c>
      <c r="D53" s="28">
        <f>C53*25</f>
        <v>96546125.097800344</v>
      </c>
      <c r="F53" s="9"/>
      <c r="H53" s="16" t="s">
        <v>35</v>
      </c>
      <c r="I53" s="25">
        <v>884776.93165571708</v>
      </c>
      <c r="J53" s="28">
        <f>I53*25</f>
        <v>22119423.291392926</v>
      </c>
      <c r="K53" s="38"/>
      <c r="L53" s="9"/>
    </row>
    <row r="54" spans="2:12" ht="14.7" customHeight="1" thickBot="1" x14ac:dyDescent="0.55000000000000004">
      <c r="B54" s="8"/>
      <c r="F54" s="9"/>
      <c r="H54" s="8"/>
      <c r="I54" s="39"/>
      <c r="J54" s="10"/>
      <c r="K54" s="38"/>
      <c r="L54" s="9"/>
    </row>
    <row r="55" spans="2:12" ht="14.7" customHeight="1" thickBot="1" x14ac:dyDescent="0.55000000000000004">
      <c r="B55" s="29" t="s">
        <v>36</v>
      </c>
      <c r="C55" s="30"/>
      <c r="D55" s="31"/>
      <c r="F55" s="9"/>
      <c r="H55" s="35" t="s">
        <v>36</v>
      </c>
      <c r="I55" s="36"/>
      <c r="J55" s="37"/>
      <c r="K55" s="38"/>
      <c r="L55" s="9"/>
    </row>
    <row r="56" spans="2:12" ht="14.7" customHeight="1" thickBot="1" x14ac:dyDescent="0.55000000000000004">
      <c r="B56" s="11" t="s">
        <v>31</v>
      </c>
      <c r="C56" s="12" t="s">
        <v>32</v>
      </c>
      <c r="D56" s="13" t="s">
        <v>33</v>
      </c>
      <c r="F56" s="9"/>
      <c r="H56" s="24" t="s">
        <v>31</v>
      </c>
      <c r="I56" s="20">
        <v>1552185.7540816299</v>
      </c>
      <c r="J56" s="21" t="s">
        <v>33</v>
      </c>
      <c r="K56" s="38"/>
      <c r="L56" s="9"/>
    </row>
    <row r="57" spans="2:12" ht="14.7" customHeight="1" thickBot="1" x14ac:dyDescent="0.55000000000000004">
      <c r="B57" s="23" t="s">
        <v>34</v>
      </c>
      <c r="C57">
        <v>1631236.3742318901</v>
      </c>
      <c r="D57" s="9">
        <f>C57*25</f>
        <v>40780909.355797254</v>
      </c>
      <c r="F57" s="9"/>
      <c r="H57" s="16" t="s">
        <v>34</v>
      </c>
      <c r="I57" s="14">
        <v>350971.12015193998</v>
      </c>
      <c r="J57" s="15">
        <f>I57*25</f>
        <v>8774278.0037984997</v>
      </c>
      <c r="K57" s="38"/>
      <c r="L57" s="9"/>
    </row>
    <row r="58" spans="2:12" ht="14.7" customHeight="1" thickBot="1" x14ac:dyDescent="0.55000000000000004">
      <c r="B58" s="16" t="s">
        <v>35</v>
      </c>
      <c r="C58" s="12">
        <v>1696059.6226950991</v>
      </c>
      <c r="D58" s="13">
        <f>C58*25</f>
        <v>42401490.567377478</v>
      </c>
      <c r="F58" s="9"/>
      <c r="H58" s="8" t="s">
        <v>35</v>
      </c>
      <c r="I58" s="12">
        <v>884776.93165571708</v>
      </c>
      <c r="J58" s="38">
        <f>I58*25</f>
        <v>22119423.291392926</v>
      </c>
      <c r="K58" s="38"/>
      <c r="L58" s="9"/>
    </row>
    <row r="59" spans="2:12" ht="14.7" customHeight="1" thickBot="1" x14ac:dyDescent="0.55000000000000004">
      <c r="B59" s="8"/>
      <c r="F59" s="9"/>
      <c r="H59" s="8"/>
      <c r="I59" s="38"/>
      <c r="J59" s="38"/>
      <c r="K59" s="38"/>
      <c r="L59" s="9"/>
    </row>
    <row r="60" spans="2:12" ht="14.7" customHeight="1" thickBot="1" x14ac:dyDescent="0.55000000000000004">
      <c r="B60" s="29" t="s">
        <v>37</v>
      </c>
      <c r="C60" s="31"/>
      <c r="F60" s="9"/>
      <c r="H60" s="29" t="s">
        <v>38</v>
      </c>
      <c r="I60" s="31"/>
      <c r="J60" s="38"/>
      <c r="K60" s="38"/>
      <c r="L60" s="9"/>
    </row>
    <row r="61" spans="2:12" ht="14.7" customHeight="1" thickBot="1" x14ac:dyDescent="0.55000000000000004">
      <c r="B61" s="24" t="s">
        <v>39</v>
      </c>
      <c r="C61" s="13">
        <v>888478.63308879395</v>
      </c>
      <c r="F61" s="9"/>
      <c r="H61" s="24" t="s">
        <v>39</v>
      </c>
      <c r="I61" s="13">
        <v>151924.885353922</v>
      </c>
      <c r="J61" s="38"/>
      <c r="K61" s="38"/>
      <c r="L61" s="9"/>
    </row>
    <row r="62" spans="2:12" ht="14.7" customHeight="1" thickBot="1" x14ac:dyDescent="0.55000000000000004">
      <c r="B62" s="8"/>
      <c r="F62" s="9"/>
      <c r="H62" s="8"/>
      <c r="I62" s="38"/>
      <c r="J62" s="38"/>
      <c r="K62" s="38"/>
      <c r="L62" s="9"/>
    </row>
    <row r="63" spans="2:12" ht="14.7" customHeight="1" thickBot="1" x14ac:dyDescent="0.55000000000000004">
      <c r="B63" s="29" t="s">
        <v>40</v>
      </c>
      <c r="C63" s="31"/>
      <c r="F63" s="9"/>
      <c r="H63" s="29" t="s">
        <v>40</v>
      </c>
      <c r="I63" s="31"/>
      <c r="J63" s="38"/>
      <c r="K63" s="38"/>
      <c r="L63" s="9"/>
    </row>
    <row r="64" spans="2:12" ht="14.7" customHeight="1" thickBot="1" x14ac:dyDescent="0.55000000000000004">
      <c r="B64" s="29">
        <f>E23/B70</f>
        <v>1.1213106151296317</v>
      </c>
      <c r="C64" s="31"/>
      <c r="F64" s="9"/>
      <c r="H64" s="29">
        <f>K23/B70</f>
        <v>0.65338859625651791</v>
      </c>
      <c r="I64" s="31"/>
      <c r="J64" s="38"/>
      <c r="K64" s="38"/>
      <c r="L64" s="9"/>
    </row>
    <row r="65" spans="2:12" x14ac:dyDescent="0.5">
      <c r="B65" s="8"/>
      <c r="F65" s="9"/>
      <c r="H65" s="8"/>
      <c r="I65" s="38"/>
      <c r="J65" s="38"/>
      <c r="K65" s="38"/>
      <c r="L65" s="9"/>
    </row>
    <row r="66" spans="2:12" ht="14.7" customHeight="1" thickBot="1" x14ac:dyDescent="0.55000000000000004">
      <c r="B66" s="11"/>
      <c r="C66" s="12"/>
      <c r="D66" s="12"/>
      <c r="E66" s="12"/>
      <c r="F66" s="13"/>
      <c r="G66" s="12"/>
      <c r="H66" s="11"/>
      <c r="I66" s="12"/>
      <c r="J66" s="12"/>
      <c r="K66" s="12"/>
      <c r="L66" s="13"/>
    </row>
    <row r="67" spans="2:12" ht="14.7" customHeight="1" thickBot="1" x14ac:dyDescent="0.55000000000000004">
      <c r="B67" s="11"/>
      <c r="C67" s="12"/>
      <c r="L67" s="9"/>
    </row>
    <row r="68" spans="2:12" ht="14.7" customHeight="1" thickBot="1" x14ac:dyDescent="0.55000000000000004">
      <c r="B68" s="32" t="s">
        <v>41</v>
      </c>
      <c r="C68" s="33"/>
      <c r="L68" s="9"/>
    </row>
    <row r="69" spans="2:12" ht="14.7" customHeight="1" thickBot="1" x14ac:dyDescent="0.55000000000000004">
      <c r="B69" s="17" t="s">
        <v>42</v>
      </c>
      <c r="C69" s="19" t="s">
        <v>43</v>
      </c>
      <c r="L69" s="9"/>
    </row>
    <row r="70" spans="2:12" ht="14.7" customHeight="1" thickBot="1" x14ac:dyDescent="0.55000000000000004">
      <c r="B70" s="11">
        <f>C108</f>
        <v>6218224.8787022047</v>
      </c>
      <c r="C70" s="13">
        <f>D108</f>
        <v>155455621.96755511</v>
      </c>
      <c r="D70" s="12"/>
      <c r="E70" s="12"/>
      <c r="F70" s="12"/>
      <c r="G70" s="12"/>
      <c r="H70" s="12"/>
      <c r="I70" s="12"/>
      <c r="J70" s="12"/>
      <c r="K70" s="12"/>
      <c r="L70" s="13"/>
    </row>
    <row r="71" spans="2:12" ht="14.7" customHeight="1" thickBot="1" x14ac:dyDescent="0.55000000000000004"/>
    <row r="72" spans="2:12" ht="14.7" customHeight="1" thickBot="1" x14ac:dyDescent="0.55000000000000004">
      <c r="B72" s="29" t="s">
        <v>44</v>
      </c>
      <c r="C72" s="30"/>
      <c r="D72" s="30"/>
      <c r="E72" s="30"/>
      <c r="F72" s="31"/>
    </row>
    <row r="73" spans="2:12" ht="14.7" customHeight="1" thickBot="1" x14ac:dyDescent="0.55000000000000004">
      <c r="B73" s="29" t="s">
        <v>45</v>
      </c>
      <c r="C73" s="30"/>
      <c r="D73" s="30"/>
      <c r="E73" s="30"/>
      <c r="F73" s="31"/>
    </row>
    <row r="74" spans="2:12" ht="14.7" customHeight="1" thickBot="1" x14ac:dyDescent="0.55000000000000004">
      <c r="B74" s="24" t="s">
        <v>46</v>
      </c>
      <c r="C74" s="18" t="s">
        <v>4</v>
      </c>
      <c r="D74" s="18" t="s">
        <v>5</v>
      </c>
      <c r="E74" s="18" t="s">
        <v>6</v>
      </c>
      <c r="F74" s="19" t="s">
        <v>7</v>
      </c>
    </row>
    <row r="75" spans="2:12" x14ac:dyDescent="0.5">
      <c r="B75" s="23" t="s">
        <v>9</v>
      </c>
      <c r="C75">
        <v>38314.326941583982</v>
      </c>
      <c r="D75">
        <v>89400</v>
      </c>
      <c r="E75">
        <f>C75+D75</f>
        <v>127714.32694158397</v>
      </c>
      <c r="F75" s="9">
        <f>E75*25</f>
        <v>3192858.1735395994</v>
      </c>
    </row>
    <row r="76" spans="2:12" x14ac:dyDescent="0.5">
      <c r="B76" s="3" t="s">
        <v>10</v>
      </c>
      <c r="C76">
        <v>0</v>
      </c>
      <c r="D76">
        <v>0</v>
      </c>
      <c r="E76">
        <f>C76+D76</f>
        <v>0</v>
      </c>
      <c r="F76" s="9">
        <f>E76*25</f>
        <v>0</v>
      </c>
    </row>
    <row r="77" spans="2:12" x14ac:dyDescent="0.5">
      <c r="B77" s="3" t="s">
        <v>14</v>
      </c>
      <c r="C77">
        <v>0</v>
      </c>
      <c r="D77">
        <v>0</v>
      </c>
      <c r="E77">
        <f>C77+D77</f>
        <v>0</v>
      </c>
      <c r="F77" s="9">
        <f>E77*25</f>
        <v>0</v>
      </c>
    </row>
    <row r="78" spans="2:12" x14ac:dyDescent="0.5">
      <c r="B78" s="3" t="s">
        <v>47</v>
      </c>
      <c r="C78">
        <v>0</v>
      </c>
      <c r="D78">
        <v>0</v>
      </c>
      <c r="E78">
        <f>C78+D78</f>
        <v>0</v>
      </c>
      <c r="F78" s="9">
        <f>E78*25</f>
        <v>0</v>
      </c>
    </row>
    <row r="79" spans="2:12" ht="14.7" customHeight="1" thickBot="1" x14ac:dyDescent="0.55000000000000004">
      <c r="B79" s="16" t="s">
        <v>48</v>
      </c>
      <c r="C79" s="12"/>
      <c r="D79" s="12"/>
      <c r="E79">
        <f>C79+D79</f>
        <v>0</v>
      </c>
      <c r="F79" s="9">
        <f>E79*25</f>
        <v>0</v>
      </c>
    </row>
    <row r="80" spans="2:12" ht="14.7" customHeight="1" thickBot="1" x14ac:dyDescent="0.55000000000000004">
      <c r="B80" s="17" t="s">
        <v>49</v>
      </c>
      <c r="C80" s="18" t="s">
        <v>4</v>
      </c>
      <c r="D80" s="18" t="s">
        <v>5</v>
      </c>
      <c r="E80" s="18" t="s">
        <v>6</v>
      </c>
      <c r="F80" s="19" t="s">
        <v>7</v>
      </c>
    </row>
    <row r="81" spans="2:6" x14ac:dyDescent="0.5">
      <c r="B81" s="23" t="s">
        <v>18</v>
      </c>
      <c r="C81">
        <v>50558.222231994718</v>
      </c>
      <c r="D81">
        <v>63006.719999999987</v>
      </c>
      <c r="E81">
        <f>C81+D81</f>
        <v>113564.9422319947</v>
      </c>
      <c r="F81" s="9">
        <f>E81*25</f>
        <v>2839123.5557998675</v>
      </c>
    </row>
    <row r="82" spans="2:6" ht="14.7" customHeight="1" thickBot="1" x14ac:dyDescent="0.55000000000000004">
      <c r="B82" s="16" t="s">
        <v>50</v>
      </c>
      <c r="C82" s="12"/>
      <c r="D82" s="12"/>
      <c r="E82">
        <f>C82+D82</f>
        <v>0</v>
      </c>
      <c r="F82" s="9">
        <f>E82*25</f>
        <v>0</v>
      </c>
    </row>
    <row r="83" spans="2:6" ht="14.7" customHeight="1" thickBot="1" x14ac:dyDescent="0.55000000000000004">
      <c r="B83" s="17"/>
      <c r="C83" s="18" t="s">
        <v>4</v>
      </c>
      <c r="D83" s="18" t="s">
        <v>5</v>
      </c>
      <c r="E83" s="18" t="s">
        <v>6</v>
      </c>
      <c r="F83" s="19" t="s">
        <v>7</v>
      </c>
    </row>
    <row r="84" spans="2:6" ht="14.7" customHeight="1" thickBot="1" x14ac:dyDescent="0.55000000000000004">
      <c r="B84" s="24" t="s">
        <v>22</v>
      </c>
      <c r="C84" s="12">
        <v>88872.549173578707</v>
      </c>
      <c r="D84" s="12">
        <v>5126271.4734645011</v>
      </c>
      <c r="E84" s="12">
        <v>5215144.0226380797</v>
      </c>
      <c r="F84" s="13">
        <f>E84*25</f>
        <v>130378600.56595199</v>
      </c>
    </row>
    <row r="85" spans="2:6" ht="14.7" customHeight="1" thickBot="1" x14ac:dyDescent="0.55000000000000004">
      <c r="B85" s="8"/>
      <c r="F85" s="9"/>
    </row>
    <row r="86" spans="2:6" ht="14.7" customHeight="1" thickBot="1" x14ac:dyDescent="0.55000000000000004">
      <c r="B86" s="29" t="s">
        <v>46</v>
      </c>
      <c r="C86" s="30"/>
      <c r="D86" s="31"/>
      <c r="F86" s="9"/>
    </row>
    <row r="87" spans="2:6" ht="14.7" customHeight="1" thickBot="1" x14ac:dyDescent="0.55000000000000004">
      <c r="B87" s="24" t="s">
        <v>23</v>
      </c>
      <c r="C87" s="18" t="s">
        <v>24</v>
      </c>
      <c r="D87" s="19" t="s">
        <v>25</v>
      </c>
      <c r="F87" s="9"/>
    </row>
    <row r="88" spans="2:6" x14ac:dyDescent="0.5">
      <c r="B88" s="23" t="s">
        <v>9</v>
      </c>
      <c r="C88">
        <v>6</v>
      </c>
      <c r="D88" s="9">
        <v>600</v>
      </c>
      <c r="F88" s="9"/>
    </row>
    <row r="89" spans="2:6" x14ac:dyDescent="0.5">
      <c r="B89" s="3" t="s">
        <v>10</v>
      </c>
      <c r="C89">
        <v>0</v>
      </c>
      <c r="D89" s="9">
        <v>0</v>
      </c>
      <c r="F89" s="9"/>
    </row>
    <row r="90" spans="2:6" x14ac:dyDescent="0.5">
      <c r="B90" s="3" t="s">
        <v>14</v>
      </c>
      <c r="C90">
        <v>0</v>
      </c>
      <c r="D90" s="9">
        <v>0</v>
      </c>
      <c r="F90" s="9"/>
    </row>
    <row r="91" spans="2:6" x14ac:dyDescent="0.5">
      <c r="B91" s="3" t="s">
        <v>47</v>
      </c>
      <c r="C91">
        <v>0</v>
      </c>
      <c r="D91" s="9">
        <v>0</v>
      </c>
      <c r="F91" s="9"/>
    </row>
    <row r="92" spans="2:6" ht="14.7" customHeight="1" thickBot="1" x14ac:dyDescent="0.55000000000000004">
      <c r="B92" s="16" t="s">
        <v>26</v>
      </c>
      <c r="C92" s="12">
        <v>6</v>
      </c>
      <c r="D92" s="13">
        <v>600</v>
      </c>
      <c r="F92" s="9"/>
    </row>
    <row r="93" spans="2:6" ht="14.7" customHeight="1" thickBot="1" x14ac:dyDescent="0.55000000000000004">
      <c r="B93" s="8"/>
      <c r="F93" s="9"/>
    </row>
    <row r="94" spans="2:6" ht="14.7" customHeight="1" thickBot="1" x14ac:dyDescent="0.55000000000000004">
      <c r="B94" s="29" t="s">
        <v>51</v>
      </c>
      <c r="C94" s="30"/>
      <c r="D94" s="31"/>
      <c r="F94" s="9"/>
    </row>
    <row r="95" spans="2:6" ht="14.7" customHeight="1" thickBot="1" x14ac:dyDescent="0.55000000000000004">
      <c r="B95" s="17" t="s">
        <v>23</v>
      </c>
      <c r="C95" s="18" t="s">
        <v>24</v>
      </c>
      <c r="D95" s="19" t="s">
        <v>25</v>
      </c>
      <c r="F95" s="9"/>
    </row>
    <row r="96" spans="2:6" ht="14.7" customHeight="1" thickBot="1" x14ac:dyDescent="0.55000000000000004">
      <c r="B96" s="24" t="s">
        <v>18</v>
      </c>
      <c r="C96" s="12">
        <v>224</v>
      </c>
      <c r="D96" s="13">
        <v>3937.92</v>
      </c>
      <c r="F96" s="9"/>
    </row>
    <row r="97" spans="2:6" ht="14.7" customHeight="1" thickBot="1" x14ac:dyDescent="0.55000000000000004">
      <c r="B97" s="8"/>
      <c r="F97" s="9"/>
    </row>
    <row r="98" spans="2:6" ht="14.7" customHeight="1" thickBot="1" x14ac:dyDescent="0.55000000000000004">
      <c r="B98" s="29" t="s">
        <v>52</v>
      </c>
      <c r="C98" s="30"/>
      <c r="D98" s="31"/>
      <c r="F98" s="9"/>
    </row>
    <row r="99" spans="2:6" ht="14.7" customHeight="1" thickBot="1" x14ac:dyDescent="0.55000000000000004">
      <c r="B99" s="17" t="s">
        <v>53</v>
      </c>
      <c r="C99" s="18" t="s">
        <v>54</v>
      </c>
      <c r="D99" s="19" t="s">
        <v>55</v>
      </c>
      <c r="F99" s="9"/>
    </row>
    <row r="100" spans="2:6" x14ac:dyDescent="0.5">
      <c r="B100" s="23" t="s">
        <v>56</v>
      </c>
      <c r="C100">
        <v>910263.15789473616</v>
      </c>
      <c r="D100" s="9">
        <f>C100*25</f>
        <v>22756578.947368406</v>
      </c>
      <c r="F100" s="9"/>
    </row>
    <row r="101" spans="2:6" x14ac:dyDescent="0.5">
      <c r="B101" s="3" t="s">
        <v>57</v>
      </c>
      <c r="C101">
        <v>1473568.499648758</v>
      </c>
      <c r="D101" s="9">
        <f>C101*25</f>
        <v>36839212.491218947</v>
      </c>
      <c r="F101" s="9"/>
    </row>
    <row r="102" spans="2:6" ht="14.7" customHeight="1" thickBot="1" x14ac:dyDescent="0.55000000000000004">
      <c r="B102" s="16" t="s">
        <v>26</v>
      </c>
      <c r="C102" s="12">
        <f>C100+C101</f>
        <v>2383831.6575434944</v>
      </c>
      <c r="D102" s="13">
        <f>C102*25</f>
        <v>59595791.43858736</v>
      </c>
      <c r="F102" s="9"/>
    </row>
    <row r="103" spans="2:6" ht="14.7" customHeight="1" thickBot="1" x14ac:dyDescent="0.55000000000000004">
      <c r="B103" s="8"/>
      <c r="F103" s="9"/>
    </row>
    <row r="104" spans="2:6" ht="14.7" customHeight="1" thickBot="1" x14ac:dyDescent="0.55000000000000004">
      <c r="B104" s="29" t="s">
        <v>58</v>
      </c>
      <c r="C104" s="30"/>
      <c r="D104" s="31"/>
      <c r="F104" s="9"/>
    </row>
    <row r="105" spans="2:6" ht="14.7" customHeight="1" thickBot="1" x14ac:dyDescent="0.55000000000000004">
      <c r="B105" s="17" t="s">
        <v>53</v>
      </c>
      <c r="C105" s="18" t="s">
        <v>59</v>
      </c>
      <c r="D105" s="22" t="s">
        <v>60</v>
      </c>
      <c r="F105" s="9"/>
    </row>
    <row r="106" spans="2:6" x14ac:dyDescent="0.5">
      <c r="B106" s="23" t="s">
        <v>56</v>
      </c>
      <c r="C106">
        <f>2.6085*C100</f>
        <v>2374421.4473684193</v>
      </c>
      <c r="D106" s="9">
        <f>C106*25</f>
        <v>59360536.184210479</v>
      </c>
      <c r="F106" s="9"/>
    </row>
    <row r="107" spans="2:6" x14ac:dyDescent="0.5">
      <c r="B107" s="3" t="s">
        <v>57</v>
      </c>
      <c r="C107">
        <f>2.6085*C101</f>
        <v>3843803.4313337849</v>
      </c>
      <c r="D107" s="9">
        <f>C107*25</f>
        <v>96095085.783344626</v>
      </c>
      <c r="F107" s="9"/>
    </row>
    <row r="108" spans="2:6" ht="14.7" customHeight="1" thickBot="1" x14ac:dyDescent="0.55000000000000004">
      <c r="B108" s="16" t="s">
        <v>26</v>
      </c>
      <c r="C108" s="12">
        <f>2.6085*C102</f>
        <v>6218224.8787022047</v>
      </c>
      <c r="D108" s="13">
        <f>C108*25</f>
        <v>155455621.96755511</v>
      </c>
      <c r="E108" s="12"/>
      <c r="F108" s="13"/>
    </row>
  </sheetData>
  <mergeCells count="30">
    <mergeCell ref="H64:I64"/>
    <mergeCell ref="H50:J50"/>
    <mergeCell ref="H55:J55"/>
    <mergeCell ref="B86:D86"/>
    <mergeCell ref="B104:D104"/>
    <mergeCell ref="B73:F73"/>
    <mergeCell ref="B36:D36"/>
    <mergeCell ref="B94:D94"/>
    <mergeCell ref="B50:D50"/>
    <mergeCell ref="B68:C68"/>
    <mergeCell ref="B64:C64"/>
    <mergeCell ref="B47:C47"/>
    <mergeCell ref="B98:D98"/>
    <mergeCell ref="B72:F72"/>
    <mergeCell ref="H33:I33"/>
    <mergeCell ref="B5:L5"/>
    <mergeCell ref="B63:C63"/>
    <mergeCell ref="B43:D43"/>
    <mergeCell ref="H25:J25"/>
    <mergeCell ref="H6:L6"/>
    <mergeCell ref="H60:I60"/>
    <mergeCell ref="B60:C60"/>
    <mergeCell ref="B55:D55"/>
    <mergeCell ref="H47:I47"/>
    <mergeCell ref="B25:D25"/>
    <mergeCell ref="H43:J43"/>
    <mergeCell ref="B6:F6"/>
    <mergeCell ref="B33:C33"/>
    <mergeCell ref="H36:J36"/>
    <mergeCell ref="H63:I6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B4:N108"/>
  <sheetViews>
    <sheetView tabSelected="1" topLeftCell="A15" zoomScale="70" zoomScaleNormal="70" workbookViewId="0">
      <selection activeCell="M29" sqref="M29"/>
    </sheetView>
  </sheetViews>
  <sheetFormatPr defaultColWidth="39.234375" defaultRowHeight="14.35" x14ac:dyDescent="0.5"/>
  <cols>
    <col min="1" max="1" width="13.52734375" customWidth="1"/>
    <col min="2" max="2" width="15.234375" bestFit="1" customWidth="1"/>
    <col min="3" max="3" width="17.64453125" bestFit="1" customWidth="1"/>
    <col min="4" max="4" width="18.64453125" bestFit="1" customWidth="1"/>
    <col min="5" max="5" width="13.5859375" bestFit="1" customWidth="1"/>
    <col min="6" max="6" width="14.5859375" bestFit="1" customWidth="1"/>
    <col min="7" max="7" width="12.46875" customWidth="1"/>
    <col min="8" max="8" width="15.234375" bestFit="1" customWidth="1"/>
    <col min="9" max="9" width="15.703125" bestFit="1" customWidth="1"/>
    <col min="10" max="10" width="18" bestFit="1" customWidth="1"/>
    <col min="11" max="11" width="12.46875" bestFit="1" customWidth="1"/>
    <col min="12" max="12" width="14.5859375" bestFit="1" customWidth="1"/>
    <col min="13" max="13" width="14.41015625" bestFit="1" customWidth="1"/>
    <col min="14" max="14" width="13.41015625" bestFit="1" customWidth="1"/>
    <col min="15" max="15" width="10.76171875" bestFit="1" customWidth="1"/>
  </cols>
  <sheetData>
    <row r="4" spans="2:14" ht="14.7" customHeight="1" thickBot="1" x14ac:dyDescent="0.55000000000000004"/>
    <row r="5" spans="2:14" ht="14.7" customHeight="1" thickBot="1" x14ac:dyDescent="0.55000000000000004">
      <c r="B5" s="29" t="s">
        <v>0</v>
      </c>
      <c r="C5" s="30"/>
      <c r="D5" s="30"/>
      <c r="E5" s="30"/>
      <c r="F5" s="30"/>
      <c r="G5" s="30"/>
      <c r="H5" s="30"/>
      <c r="I5" s="30"/>
      <c r="J5" s="30"/>
      <c r="K5" s="30"/>
      <c r="L5" s="31"/>
    </row>
    <row r="6" spans="2:14" ht="14.7" customHeight="1" thickBot="1" x14ac:dyDescent="0.55000000000000004">
      <c r="B6" s="29" t="s">
        <v>1</v>
      </c>
      <c r="C6" s="30"/>
      <c r="D6" s="30"/>
      <c r="E6" s="30"/>
      <c r="F6" s="31"/>
      <c r="H6" s="29" t="s">
        <v>2</v>
      </c>
      <c r="I6" s="30"/>
      <c r="J6" s="30"/>
      <c r="K6" s="30"/>
      <c r="L6" s="31"/>
    </row>
    <row r="7" spans="2:14" ht="14.7" customHeight="1" thickBot="1" x14ac:dyDescent="0.55000000000000004">
      <c r="B7" s="24" t="s">
        <v>3</v>
      </c>
      <c r="C7" s="18" t="s">
        <v>4</v>
      </c>
      <c r="D7" s="18" t="s">
        <v>5</v>
      </c>
      <c r="E7" s="18" t="s">
        <v>6</v>
      </c>
      <c r="F7" s="19" t="s">
        <v>7</v>
      </c>
      <c r="H7" s="24" t="s">
        <v>3</v>
      </c>
      <c r="I7" s="18" t="s">
        <v>4</v>
      </c>
      <c r="J7" s="18" t="s">
        <v>5</v>
      </c>
      <c r="K7" s="18" t="s">
        <v>6</v>
      </c>
      <c r="L7" s="19" t="s">
        <v>7</v>
      </c>
    </row>
    <row r="8" spans="2:14" x14ac:dyDescent="0.5">
      <c r="B8" s="3" t="s">
        <v>8</v>
      </c>
      <c r="C8" s="6">
        <f>13698 * D27*((0.05*((1.05)^25))/((1.05^25)-1))</f>
        <v>8649970.1647551414</v>
      </c>
      <c r="D8" s="6">
        <f>29*D27</f>
        <v>258100</v>
      </c>
      <c r="E8" s="6">
        <f>C8+D8</f>
        <v>8908070.1647551414</v>
      </c>
      <c r="F8" s="10">
        <f>E8*25</f>
        <v>222701754.11887854</v>
      </c>
      <c r="H8" s="3" t="s">
        <v>9</v>
      </c>
      <c r="I8" s="39">
        <f>1615 * J27*((0.05*((1.05)^25))/((1.05^25)-1))</f>
        <v>1226093.9383593376</v>
      </c>
      <c r="J8" s="39">
        <f>29*J27</f>
        <v>310300</v>
      </c>
      <c r="K8" s="39">
        <f>I8+J8</f>
        <v>1536393.9383593376</v>
      </c>
      <c r="L8" s="10">
        <f>K8*25</f>
        <v>38409848.458983444</v>
      </c>
    </row>
    <row r="9" spans="2:14" x14ac:dyDescent="0.5">
      <c r="B9" s="3" t="s">
        <v>10</v>
      </c>
      <c r="C9" s="6">
        <f>13698 * D28*((0.05*((1.05)^25))/((1.05^25)-1))</f>
        <v>0</v>
      </c>
      <c r="D9" s="6">
        <f>29*D28</f>
        <v>0</v>
      </c>
      <c r="E9" s="6">
        <f>C9+D9</f>
        <v>0</v>
      </c>
      <c r="F9" s="10">
        <f>E9*25</f>
        <v>0</v>
      </c>
      <c r="H9" s="3" t="s">
        <v>10</v>
      </c>
      <c r="I9" s="39">
        <f>1615 * J28*((0.05*((1.05)^25))/((1.05^25)-1))</f>
        <v>0</v>
      </c>
      <c r="J9" s="39">
        <f>29*J28</f>
        <v>0</v>
      </c>
      <c r="K9" s="39">
        <f>I9+J9</f>
        <v>0</v>
      </c>
      <c r="L9" s="10">
        <f>K9*25</f>
        <v>0</v>
      </c>
      <c r="M9" s="7"/>
      <c r="N9" s="6"/>
    </row>
    <row r="10" spans="2:14" x14ac:dyDescent="0.5">
      <c r="B10" s="3" t="s">
        <v>11</v>
      </c>
      <c r="C10" s="6">
        <f>13698 * D29*((0.05*((1.05)^25))/((1.05^25)-1))</f>
        <v>0</v>
      </c>
      <c r="D10" s="6">
        <f>29*D29</f>
        <v>0</v>
      </c>
      <c r="E10" s="6">
        <f>C10+D10</f>
        <v>0</v>
      </c>
      <c r="F10" s="10">
        <f>E10*25</f>
        <v>0</v>
      </c>
      <c r="H10" s="3" t="s">
        <v>11</v>
      </c>
      <c r="I10" s="39">
        <f>1615 * J29*((0.05*((1.05)^25))/((1.05^25)-1))</f>
        <v>0</v>
      </c>
      <c r="J10" s="39">
        <f>29*J29</f>
        <v>0</v>
      </c>
      <c r="K10" s="39">
        <f>I10+J10</f>
        <v>0</v>
      </c>
      <c r="L10" s="10">
        <f>K10*25</f>
        <v>0</v>
      </c>
      <c r="M10" s="7"/>
    </row>
    <row r="11" spans="2:14" ht="14.7" customHeight="1" thickBot="1" x14ac:dyDescent="0.55000000000000004">
      <c r="B11" s="16" t="s">
        <v>12</v>
      </c>
      <c r="C11" s="14">
        <f>13698 * D30*((0.05*((1.05)^25))/((1.05^25)-1))</f>
        <v>0</v>
      </c>
      <c r="D11" s="14">
        <f>29*D30</f>
        <v>0</v>
      </c>
      <c r="E11" s="14">
        <f>C11+D11</f>
        <v>0</v>
      </c>
      <c r="F11" s="15">
        <f>E11*25</f>
        <v>0</v>
      </c>
      <c r="H11" s="16" t="s">
        <v>12</v>
      </c>
      <c r="I11" s="14">
        <f>1615 * J30*((0.05*((1.05)^25))/((1.05^25)-1))</f>
        <v>0</v>
      </c>
      <c r="J11" s="14">
        <f>29*J30</f>
        <v>0</v>
      </c>
      <c r="K11" s="14">
        <f>I11+J11</f>
        <v>0</v>
      </c>
      <c r="L11" s="13">
        <f>K11*25</f>
        <v>0</v>
      </c>
    </row>
    <row r="12" spans="2:14" ht="14.7" customHeight="1" thickBot="1" x14ac:dyDescent="0.55000000000000004">
      <c r="B12" s="24" t="s">
        <v>13</v>
      </c>
      <c r="C12" s="18" t="s">
        <v>4</v>
      </c>
      <c r="D12" s="18" t="s">
        <v>5</v>
      </c>
      <c r="E12" s="18" t="s">
        <v>6</v>
      </c>
      <c r="F12" s="19" t="s">
        <v>7</v>
      </c>
      <c r="H12" s="24" t="s">
        <v>13</v>
      </c>
      <c r="I12" s="18" t="s">
        <v>4</v>
      </c>
      <c r="J12" s="18" t="s">
        <v>5</v>
      </c>
      <c r="K12" s="18" t="s">
        <v>6</v>
      </c>
      <c r="L12" s="19" t="s">
        <v>7</v>
      </c>
    </row>
    <row r="13" spans="2:14" x14ac:dyDescent="0.5">
      <c r="B13" s="3" t="s">
        <v>14</v>
      </c>
      <c r="C13" s="4">
        <f>2490 * D38*((0.05*((1.05)^10))/((1.05^10)-1))</f>
        <v>2579731.1333118975</v>
      </c>
      <c r="D13" s="1">
        <f>37.35*D38</f>
        <v>298800</v>
      </c>
      <c r="E13">
        <f>C13+D13</f>
        <v>2878531.1333118975</v>
      </c>
      <c r="F13" s="9">
        <f>E13*25</f>
        <v>71963278.332797438</v>
      </c>
      <c r="H13" s="3" t="s">
        <v>14</v>
      </c>
      <c r="I13" s="4">
        <f>2490 * J38*((0.05*((1.05)^10))/((1.05^10)-1))</f>
        <v>3224663.9166398719</v>
      </c>
      <c r="J13" s="1">
        <f>37.35*J38</f>
        <v>373500</v>
      </c>
      <c r="K13" s="39">
        <f>I13+J13</f>
        <v>3598163.9166398719</v>
      </c>
      <c r="L13" s="10">
        <f>K13*25</f>
        <v>89954097.91599679</v>
      </c>
    </row>
    <row r="14" spans="2:14" x14ac:dyDescent="0.5">
      <c r="B14" s="3" t="s">
        <v>15</v>
      </c>
      <c r="C14" s="4">
        <f>1570 * D39*((0.05*((1.05)^10))/((1.05^10)-1))</f>
        <v>0</v>
      </c>
      <c r="D14" s="1">
        <f>23.55*D39</f>
        <v>0</v>
      </c>
      <c r="E14">
        <f>C14+D14</f>
        <v>0</v>
      </c>
      <c r="F14" s="9">
        <f>E14*25</f>
        <v>0</v>
      </c>
      <c r="H14" s="3" t="s">
        <v>15</v>
      </c>
      <c r="I14" s="4">
        <f>1570 * J39*((0.05*((1.05)^10))/((1.05^10)-1))</f>
        <v>0</v>
      </c>
      <c r="J14" s="1">
        <f>23.55*J39</f>
        <v>0</v>
      </c>
      <c r="K14" s="38">
        <f>I14+J14</f>
        <v>0</v>
      </c>
      <c r="L14" s="10">
        <f>K14*25</f>
        <v>0</v>
      </c>
    </row>
    <row r="15" spans="2:14" ht="14.7" customHeight="1" thickBot="1" x14ac:dyDescent="0.55000000000000004">
      <c r="B15" s="16" t="s">
        <v>16</v>
      </c>
      <c r="C15" s="5">
        <f>1190 * D40*((0.05*((1.05)^10))/((1.05^10)-1))</f>
        <v>0</v>
      </c>
      <c r="D15" s="2">
        <f>17.85*D40</f>
        <v>0</v>
      </c>
      <c r="E15" s="12">
        <f>C15+D15</f>
        <v>0</v>
      </c>
      <c r="F15" s="13">
        <f>E15*25</f>
        <v>0</v>
      </c>
      <c r="H15" s="16" t="s">
        <v>16</v>
      </c>
      <c r="I15" s="5">
        <f>1190 * J40*((0.05*((1.05)^10))/((1.05^10)-1))</f>
        <v>0</v>
      </c>
      <c r="J15" s="2">
        <f>17.85*J40</f>
        <v>0</v>
      </c>
      <c r="K15" s="12">
        <f>I15+J15</f>
        <v>0</v>
      </c>
      <c r="L15" s="15">
        <f>K15*25</f>
        <v>0</v>
      </c>
    </row>
    <row r="16" spans="2:14" ht="14.7" customHeight="1" thickBot="1" x14ac:dyDescent="0.55000000000000004">
      <c r="B16" s="24" t="s">
        <v>17</v>
      </c>
      <c r="C16" s="18" t="s">
        <v>4</v>
      </c>
      <c r="D16" s="18" t="s">
        <v>5</v>
      </c>
      <c r="E16" s="18" t="s">
        <v>6</v>
      </c>
      <c r="F16" s="19" t="s">
        <v>7</v>
      </c>
      <c r="H16" s="24" t="s">
        <v>17</v>
      </c>
      <c r="I16" s="18" t="s">
        <v>4</v>
      </c>
      <c r="J16" s="18" t="s">
        <v>5</v>
      </c>
      <c r="K16" s="18" t="s">
        <v>6</v>
      </c>
      <c r="L16" s="19" t="s">
        <v>7</v>
      </c>
    </row>
    <row r="17" spans="2:14" ht="14.7" customHeight="1" thickBot="1" x14ac:dyDescent="0.55000000000000004">
      <c r="B17" s="16" t="s">
        <v>18</v>
      </c>
      <c r="C17" s="12">
        <v>112853.1746249882</v>
      </c>
      <c r="D17" s="12">
        <v>140640</v>
      </c>
      <c r="E17" s="12">
        <f>D17+C17</f>
        <v>253493.1746249882</v>
      </c>
      <c r="F17" s="13">
        <f>E17*25</f>
        <v>6337329.3656247053</v>
      </c>
      <c r="H17" s="16" t="s">
        <v>18</v>
      </c>
      <c r="I17" s="12">
        <v>112853.1746249882</v>
      </c>
      <c r="J17" s="12">
        <v>140640</v>
      </c>
      <c r="K17" s="12">
        <f>J17+I17</f>
        <v>253493.1746249882</v>
      </c>
      <c r="L17" s="15">
        <f>K17*25</f>
        <v>6337329.3656247053</v>
      </c>
    </row>
    <row r="18" spans="2:14" ht="14.7" customHeight="1" thickBot="1" x14ac:dyDescent="0.55000000000000004">
      <c r="B18" s="24" t="s">
        <v>19</v>
      </c>
      <c r="C18" s="18" t="s">
        <v>4</v>
      </c>
      <c r="D18" s="18" t="s">
        <v>5</v>
      </c>
      <c r="E18" s="18" t="s">
        <v>6</v>
      </c>
      <c r="F18" s="19" t="s">
        <v>7</v>
      </c>
      <c r="H18" s="24" t="s">
        <v>20</v>
      </c>
      <c r="I18" s="18" t="s">
        <v>4</v>
      </c>
      <c r="J18" s="18" t="s">
        <v>5</v>
      </c>
      <c r="K18" s="18" t="s">
        <v>6</v>
      </c>
      <c r="L18" s="19" t="s">
        <v>7</v>
      </c>
    </row>
    <row r="19" spans="2:14" ht="14.7" customHeight="1" thickBot="1" x14ac:dyDescent="0.55000000000000004">
      <c r="B19" s="11"/>
      <c r="C19" s="12">
        <f>C48*300*((0.05*((1.05)^20))/((1.05^20)-1))</f>
        <v>2574583.4100133306</v>
      </c>
      <c r="D19" s="12">
        <v>0</v>
      </c>
      <c r="E19" s="12">
        <f>D19+C19</f>
        <v>2574583.4100133306</v>
      </c>
      <c r="F19" s="13">
        <f>E19*25</f>
        <v>64364585.250333264</v>
      </c>
      <c r="H19" s="11"/>
      <c r="I19" s="14">
        <f>(I48/10)*3000*((0.05*((1.05)^20))/((1.05^20)-1))</f>
        <v>682703.93181840167</v>
      </c>
      <c r="J19" s="12">
        <v>0</v>
      </c>
      <c r="K19" s="12">
        <f>J19+I19</f>
        <v>682703.93181840167</v>
      </c>
      <c r="L19" s="15">
        <f>K19*25</f>
        <v>17067598.295460042</v>
      </c>
    </row>
    <row r="20" spans="2:14" ht="14.7" customHeight="1" thickBot="1" x14ac:dyDescent="0.55000000000000004">
      <c r="B20" s="24" t="s">
        <v>21</v>
      </c>
      <c r="C20" s="18" t="s">
        <v>4</v>
      </c>
      <c r="D20" s="18" t="s">
        <v>5</v>
      </c>
      <c r="E20" s="18" t="s">
        <v>6</v>
      </c>
      <c r="F20" s="19" t="s">
        <v>7</v>
      </c>
      <c r="H20" s="24" t="s">
        <v>21</v>
      </c>
      <c r="I20" s="18" t="s">
        <v>4</v>
      </c>
      <c r="J20" s="18" t="s">
        <v>5</v>
      </c>
      <c r="K20" s="18" t="s">
        <v>6</v>
      </c>
      <c r="L20" s="19" t="s">
        <v>7</v>
      </c>
    </row>
    <row r="21" spans="2:14" ht="14.7" customHeight="1" thickBot="1" x14ac:dyDescent="0.55000000000000004">
      <c r="B21" s="11"/>
      <c r="C21" s="12">
        <v>0</v>
      </c>
      <c r="D21" s="12">
        <v>0</v>
      </c>
      <c r="E21" s="12">
        <f>C21+D21</f>
        <v>0</v>
      </c>
      <c r="F21" s="13">
        <f>E21*25</f>
        <v>0</v>
      </c>
      <c r="H21" s="11"/>
      <c r="I21" s="12">
        <v>271.70140022768072</v>
      </c>
      <c r="J21" s="12">
        <v>38</v>
      </c>
      <c r="K21" s="12">
        <f>J21+I21</f>
        <v>309.70140022768072</v>
      </c>
      <c r="L21" s="13">
        <f>K21*25</f>
        <v>7742.5350056920179</v>
      </c>
    </row>
    <row r="22" spans="2:14" ht="14.7" customHeight="1" thickBot="1" x14ac:dyDescent="0.55000000000000004">
      <c r="B22" s="17"/>
      <c r="C22" s="18" t="s">
        <v>4</v>
      </c>
      <c r="D22" s="18" t="s">
        <v>5</v>
      </c>
      <c r="E22" s="18" t="s">
        <v>6</v>
      </c>
      <c r="F22" s="19" t="s">
        <v>7</v>
      </c>
      <c r="H22" s="17"/>
      <c r="I22" s="18" t="s">
        <v>4</v>
      </c>
      <c r="J22" s="18" t="s">
        <v>5</v>
      </c>
      <c r="K22" s="18" t="s">
        <v>6</v>
      </c>
      <c r="L22" s="19" t="s">
        <v>7</v>
      </c>
    </row>
    <row r="23" spans="2:14" ht="14.7" customHeight="1" thickBot="1" x14ac:dyDescent="0.55000000000000004">
      <c r="B23" s="24" t="s">
        <v>22</v>
      </c>
      <c r="C23" s="12">
        <v>13911601.14418919</v>
      </c>
      <c r="D23" s="12">
        <v>697540</v>
      </c>
      <c r="E23" s="25">
        <v>14609141.14418919</v>
      </c>
      <c r="F23" s="13">
        <f>D23*25</f>
        <v>17438500</v>
      </c>
      <c r="H23" s="24" t="s">
        <v>22</v>
      </c>
      <c r="I23" s="14">
        <v>5246586.6628428241</v>
      </c>
      <c r="J23" s="14">
        <v>824478</v>
      </c>
      <c r="K23" s="14">
        <v>4062917.2247025901</v>
      </c>
      <c r="L23" s="15">
        <f>K23*25</f>
        <v>101572930.61756475</v>
      </c>
      <c r="M23" s="6"/>
    </row>
    <row r="24" spans="2:14" ht="14.7" customHeight="1" thickBot="1" x14ac:dyDescent="0.55000000000000004">
      <c r="B24" s="8"/>
      <c r="F24" s="9"/>
      <c r="H24" s="8"/>
      <c r="I24" s="39"/>
      <c r="J24" s="39"/>
      <c r="K24" s="39"/>
      <c r="L24" s="10"/>
      <c r="M24" s="6"/>
      <c r="N24" s="7"/>
    </row>
    <row r="25" spans="2:14" ht="14.7" customHeight="1" thickBot="1" x14ac:dyDescent="0.55000000000000004">
      <c r="B25" s="29" t="s">
        <v>3</v>
      </c>
      <c r="C25" s="30"/>
      <c r="D25" s="31"/>
      <c r="F25" s="9"/>
      <c r="H25" s="29" t="s">
        <v>3</v>
      </c>
      <c r="I25" s="30"/>
      <c r="J25" s="31"/>
      <c r="K25" s="38"/>
      <c r="L25" s="10"/>
      <c r="M25" s="6"/>
    </row>
    <row r="26" spans="2:14" ht="14.7" customHeight="1" thickBot="1" x14ac:dyDescent="0.55000000000000004">
      <c r="B26" s="17" t="s">
        <v>23</v>
      </c>
      <c r="C26" s="18" t="s">
        <v>24</v>
      </c>
      <c r="D26" s="19" t="s">
        <v>25</v>
      </c>
      <c r="F26" s="9"/>
      <c r="H26" s="17" t="s">
        <v>23</v>
      </c>
      <c r="I26" s="18" t="s">
        <v>24</v>
      </c>
      <c r="J26" s="19" t="s">
        <v>25</v>
      </c>
      <c r="K26" s="38"/>
      <c r="L26" s="10"/>
      <c r="M26" s="6"/>
    </row>
    <row r="27" spans="2:14" x14ac:dyDescent="0.5">
      <c r="B27" s="23" t="s">
        <v>9</v>
      </c>
      <c r="C27">
        <v>89</v>
      </c>
      <c r="D27" s="9">
        <v>8900</v>
      </c>
      <c r="F27" s="9"/>
      <c r="H27" s="8" t="s">
        <v>9</v>
      </c>
      <c r="I27" s="38">
        <v>107</v>
      </c>
      <c r="J27" s="9">
        <v>10700</v>
      </c>
      <c r="K27" s="38"/>
      <c r="L27" s="9"/>
    </row>
    <row r="28" spans="2:14" x14ac:dyDescent="0.5">
      <c r="B28" s="3" t="s">
        <v>10</v>
      </c>
      <c r="C28">
        <v>0</v>
      </c>
      <c r="D28" s="9">
        <v>0</v>
      </c>
      <c r="F28" s="9"/>
      <c r="H28" s="8" t="s">
        <v>10</v>
      </c>
      <c r="I28" s="38">
        <v>0</v>
      </c>
      <c r="J28" s="9">
        <v>0</v>
      </c>
      <c r="K28" s="38"/>
      <c r="L28" s="9"/>
    </row>
    <row r="29" spans="2:14" x14ac:dyDescent="0.5">
      <c r="B29" s="3" t="s">
        <v>11</v>
      </c>
      <c r="C29">
        <v>0</v>
      </c>
      <c r="D29" s="9">
        <v>0</v>
      </c>
      <c r="F29" s="9"/>
      <c r="H29" s="8" t="s">
        <v>11</v>
      </c>
      <c r="I29" s="38">
        <v>0</v>
      </c>
      <c r="J29" s="9">
        <v>0</v>
      </c>
      <c r="K29" s="38"/>
      <c r="L29" s="9"/>
    </row>
    <row r="30" spans="2:14" x14ac:dyDescent="0.5">
      <c r="B30" s="3" t="s">
        <v>12</v>
      </c>
      <c r="C30">
        <v>0</v>
      </c>
      <c r="D30" s="9">
        <v>0</v>
      </c>
      <c r="F30" s="9"/>
      <c r="H30" s="8" t="s">
        <v>12</v>
      </c>
      <c r="I30" s="38">
        <v>0</v>
      </c>
      <c r="J30" s="9">
        <v>0</v>
      </c>
      <c r="K30" s="38"/>
      <c r="L30" s="9"/>
    </row>
    <row r="31" spans="2:14" ht="14.7" customHeight="1" thickBot="1" x14ac:dyDescent="0.55000000000000004">
      <c r="B31" s="16" t="s">
        <v>26</v>
      </c>
      <c r="C31" s="12">
        <v>89</v>
      </c>
      <c r="D31" s="13">
        <v>8900</v>
      </c>
      <c r="F31" s="9"/>
      <c r="H31" s="11" t="s">
        <v>26</v>
      </c>
      <c r="I31" s="12">
        <v>107</v>
      </c>
      <c r="J31" s="13">
        <v>10700</v>
      </c>
      <c r="K31" s="38"/>
      <c r="L31" s="9"/>
    </row>
    <row r="32" spans="2:14" ht="14.7" customHeight="1" thickBot="1" x14ac:dyDescent="0.55000000000000004">
      <c r="B32" s="8"/>
      <c r="F32" s="9"/>
      <c r="H32" s="8"/>
      <c r="I32" s="38"/>
      <c r="J32" s="38"/>
      <c r="K32" s="38"/>
      <c r="L32" s="9"/>
    </row>
    <row r="33" spans="2:12" ht="14.7" customHeight="1" thickBot="1" x14ac:dyDescent="0.55000000000000004">
      <c r="B33" s="29" t="s">
        <v>21</v>
      </c>
      <c r="C33" s="31"/>
      <c r="F33" s="9"/>
      <c r="H33" s="29" t="s">
        <v>21</v>
      </c>
      <c r="I33" s="31"/>
      <c r="J33" s="38"/>
      <c r="K33" s="38"/>
      <c r="L33" s="9"/>
    </row>
    <row r="34" spans="2:12" ht="14.7" customHeight="1" thickBot="1" x14ac:dyDescent="0.55000000000000004">
      <c r="B34" s="24" t="s">
        <v>25</v>
      </c>
      <c r="C34" s="13">
        <v>0</v>
      </c>
      <c r="F34" s="9"/>
      <c r="H34" s="24" t="s">
        <v>25</v>
      </c>
      <c r="I34" s="13">
        <v>2</v>
      </c>
      <c r="J34" s="38"/>
      <c r="K34" s="38"/>
      <c r="L34" s="9"/>
    </row>
    <row r="35" spans="2:12" ht="14.7" customHeight="1" thickBot="1" x14ac:dyDescent="0.55000000000000004">
      <c r="B35" s="8"/>
      <c r="F35" s="9"/>
      <c r="H35" s="8"/>
      <c r="I35" s="38"/>
      <c r="J35" s="38"/>
      <c r="K35" s="38"/>
      <c r="L35" s="9"/>
    </row>
    <row r="36" spans="2:12" ht="14.7" customHeight="1" thickBot="1" x14ac:dyDescent="0.55000000000000004">
      <c r="B36" s="29" t="s">
        <v>13</v>
      </c>
      <c r="C36" s="30"/>
      <c r="D36" s="31"/>
      <c r="F36" s="9"/>
      <c r="H36" s="29" t="s">
        <v>13</v>
      </c>
      <c r="I36" s="30"/>
      <c r="J36" s="31"/>
      <c r="K36" s="38"/>
      <c r="L36" s="9"/>
    </row>
    <row r="37" spans="2:12" ht="14.7" customHeight="1" thickBot="1" x14ac:dyDescent="0.55000000000000004">
      <c r="B37" s="24" t="s">
        <v>23</v>
      </c>
      <c r="C37" s="18" t="s">
        <v>24</v>
      </c>
      <c r="D37" s="19" t="s">
        <v>25</v>
      </c>
      <c r="F37" s="9"/>
      <c r="H37" s="17" t="s">
        <v>23</v>
      </c>
      <c r="I37" s="18" t="s">
        <v>24</v>
      </c>
      <c r="J37" s="19" t="s">
        <v>25</v>
      </c>
      <c r="K37" s="38"/>
      <c r="L37" s="9"/>
    </row>
    <row r="38" spans="2:12" x14ac:dyDescent="0.5">
      <c r="B38" s="23" t="s">
        <v>14</v>
      </c>
      <c r="C38">
        <v>8</v>
      </c>
      <c r="D38" s="9">
        <v>8000</v>
      </c>
      <c r="F38" s="9"/>
      <c r="H38" s="23" t="s">
        <v>14</v>
      </c>
      <c r="I38" s="38">
        <v>10</v>
      </c>
      <c r="J38" s="9">
        <v>10000</v>
      </c>
      <c r="K38" s="38"/>
      <c r="L38" s="9"/>
    </row>
    <row r="39" spans="2:12" x14ac:dyDescent="0.5">
      <c r="B39" s="3" t="s">
        <v>15</v>
      </c>
      <c r="C39">
        <v>0</v>
      </c>
      <c r="D39" s="9">
        <v>0</v>
      </c>
      <c r="F39" s="9"/>
      <c r="H39" s="3" t="s">
        <v>15</v>
      </c>
      <c r="I39" s="38">
        <v>0</v>
      </c>
      <c r="J39" s="9">
        <v>0</v>
      </c>
      <c r="K39" s="38"/>
      <c r="L39" s="9"/>
    </row>
    <row r="40" spans="2:12" x14ac:dyDescent="0.5">
      <c r="B40" s="3" t="s">
        <v>16</v>
      </c>
      <c r="C40">
        <v>0</v>
      </c>
      <c r="D40" s="9">
        <v>0</v>
      </c>
      <c r="F40" s="9"/>
      <c r="H40" s="3" t="s">
        <v>16</v>
      </c>
      <c r="I40" s="38">
        <v>0</v>
      </c>
      <c r="J40" s="9">
        <v>0</v>
      </c>
      <c r="K40" s="38"/>
      <c r="L40" s="9"/>
    </row>
    <row r="41" spans="2:12" ht="14.7" customHeight="1" thickBot="1" x14ac:dyDescent="0.55000000000000004">
      <c r="B41" s="16" t="s">
        <v>26</v>
      </c>
      <c r="C41" s="12">
        <v>8</v>
      </c>
      <c r="D41" s="13">
        <v>8000</v>
      </c>
      <c r="F41" s="9"/>
      <c r="H41" s="16" t="s">
        <v>26</v>
      </c>
      <c r="I41" s="12">
        <v>10</v>
      </c>
      <c r="J41" s="13">
        <v>10000</v>
      </c>
      <c r="K41" s="38"/>
      <c r="L41" s="9"/>
    </row>
    <row r="42" spans="2:12" ht="14.7" customHeight="1" thickBot="1" x14ac:dyDescent="0.55000000000000004">
      <c r="B42" s="8"/>
      <c r="F42" s="9"/>
      <c r="H42" s="8"/>
      <c r="I42" s="38"/>
      <c r="J42" s="38"/>
      <c r="K42" s="38"/>
      <c r="L42" s="9"/>
    </row>
    <row r="43" spans="2:12" ht="14.7" customHeight="1" thickBot="1" x14ac:dyDescent="0.55000000000000004">
      <c r="B43" s="29" t="s">
        <v>27</v>
      </c>
      <c r="C43" s="30"/>
      <c r="D43" s="31"/>
      <c r="F43" s="9"/>
      <c r="H43" s="29" t="s">
        <v>27</v>
      </c>
      <c r="I43" s="30"/>
      <c r="J43" s="31"/>
      <c r="K43" s="38"/>
      <c r="L43" s="9"/>
    </row>
    <row r="44" spans="2:12" ht="14.7" customHeight="1" thickBot="1" x14ac:dyDescent="0.55000000000000004">
      <c r="B44" s="24" t="s">
        <v>23</v>
      </c>
      <c r="C44" s="18" t="s">
        <v>24</v>
      </c>
      <c r="D44" s="19" t="s">
        <v>25</v>
      </c>
      <c r="F44" s="9"/>
      <c r="H44" s="17" t="s">
        <v>23</v>
      </c>
      <c r="I44" s="18" t="s">
        <v>24</v>
      </c>
      <c r="J44" s="19" t="s">
        <v>25</v>
      </c>
      <c r="K44" s="38"/>
      <c r="L44" s="9"/>
    </row>
    <row r="45" spans="2:12" ht="14.7" customHeight="1" thickBot="1" x14ac:dyDescent="0.55000000000000004">
      <c r="B45" s="24" t="s">
        <v>18</v>
      </c>
      <c r="C45" s="12">
        <v>500</v>
      </c>
      <c r="D45" s="13">
        <v>8790</v>
      </c>
      <c r="F45" s="9"/>
      <c r="H45" s="24" t="s">
        <v>18</v>
      </c>
      <c r="I45" s="12">
        <v>500</v>
      </c>
      <c r="J45" s="13">
        <v>8790</v>
      </c>
      <c r="K45" s="38"/>
      <c r="L45" s="9"/>
    </row>
    <row r="46" spans="2:12" ht="14.7" customHeight="1" thickBot="1" x14ac:dyDescent="0.55000000000000004">
      <c r="B46" s="8"/>
      <c r="F46" s="9"/>
      <c r="H46" s="8"/>
      <c r="I46" s="38"/>
      <c r="J46" s="38"/>
      <c r="K46" s="38"/>
      <c r="L46" s="9"/>
    </row>
    <row r="47" spans="2:12" ht="14.7" customHeight="1" thickBot="1" x14ac:dyDescent="0.55000000000000004">
      <c r="B47" s="29" t="s">
        <v>28</v>
      </c>
      <c r="C47" s="31"/>
      <c r="F47" s="9"/>
      <c r="H47" s="29" t="s">
        <v>28</v>
      </c>
      <c r="I47" s="31"/>
      <c r="J47" s="38"/>
      <c r="K47" s="38"/>
      <c r="L47" s="9"/>
    </row>
    <row r="48" spans="2:12" ht="14.7" customHeight="1" thickBot="1" x14ac:dyDescent="0.55000000000000004">
      <c r="B48" s="11" t="s">
        <v>29</v>
      </c>
      <c r="C48" s="13">
        <v>106950</v>
      </c>
      <c r="F48" s="9"/>
      <c r="H48" s="24" t="s">
        <v>29</v>
      </c>
      <c r="I48" s="13">
        <v>28360</v>
      </c>
      <c r="J48" s="38"/>
      <c r="K48" s="38"/>
      <c r="L48" s="9"/>
    </row>
    <row r="49" spans="2:12" ht="14.7" customHeight="1" thickBot="1" x14ac:dyDescent="0.55000000000000004">
      <c r="B49" s="8"/>
      <c r="F49" s="9"/>
      <c r="H49" s="8"/>
      <c r="I49" s="38"/>
      <c r="J49" s="38"/>
      <c r="K49" s="38"/>
      <c r="L49" s="9"/>
    </row>
    <row r="50" spans="2:12" ht="14.7" customHeight="1" thickBot="1" x14ac:dyDescent="0.55000000000000004">
      <c r="B50" s="29" t="s">
        <v>30</v>
      </c>
      <c r="C50" s="30"/>
      <c r="D50" s="31"/>
      <c r="F50" s="9"/>
      <c r="H50" s="35" t="s">
        <v>30</v>
      </c>
      <c r="I50" s="36"/>
      <c r="J50" s="37"/>
      <c r="K50" s="38"/>
      <c r="L50" s="9"/>
    </row>
    <row r="51" spans="2:12" ht="14.7" customHeight="1" thickBot="1" x14ac:dyDescent="0.55000000000000004">
      <c r="B51" s="11" t="s">
        <v>31</v>
      </c>
      <c r="C51" s="12" t="s">
        <v>32</v>
      </c>
      <c r="D51" s="13" t="s">
        <v>33</v>
      </c>
      <c r="F51" s="9"/>
      <c r="H51" s="24" t="s">
        <v>31</v>
      </c>
      <c r="I51" s="18" t="s">
        <v>61</v>
      </c>
      <c r="J51" s="21" t="s">
        <v>33</v>
      </c>
      <c r="K51" s="38"/>
      <c r="L51" s="9"/>
    </row>
    <row r="52" spans="2:12" ht="14.7" customHeight="1" x14ac:dyDescent="0.5">
      <c r="B52" s="23" t="s">
        <v>34</v>
      </c>
      <c r="C52" s="26">
        <v>12224040.0264099</v>
      </c>
      <c r="D52" s="27">
        <f>C52*25</f>
        <v>305601000.6602475</v>
      </c>
      <c r="F52" s="9"/>
      <c r="H52" s="3" t="s">
        <v>34</v>
      </c>
      <c r="I52" s="40">
        <v>12518814.877467601</v>
      </c>
      <c r="J52" s="27">
        <f>I52*25</f>
        <v>312970371.93669003</v>
      </c>
      <c r="K52" s="38"/>
      <c r="L52" s="9"/>
    </row>
    <row r="53" spans="2:12" ht="14.7" customHeight="1" thickBot="1" x14ac:dyDescent="0.55000000000000004">
      <c r="B53" s="16" t="s">
        <v>35</v>
      </c>
      <c r="C53" s="25">
        <v>4203599.4887489788</v>
      </c>
      <c r="D53" s="28">
        <f>C53*25</f>
        <v>105089987.21872447</v>
      </c>
      <c r="F53" s="9"/>
      <c r="H53" s="16" t="s">
        <v>35</v>
      </c>
      <c r="I53" s="25">
        <v>1481363.8256501399</v>
      </c>
      <c r="J53" s="28">
        <f>I53*25</f>
        <v>37034095.641253501</v>
      </c>
      <c r="K53" s="38"/>
      <c r="L53" s="9"/>
    </row>
    <row r="54" spans="2:12" ht="14.7" customHeight="1" thickBot="1" x14ac:dyDescent="0.55000000000000004">
      <c r="B54" s="8"/>
      <c r="F54" s="9"/>
      <c r="H54" s="8"/>
      <c r="I54" s="39"/>
      <c r="J54" s="10"/>
      <c r="K54" s="38"/>
      <c r="L54" s="9"/>
    </row>
    <row r="55" spans="2:12" ht="14.7" customHeight="1" thickBot="1" x14ac:dyDescent="0.55000000000000004">
      <c r="B55" s="29" t="s">
        <v>36</v>
      </c>
      <c r="C55" s="30"/>
      <c r="D55" s="31"/>
      <c r="F55" s="9"/>
      <c r="H55" s="35" t="s">
        <v>36</v>
      </c>
      <c r="I55" s="36"/>
      <c r="J55" s="37"/>
      <c r="K55" s="38"/>
      <c r="L55" s="9"/>
    </row>
    <row r="56" spans="2:12" ht="14.7" customHeight="1" thickBot="1" x14ac:dyDescent="0.55000000000000004">
      <c r="B56" s="11" t="s">
        <v>31</v>
      </c>
      <c r="C56" s="12" t="s">
        <v>32</v>
      </c>
      <c r="D56" s="13" t="s">
        <v>33</v>
      </c>
      <c r="F56" s="9"/>
      <c r="H56" s="24" t="s">
        <v>31</v>
      </c>
      <c r="I56" s="20">
        <v>3400171.9420282501</v>
      </c>
      <c r="J56" s="21" t="s">
        <v>33</v>
      </c>
      <c r="K56" s="38"/>
      <c r="L56" s="9"/>
    </row>
    <row r="57" spans="2:12" ht="14.7" customHeight="1" thickBot="1" x14ac:dyDescent="0.55000000000000004">
      <c r="B57" s="23" t="s">
        <v>34</v>
      </c>
      <c r="C57">
        <v>3320109.6368026901</v>
      </c>
      <c r="D57" s="9">
        <f>C57*25</f>
        <v>83002740.920067251</v>
      </c>
      <c r="F57" s="9"/>
      <c r="H57" s="16" t="s">
        <v>34</v>
      </c>
      <c r="I57" s="14">
        <v>588205.41313218896</v>
      </c>
      <c r="J57" s="15">
        <f>I57*25</f>
        <v>14705135.328304725</v>
      </c>
      <c r="K57" s="38"/>
      <c r="L57" s="9"/>
    </row>
    <row r="58" spans="2:12" ht="14.7" customHeight="1" thickBot="1" x14ac:dyDescent="0.55000000000000004">
      <c r="B58" s="16" t="s">
        <v>35</v>
      </c>
      <c r="C58" s="12">
        <v>1841318.9362470161</v>
      </c>
      <c r="D58" s="13">
        <f>C58*25</f>
        <v>46032973.406175405</v>
      </c>
      <c r="F58" s="9"/>
      <c r="H58" s="8" t="s">
        <v>35</v>
      </c>
      <c r="I58" s="12">
        <v>1481363.8256501399</v>
      </c>
      <c r="J58" s="38">
        <f>I58*25</f>
        <v>37034095.641253501</v>
      </c>
      <c r="K58" s="38"/>
      <c r="L58" s="9"/>
    </row>
    <row r="59" spans="2:12" ht="14.7" customHeight="1" thickBot="1" x14ac:dyDescent="0.55000000000000004">
      <c r="B59" s="8"/>
      <c r="F59" s="9"/>
      <c r="H59" s="8"/>
      <c r="I59" s="38"/>
      <c r="J59" s="38"/>
      <c r="K59" s="38"/>
      <c r="L59" s="9"/>
    </row>
    <row r="60" spans="2:12" ht="14.7" customHeight="1" thickBot="1" x14ac:dyDescent="0.55000000000000004">
      <c r="B60" s="29" t="s">
        <v>37</v>
      </c>
      <c r="C60" s="31"/>
      <c r="F60" s="9"/>
      <c r="H60" s="29" t="s">
        <v>38</v>
      </c>
      <c r="I60" s="31"/>
      <c r="J60" s="38"/>
      <c r="K60" s="38"/>
      <c r="L60" s="9"/>
    </row>
    <row r="61" spans="2:12" ht="14.7" customHeight="1" thickBot="1" x14ac:dyDescent="0.55000000000000004">
      <c r="B61" s="24" t="s">
        <v>39</v>
      </c>
      <c r="C61" s="13">
        <v>960468.56073780905</v>
      </c>
      <c r="F61" s="9"/>
      <c r="H61" s="24" t="s">
        <v>39</v>
      </c>
      <c r="I61" s="13">
        <v>255163.29321023999</v>
      </c>
      <c r="J61" s="38"/>
      <c r="K61" s="38"/>
      <c r="L61" s="9"/>
    </row>
    <row r="62" spans="2:12" ht="14.7" customHeight="1" thickBot="1" x14ac:dyDescent="0.55000000000000004">
      <c r="B62" s="8"/>
      <c r="F62" s="9"/>
      <c r="H62" s="8"/>
      <c r="I62" s="38"/>
      <c r="J62" s="38"/>
      <c r="K62" s="38"/>
      <c r="L62" s="9"/>
    </row>
    <row r="63" spans="2:12" ht="14.7" customHeight="1" thickBot="1" x14ac:dyDescent="0.55000000000000004">
      <c r="B63" s="29" t="s">
        <v>40</v>
      </c>
      <c r="C63" s="31"/>
      <c r="F63" s="9"/>
      <c r="H63" s="29" t="s">
        <v>40</v>
      </c>
      <c r="I63" s="31"/>
      <c r="J63" s="38"/>
      <c r="K63" s="38"/>
      <c r="L63" s="9"/>
    </row>
    <row r="64" spans="2:12" ht="14.7" customHeight="1" thickBot="1" x14ac:dyDescent="0.55000000000000004">
      <c r="B64" s="29">
        <f>E23/B70</f>
        <v>1.0855457418037169</v>
      </c>
      <c r="C64" s="31"/>
      <c r="F64" s="9"/>
      <c r="H64" s="29">
        <f>K23/B70</f>
        <v>0.30189882136439955</v>
      </c>
      <c r="I64" s="31"/>
      <c r="J64" s="38"/>
      <c r="K64" s="38"/>
      <c r="L64" s="9"/>
    </row>
    <row r="65" spans="2:12" x14ac:dyDescent="0.5">
      <c r="B65" s="8"/>
      <c r="F65" s="9"/>
      <c r="H65" s="8"/>
      <c r="I65" s="38"/>
      <c r="J65" s="38"/>
      <c r="K65" s="38"/>
      <c r="L65" s="9"/>
    </row>
    <row r="66" spans="2:12" ht="14.7" customHeight="1" thickBot="1" x14ac:dyDescent="0.55000000000000004">
      <c r="B66" s="11"/>
      <c r="C66" s="12"/>
      <c r="D66" s="12"/>
      <c r="E66" s="12"/>
      <c r="F66" s="13"/>
      <c r="G66" s="12"/>
      <c r="H66" s="11"/>
      <c r="I66" s="12"/>
      <c r="J66" s="12"/>
      <c r="K66" s="12"/>
      <c r="L66" s="13"/>
    </row>
    <row r="67" spans="2:12" ht="14.7" customHeight="1" thickBot="1" x14ac:dyDescent="0.55000000000000004">
      <c r="B67" s="11"/>
      <c r="C67" s="12"/>
      <c r="L67" s="9"/>
    </row>
    <row r="68" spans="2:12" ht="14.7" customHeight="1" thickBot="1" x14ac:dyDescent="0.55000000000000004">
      <c r="B68" s="32" t="s">
        <v>41</v>
      </c>
      <c r="C68" s="33"/>
      <c r="L68" s="9"/>
    </row>
    <row r="69" spans="2:12" ht="14.7" customHeight="1" thickBot="1" x14ac:dyDescent="0.55000000000000004">
      <c r="B69" s="17" t="s">
        <v>42</v>
      </c>
      <c r="C69" s="19" t="s">
        <v>43</v>
      </c>
      <c r="L69" s="9"/>
    </row>
    <row r="70" spans="2:12" ht="14.7" customHeight="1" thickBot="1" x14ac:dyDescent="0.55000000000000004">
      <c r="B70" s="11">
        <f>C108</f>
        <v>13457877.067358755</v>
      </c>
      <c r="C70" s="13">
        <f>D108</f>
        <v>336446926.68396884</v>
      </c>
      <c r="D70" s="12"/>
      <c r="E70" s="12"/>
      <c r="F70" s="12"/>
      <c r="G70" s="12"/>
      <c r="H70" s="12"/>
      <c r="I70" s="12"/>
      <c r="J70" s="12"/>
      <c r="K70" s="12"/>
      <c r="L70" s="13"/>
    </row>
    <row r="71" spans="2:12" ht="14.7" customHeight="1" thickBot="1" x14ac:dyDescent="0.55000000000000004"/>
    <row r="72" spans="2:12" ht="14.7" customHeight="1" thickBot="1" x14ac:dyDescent="0.55000000000000004">
      <c r="B72" s="29" t="s">
        <v>44</v>
      </c>
      <c r="C72" s="30"/>
      <c r="D72" s="30"/>
      <c r="E72" s="30"/>
      <c r="F72" s="31"/>
    </row>
    <row r="73" spans="2:12" ht="14.7" customHeight="1" thickBot="1" x14ac:dyDescent="0.55000000000000004">
      <c r="B73" s="29" t="s">
        <v>45</v>
      </c>
      <c r="C73" s="30"/>
      <c r="D73" s="30"/>
      <c r="E73" s="30"/>
      <c r="F73" s="31"/>
    </row>
    <row r="74" spans="2:12" ht="14.7" customHeight="1" thickBot="1" x14ac:dyDescent="0.55000000000000004">
      <c r="B74" s="24" t="s">
        <v>46</v>
      </c>
      <c r="C74" s="18" t="s">
        <v>4</v>
      </c>
      <c r="D74" s="18" t="s">
        <v>5</v>
      </c>
      <c r="E74" s="18" t="s">
        <v>6</v>
      </c>
      <c r="F74" s="19" t="s">
        <v>7</v>
      </c>
    </row>
    <row r="75" spans="2:12" x14ac:dyDescent="0.5">
      <c r="B75" s="23" t="s">
        <v>9</v>
      </c>
      <c r="C75">
        <v>19157.163470791991</v>
      </c>
      <c r="D75">
        <v>44700</v>
      </c>
      <c r="E75">
        <f>C75+D75</f>
        <v>63857.163470791987</v>
      </c>
      <c r="F75" s="9">
        <f>E75*25</f>
        <v>1596429.0867697997</v>
      </c>
    </row>
    <row r="76" spans="2:12" x14ac:dyDescent="0.5">
      <c r="B76" s="3" t="s">
        <v>10</v>
      </c>
      <c r="C76">
        <v>0</v>
      </c>
      <c r="D76">
        <v>0</v>
      </c>
      <c r="E76">
        <f>C76+D76</f>
        <v>0</v>
      </c>
      <c r="F76" s="9">
        <f>E76*25</f>
        <v>0</v>
      </c>
    </row>
    <row r="77" spans="2:12" x14ac:dyDescent="0.5">
      <c r="B77" s="3" t="s">
        <v>14</v>
      </c>
      <c r="C77">
        <v>70952.457299229587</v>
      </c>
      <c r="D77">
        <v>114000</v>
      </c>
      <c r="E77">
        <f>C77+D77</f>
        <v>184952.45729922957</v>
      </c>
      <c r="F77" s="9">
        <f>E77*25</f>
        <v>4623811.4324807394</v>
      </c>
    </row>
    <row r="78" spans="2:12" x14ac:dyDescent="0.5">
      <c r="B78" s="3" t="s">
        <v>47</v>
      </c>
      <c r="C78">
        <v>0</v>
      </c>
      <c r="D78">
        <v>0</v>
      </c>
      <c r="E78">
        <f>C78+D78</f>
        <v>0</v>
      </c>
      <c r="F78" s="9">
        <f>E78*25</f>
        <v>0</v>
      </c>
    </row>
    <row r="79" spans="2:12" ht="14.7" customHeight="1" thickBot="1" x14ac:dyDescent="0.55000000000000004">
      <c r="B79" s="16" t="s">
        <v>48</v>
      </c>
      <c r="C79" s="12"/>
      <c r="D79" s="12"/>
      <c r="E79">
        <f>C79+D79</f>
        <v>0</v>
      </c>
      <c r="F79" s="9">
        <f>E79*25</f>
        <v>0</v>
      </c>
    </row>
    <row r="80" spans="2:12" ht="14.7" customHeight="1" thickBot="1" x14ac:dyDescent="0.55000000000000004">
      <c r="B80" s="17" t="s">
        <v>49</v>
      </c>
      <c r="C80" s="18" t="s">
        <v>4</v>
      </c>
      <c r="D80" s="18" t="s">
        <v>5</v>
      </c>
      <c r="E80" s="18" t="s">
        <v>6</v>
      </c>
      <c r="F80" s="19" t="s">
        <v>7</v>
      </c>
    </row>
    <row r="81" spans="2:6" x14ac:dyDescent="0.5">
      <c r="B81" s="23" t="s">
        <v>18</v>
      </c>
      <c r="C81">
        <v>112853.1746249882</v>
      </c>
      <c r="D81">
        <v>140640</v>
      </c>
      <c r="E81">
        <f>C81+D81</f>
        <v>253493.1746249882</v>
      </c>
      <c r="F81" s="9">
        <f>E81*25</f>
        <v>6337329.3656247053</v>
      </c>
    </row>
    <row r="82" spans="2:6" ht="14.7" customHeight="1" thickBot="1" x14ac:dyDescent="0.55000000000000004">
      <c r="B82" s="16" t="s">
        <v>50</v>
      </c>
      <c r="C82" s="12"/>
      <c r="D82" s="12"/>
      <c r="E82">
        <f>C82+D82</f>
        <v>0</v>
      </c>
      <c r="F82" s="9">
        <f>E82*25</f>
        <v>0</v>
      </c>
    </row>
    <row r="83" spans="2:6" ht="14.7" customHeight="1" thickBot="1" x14ac:dyDescent="0.55000000000000004">
      <c r="B83" s="17"/>
      <c r="C83" s="18" t="s">
        <v>4</v>
      </c>
      <c r="D83" s="18" t="s">
        <v>5</v>
      </c>
      <c r="E83" s="18" t="s">
        <v>6</v>
      </c>
      <c r="F83" s="19" t="s">
        <v>7</v>
      </c>
    </row>
    <row r="84" spans="2:6" ht="14.7" customHeight="1" thickBot="1" x14ac:dyDescent="0.55000000000000004">
      <c r="B84" s="24" t="s">
        <v>22</v>
      </c>
      <c r="C84" s="12">
        <v>202962.7953950098</v>
      </c>
      <c r="D84" s="12">
        <v>11064093.881941359</v>
      </c>
      <c r="E84" s="12">
        <v>11267056.677336371</v>
      </c>
      <c r="F84" s="13">
        <f>E84*25</f>
        <v>281676416.93340927</v>
      </c>
    </row>
    <row r="85" spans="2:6" ht="14.7" customHeight="1" thickBot="1" x14ac:dyDescent="0.55000000000000004">
      <c r="B85" s="8"/>
      <c r="F85" s="9"/>
    </row>
    <row r="86" spans="2:6" ht="14.7" customHeight="1" thickBot="1" x14ac:dyDescent="0.55000000000000004">
      <c r="B86" s="29" t="s">
        <v>46</v>
      </c>
      <c r="C86" s="30"/>
      <c r="D86" s="31"/>
      <c r="F86" s="9"/>
    </row>
    <row r="87" spans="2:6" ht="14.7" customHeight="1" thickBot="1" x14ac:dyDescent="0.55000000000000004">
      <c r="B87" s="24" t="s">
        <v>23</v>
      </c>
      <c r="C87" s="18" t="s">
        <v>24</v>
      </c>
      <c r="D87" s="19" t="s">
        <v>25</v>
      </c>
      <c r="F87" s="9"/>
    </row>
    <row r="88" spans="2:6" x14ac:dyDescent="0.5">
      <c r="B88" s="23" t="s">
        <v>9</v>
      </c>
      <c r="C88">
        <v>3</v>
      </c>
      <c r="D88" s="9">
        <v>300</v>
      </c>
      <c r="F88" s="9"/>
    </row>
    <row r="89" spans="2:6" x14ac:dyDescent="0.5">
      <c r="B89" s="3" t="s">
        <v>10</v>
      </c>
      <c r="C89">
        <v>0</v>
      </c>
      <c r="D89" s="9">
        <v>0</v>
      </c>
      <c r="F89" s="9"/>
    </row>
    <row r="90" spans="2:6" x14ac:dyDescent="0.5">
      <c r="B90" s="3" t="s">
        <v>14</v>
      </c>
      <c r="C90">
        <v>1</v>
      </c>
      <c r="D90" s="9">
        <v>1000</v>
      </c>
      <c r="F90" s="9"/>
    </row>
    <row r="91" spans="2:6" x14ac:dyDescent="0.5">
      <c r="B91" s="3" t="s">
        <v>47</v>
      </c>
      <c r="C91">
        <v>0</v>
      </c>
      <c r="D91" s="9">
        <v>0</v>
      </c>
      <c r="F91" s="9"/>
    </row>
    <row r="92" spans="2:6" ht="14.7" customHeight="1" thickBot="1" x14ac:dyDescent="0.55000000000000004">
      <c r="B92" s="16" t="s">
        <v>26</v>
      </c>
      <c r="C92" s="12">
        <v>4</v>
      </c>
      <c r="D92" s="13">
        <v>1300</v>
      </c>
      <c r="F92" s="9"/>
    </row>
    <row r="93" spans="2:6" ht="14.7" customHeight="1" thickBot="1" x14ac:dyDescent="0.55000000000000004">
      <c r="B93" s="8"/>
      <c r="F93" s="9"/>
    </row>
    <row r="94" spans="2:6" ht="14.7" customHeight="1" thickBot="1" x14ac:dyDescent="0.55000000000000004">
      <c r="B94" s="29" t="s">
        <v>51</v>
      </c>
      <c r="C94" s="30"/>
      <c r="D94" s="31"/>
      <c r="F94" s="9"/>
    </row>
    <row r="95" spans="2:6" ht="14.7" customHeight="1" thickBot="1" x14ac:dyDescent="0.55000000000000004">
      <c r="B95" s="17" t="s">
        <v>23</v>
      </c>
      <c r="C95" s="18" t="s">
        <v>24</v>
      </c>
      <c r="D95" s="19" t="s">
        <v>25</v>
      </c>
      <c r="F95" s="9"/>
    </row>
    <row r="96" spans="2:6" ht="14.7" customHeight="1" thickBot="1" x14ac:dyDescent="0.55000000000000004">
      <c r="B96" s="24" t="s">
        <v>18</v>
      </c>
      <c r="C96" s="12">
        <v>500</v>
      </c>
      <c r="D96" s="13">
        <v>8790</v>
      </c>
      <c r="F96" s="9"/>
    </row>
    <row r="97" spans="2:6" ht="14.7" customHeight="1" thickBot="1" x14ac:dyDescent="0.55000000000000004">
      <c r="B97" s="8"/>
      <c r="F97" s="9"/>
    </row>
    <row r="98" spans="2:6" ht="14.7" customHeight="1" thickBot="1" x14ac:dyDescent="0.55000000000000004">
      <c r="B98" s="29" t="s">
        <v>52</v>
      </c>
      <c r="C98" s="30"/>
      <c r="D98" s="31"/>
      <c r="F98" s="9"/>
    </row>
    <row r="99" spans="2:6" ht="14.7" customHeight="1" thickBot="1" x14ac:dyDescent="0.55000000000000004">
      <c r="B99" s="17" t="s">
        <v>53</v>
      </c>
      <c r="C99" s="18" t="s">
        <v>54</v>
      </c>
      <c r="D99" s="19" t="s">
        <v>55</v>
      </c>
      <c r="F99" s="9"/>
    </row>
    <row r="100" spans="2:6" x14ac:dyDescent="0.5">
      <c r="B100" s="23" t="s">
        <v>56</v>
      </c>
      <c r="C100">
        <v>1981315.7894737029</v>
      </c>
      <c r="D100" s="9">
        <f>C100*25</f>
        <v>49532894.736842573</v>
      </c>
      <c r="F100" s="9"/>
    </row>
    <row r="101" spans="2:6" x14ac:dyDescent="0.5">
      <c r="B101" s="3" t="s">
        <v>57</v>
      </c>
      <c r="C101">
        <v>3177924.029333564</v>
      </c>
      <c r="D101" s="9">
        <f>C101*25</f>
        <v>79448100.733339101</v>
      </c>
      <c r="F101" s="9"/>
    </row>
    <row r="102" spans="2:6" ht="14.7" customHeight="1" thickBot="1" x14ac:dyDescent="0.55000000000000004">
      <c r="B102" s="16" t="s">
        <v>26</v>
      </c>
      <c r="C102" s="12">
        <f>C100+C101</f>
        <v>5159239.8188072667</v>
      </c>
      <c r="D102" s="13">
        <f>C102*25</f>
        <v>128980995.47018167</v>
      </c>
      <c r="F102" s="9"/>
    </row>
    <row r="103" spans="2:6" ht="14.7" customHeight="1" thickBot="1" x14ac:dyDescent="0.55000000000000004">
      <c r="B103" s="8"/>
      <c r="F103" s="9"/>
    </row>
    <row r="104" spans="2:6" ht="14.7" customHeight="1" thickBot="1" x14ac:dyDescent="0.55000000000000004">
      <c r="B104" s="29" t="s">
        <v>58</v>
      </c>
      <c r="C104" s="30"/>
      <c r="D104" s="31"/>
      <c r="F104" s="9"/>
    </row>
    <row r="105" spans="2:6" ht="14.7" customHeight="1" thickBot="1" x14ac:dyDescent="0.55000000000000004">
      <c r="B105" s="17" t="s">
        <v>53</v>
      </c>
      <c r="C105" s="18" t="s">
        <v>59</v>
      </c>
      <c r="D105" s="22" t="s">
        <v>60</v>
      </c>
      <c r="F105" s="9"/>
    </row>
    <row r="106" spans="2:6" x14ac:dyDescent="0.5">
      <c r="B106" s="23" t="s">
        <v>56</v>
      </c>
      <c r="C106">
        <f>2.6085*C100</f>
        <v>5168262.2368421536</v>
      </c>
      <c r="D106" s="9">
        <f>C106*25</f>
        <v>129206555.92105384</v>
      </c>
      <c r="F106" s="9"/>
    </row>
    <row r="107" spans="2:6" x14ac:dyDescent="0.5">
      <c r="B107" s="3" t="s">
        <v>57</v>
      </c>
      <c r="C107">
        <f>2.6085*C101</f>
        <v>8289614.830516601</v>
      </c>
      <c r="D107" s="9">
        <f>C107*25</f>
        <v>207240370.76291502</v>
      </c>
      <c r="F107" s="9"/>
    </row>
    <row r="108" spans="2:6" ht="14.7" customHeight="1" thickBot="1" x14ac:dyDescent="0.55000000000000004">
      <c r="B108" s="16" t="s">
        <v>26</v>
      </c>
      <c r="C108" s="12">
        <f>2.6085*C102</f>
        <v>13457877.067358755</v>
      </c>
      <c r="D108" s="13">
        <f>C108*25</f>
        <v>336446926.68396884</v>
      </c>
      <c r="E108" s="12"/>
      <c r="F108" s="13"/>
    </row>
  </sheetData>
  <mergeCells count="30">
    <mergeCell ref="H64:I64"/>
    <mergeCell ref="H50:J50"/>
    <mergeCell ref="H55:J55"/>
    <mergeCell ref="B86:D86"/>
    <mergeCell ref="B104:D104"/>
    <mergeCell ref="B73:F73"/>
    <mergeCell ref="B36:D36"/>
    <mergeCell ref="B94:D94"/>
    <mergeCell ref="B50:D50"/>
    <mergeCell ref="B68:C68"/>
    <mergeCell ref="B64:C64"/>
    <mergeCell ref="B47:C47"/>
    <mergeCell ref="B98:D98"/>
    <mergeCell ref="B72:F72"/>
    <mergeCell ref="H33:I33"/>
    <mergeCell ref="B5:L5"/>
    <mergeCell ref="B63:C63"/>
    <mergeCell ref="B43:D43"/>
    <mergeCell ref="H25:J25"/>
    <mergeCell ref="H6:L6"/>
    <mergeCell ref="H60:I60"/>
    <mergeCell ref="B60:C60"/>
    <mergeCell ref="B55:D55"/>
    <mergeCell ref="H47:I47"/>
    <mergeCell ref="B25:D25"/>
    <mergeCell ref="H43:J43"/>
    <mergeCell ref="B6:F6"/>
    <mergeCell ref="B33:C33"/>
    <mergeCell ref="H36:J36"/>
    <mergeCell ref="H63:I6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B4:N108"/>
  <sheetViews>
    <sheetView tabSelected="1" topLeftCell="A17" zoomScale="70" zoomScaleNormal="70" workbookViewId="0">
      <selection activeCell="M29" sqref="M29"/>
    </sheetView>
  </sheetViews>
  <sheetFormatPr defaultColWidth="39.234375" defaultRowHeight="14.35" x14ac:dyDescent="0.5"/>
  <cols>
    <col min="1" max="1" width="13.52734375" customWidth="1"/>
    <col min="2" max="2" width="15.234375" bestFit="1" customWidth="1"/>
    <col min="3" max="3" width="17.64453125" bestFit="1" customWidth="1"/>
    <col min="4" max="4" width="18.64453125" bestFit="1" customWidth="1"/>
    <col min="5" max="5" width="12.46875" bestFit="1" customWidth="1"/>
    <col min="6" max="6" width="13.5859375" bestFit="1" customWidth="1"/>
    <col min="7" max="7" width="12.46875" customWidth="1"/>
    <col min="8" max="8" width="15.234375" bestFit="1" customWidth="1"/>
    <col min="9" max="9" width="15.703125" bestFit="1" customWidth="1"/>
    <col min="10" max="10" width="18" bestFit="1" customWidth="1"/>
    <col min="11" max="11" width="12.46875" bestFit="1" customWidth="1"/>
    <col min="12" max="12" width="14.5859375" bestFit="1" customWidth="1"/>
    <col min="13" max="14" width="13.41015625" bestFit="1" customWidth="1"/>
    <col min="15" max="15" width="11.76171875" bestFit="1" customWidth="1"/>
  </cols>
  <sheetData>
    <row r="4" spans="2:14" ht="14.7" customHeight="1" thickBot="1" x14ac:dyDescent="0.55000000000000004"/>
    <row r="5" spans="2:14" ht="14.7" customHeight="1" thickBot="1" x14ac:dyDescent="0.55000000000000004">
      <c r="B5" s="29" t="s">
        <v>0</v>
      </c>
      <c r="C5" s="30"/>
      <c r="D5" s="30"/>
      <c r="E5" s="30"/>
      <c r="F5" s="30"/>
      <c r="G5" s="30"/>
      <c r="H5" s="30"/>
      <c r="I5" s="30"/>
      <c r="J5" s="30"/>
      <c r="K5" s="30"/>
      <c r="L5" s="31"/>
    </row>
    <row r="6" spans="2:14" ht="14.7" customHeight="1" thickBot="1" x14ac:dyDescent="0.55000000000000004">
      <c r="B6" s="29" t="s">
        <v>1</v>
      </c>
      <c r="C6" s="30"/>
      <c r="D6" s="30"/>
      <c r="E6" s="30"/>
      <c r="F6" s="31"/>
      <c r="H6" s="29" t="s">
        <v>2</v>
      </c>
      <c r="I6" s="30"/>
      <c r="J6" s="30"/>
      <c r="K6" s="30"/>
      <c r="L6" s="31"/>
    </row>
    <row r="7" spans="2:14" ht="14.7" customHeight="1" thickBot="1" x14ac:dyDescent="0.55000000000000004">
      <c r="B7" s="24" t="s">
        <v>3</v>
      </c>
      <c r="C7" s="18" t="s">
        <v>4</v>
      </c>
      <c r="D7" s="18" t="s">
        <v>5</v>
      </c>
      <c r="E7" s="18" t="s">
        <v>6</v>
      </c>
      <c r="F7" s="19" t="s">
        <v>7</v>
      </c>
      <c r="H7" s="24" t="s">
        <v>3</v>
      </c>
      <c r="I7" s="18" t="s">
        <v>4</v>
      </c>
      <c r="J7" s="18" t="s">
        <v>5</v>
      </c>
      <c r="K7" s="18" t="s">
        <v>6</v>
      </c>
      <c r="L7" s="19" t="s">
        <v>7</v>
      </c>
    </row>
    <row r="8" spans="2:14" x14ac:dyDescent="0.5">
      <c r="B8" s="3" t="s">
        <v>8</v>
      </c>
      <c r="C8" s="6">
        <f>13698 * D27*((0.05*((1.05)^25))/((1.05^25)-1))</f>
        <v>291572.0280254542</v>
      </c>
      <c r="D8" s="6">
        <f>29*D27</f>
        <v>8700</v>
      </c>
      <c r="E8" s="6">
        <f>C8+D8</f>
        <v>300272.0280254542</v>
      </c>
      <c r="F8" s="10">
        <f>E8*25</f>
        <v>7506800.7006363552</v>
      </c>
      <c r="H8" s="3" t="s">
        <v>9</v>
      </c>
      <c r="I8" s="39">
        <f>1615 * J27*((0.05*((1.05)^25))/((1.05^25)-1))</f>
        <v>0</v>
      </c>
      <c r="J8" s="39">
        <f>29*J27</f>
        <v>0</v>
      </c>
      <c r="K8" s="39">
        <f>I8+J8</f>
        <v>0</v>
      </c>
      <c r="L8" s="10">
        <f>K8*25</f>
        <v>0</v>
      </c>
    </row>
    <row r="9" spans="2:14" x14ac:dyDescent="0.5">
      <c r="B9" s="3" t="s">
        <v>10</v>
      </c>
      <c r="C9" s="6">
        <f>13698 * D28*((0.05*((1.05)^25))/((1.05^25)-1))</f>
        <v>485953.38004242367</v>
      </c>
      <c r="D9" s="6">
        <f>29*D28</f>
        <v>14500</v>
      </c>
      <c r="E9" s="6">
        <f>C9+D9</f>
        <v>500453.38004242367</v>
      </c>
      <c r="F9" s="10">
        <f>E9*25</f>
        <v>12511334.501060592</v>
      </c>
      <c r="H9" s="3" t="s">
        <v>10</v>
      </c>
      <c r="I9" s="39">
        <f>1615 * J28*((0.05*((1.05)^25))/((1.05^25)-1))</f>
        <v>114588.21853825584</v>
      </c>
      <c r="J9" s="39">
        <f>29*J28</f>
        <v>29000</v>
      </c>
      <c r="K9" s="39">
        <f>I9+J9</f>
        <v>143588.21853825584</v>
      </c>
      <c r="L9" s="10">
        <f>K9*25</f>
        <v>3589705.463456396</v>
      </c>
      <c r="M9" s="7"/>
      <c r="N9" s="6"/>
    </row>
    <row r="10" spans="2:14" x14ac:dyDescent="0.5">
      <c r="B10" s="3" t="s">
        <v>11</v>
      </c>
      <c r="C10" s="6">
        <f>13698 * D29*((0.05*((1.05)^25))/((1.05^25)-1))</f>
        <v>0</v>
      </c>
      <c r="D10" s="6">
        <f>29*D29</f>
        <v>0</v>
      </c>
      <c r="E10" s="6">
        <f>C10+D10</f>
        <v>0</v>
      </c>
      <c r="F10" s="10">
        <f>E10*25</f>
        <v>0</v>
      </c>
      <c r="H10" s="3" t="s">
        <v>11</v>
      </c>
      <c r="I10" s="39">
        <f>1615 * J29*((0.05*((1.05)^25))/((1.05^25)-1))</f>
        <v>0</v>
      </c>
      <c r="J10" s="39">
        <f>29*J29</f>
        <v>0</v>
      </c>
      <c r="K10" s="39">
        <f>I10+J10</f>
        <v>0</v>
      </c>
      <c r="L10" s="10">
        <f>K10*25</f>
        <v>0</v>
      </c>
      <c r="M10" s="7"/>
    </row>
    <row r="11" spans="2:14" ht="14.7" customHeight="1" thickBot="1" x14ac:dyDescent="0.55000000000000004">
      <c r="B11" s="16" t="s">
        <v>12</v>
      </c>
      <c r="C11" s="14">
        <f>13698 * D30*((0.05*((1.05)^25))/((1.05^25)-1))</f>
        <v>0</v>
      </c>
      <c r="D11" s="14">
        <f>29*D30</f>
        <v>0</v>
      </c>
      <c r="E11" s="14">
        <f>C11+D11</f>
        <v>0</v>
      </c>
      <c r="F11" s="15">
        <f>E11*25</f>
        <v>0</v>
      </c>
      <c r="H11" s="16" t="s">
        <v>12</v>
      </c>
      <c r="I11" s="14">
        <f>1615 * J30*((0.05*((1.05)^25))/((1.05^25)-1))</f>
        <v>0</v>
      </c>
      <c r="J11" s="14">
        <f>29*J30</f>
        <v>0</v>
      </c>
      <c r="K11" s="14">
        <f>I11+J11</f>
        <v>0</v>
      </c>
      <c r="L11" s="13">
        <f>K11*25</f>
        <v>0</v>
      </c>
    </row>
    <row r="12" spans="2:14" ht="14.7" customHeight="1" thickBot="1" x14ac:dyDescent="0.55000000000000004">
      <c r="B12" s="24" t="s">
        <v>13</v>
      </c>
      <c r="C12" s="18" t="s">
        <v>4</v>
      </c>
      <c r="D12" s="18" t="s">
        <v>5</v>
      </c>
      <c r="E12" s="18" t="s">
        <v>6</v>
      </c>
      <c r="F12" s="19" t="s">
        <v>7</v>
      </c>
      <c r="H12" s="24" t="s">
        <v>13</v>
      </c>
      <c r="I12" s="18" t="s">
        <v>4</v>
      </c>
      <c r="J12" s="18" t="s">
        <v>5</v>
      </c>
      <c r="K12" s="18" t="s">
        <v>6</v>
      </c>
      <c r="L12" s="19" t="s">
        <v>7</v>
      </c>
    </row>
    <row r="13" spans="2:14" x14ac:dyDescent="0.5">
      <c r="B13" s="3" t="s">
        <v>14</v>
      </c>
      <c r="C13" s="4">
        <f>2490 * D38*((0.05*((1.05)^10))/((1.05^10)-1))</f>
        <v>322466.39166398719</v>
      </c>
      <c r="D13" s="1">
        <f>37.35*D38</f>
        <v>37350</v>
      </c>
      <c r="E13">
        <f>C13+D13</f>
        <v>359816.39166398719</v>
      </c>
      <c r="F13" s="9">
        <f>E13*25</f>
        <v>8995409.7915996797</v>
      </c>
      <c r="H13" s="3" t="s">
        <v>14</v>
      </c>
      <c r="I13" s="4">
        <f>2490 * J38*((0.05*((1.05)^10))/((1.05^10)-1))</f>
        <v>322466.39166398719</v>
      </c>
      <c r="J13" s="1">
        <f>37.35*J38</f>
        <v>37350</v>
      </c>
      <c r="K13" s="39">
        <f>I13+J13</f>
        <v>359816.39166398719</v>
      </c>
      <c r="L13" s="10">
        <f>K13*25</f>
        <v>8995409.7915996797</v>
      </c>
    </row>
    <row r="14" spans="2:14" x14ac:dyDescent="0.5">
      <c r="B14" s="3" t="s">
        <v>15</v>
      </c>
      <c r="C14" s="4">
        <f>1570 * D39*((0.05*((1.05)^10))/((1.05^10)-1))</f>
        <v>0</v>
      </c>
      <c r="D14" s="1">
        <f>23.55*D39</f>
        <v>0</v>
      </c>
      <c r="E14">
        <f>C14+D14</f>
        <v>0</v>
      </c>
      <c r="F14" s="9">
        <f>E14*25</f>
        <v>0</v>
      </c>
      <c r="H14" s="3" t="s">
        <v>15</v>
      </c>
      <c r="I14" s="4">
        <f>1570 * J39*((0.05*((1.05)^10))/((1.05^10)-1))</f>
        <v>0</v>
      </c>
      <c r="J14" s="1">
        <f>23.55*J39</f>
        <v>0</v>
      </c>
      <c r="K14" s="38">
        <f>I14+J14</f>
        <v>0</v>
      </c>
      <c r="L14" s="10">
        <f>K14*25</f>
        <v>0</v>
      </c>
    </row>
    <row r="15" spans="2:14" ht="14.7" customHeight="1" thickBot="1" x14ac:dyDescent="0.55000000000000004">
      <c r="B15" s="16" t="s">
        <v>16</v>
      </c>
      <c r="C15" s="5">
        <f>1190 * D40*((0.05*((1.05)^10))/((1.05^10)-1))</f>
        <v>0</v>
      </c>
      <c r="D15" s="2">
        <f>17.85*D40</f>
        <v>0</v>
      </c>
      <c r="E15" s="12">
        <f>C15+D15</f>
        <v>0</v>
      </c>
      <c r="F15" s="13">
        <f>E15*25</f>
        <v>0</v>
      </c>
      <c r="H15" s="16" t="s">
        <v>16</v>
      </c>
      <c r="I15" s="5">
        <f>1190 * J40*((0.05*((1.05)^10))/((1.05^10)-1))</f>
        <v>0</v>
      </c>
      <c r="J15" s="2">
        <f>17.85*J40</f>
        <v>0</v>
      </c>
      <c r="K15" s="12">
        <f>I15+J15</f>
        <v>0</v>
      </c>
      <c r="L15" s="15">
        <f>K15*25</f>
        <v>0</v>
      </c>
    </row>
    <row r="16" spans="2:14" ht="14.7" customHeight="1" thickBot="1" x14ac:dyDescent="0.55000000000000004">
      <c r="B16" s="24" t="s">
        <v>17</v>
      </c>
      <c r="C16" s="18" t="s">
        <v>4</v>
      </c>
      <c r="D16" s="18" t="s">
        <v>5</v>
      </c>
      <c r="E16" s="18" t="s">
        <v>6</v>
      </c>
      <c r="F16" s="19" t="s">
        <v>7</v>
      </c>
      <c r="H16" s="24" t="s">
        <v>17</v>
      </c>
      <c r="I16" s="18" t="s">
        <v>4</v>
      </c>
      <c r="J16" s="18" t="s">
        <v>5</v>
      </c>
      <c r="K16" s="18" t="s">
        <v>6</v>
      </c>
      <c r="L16" s="19" t="s">
        <v>7</v>
      </c>
    </row>
    <row r="17" spans="2:14" ht="14.7" customHeight="1" thickBot="1" x14ac:dyDescent="0.55000000000000004">
      <c r="B17" s="16" t="s">
        <v>18</v>
      </c>
      <c r="C17" s="12">
        <v>10608.198414748889</v>
      </c>
      <c r="D17" s="12">
        <v>13220.16</v>
      </c>
      <c r="E17" s="12">
        <f>D17+C17</f>
        <v>23828.358414748887</v>
      </c>
      <c r="F17" s="13">
        <f>E17*25</f>
        <v>595708.96036872221</v>
      </c>
      <c r="H17" s="16" t="s">
        <v>18</v>
      </c>
      <c r="I17" s="12">
        <v>10608.198414748889</v>
      </c>
      <c r="J17" s="12">
        <v>13220.16</v>
      </c>
      <c r="K17" s="12">
        <f>J17+I17</f>
        <v>23828.358414748887</v>
      </c>
      <c r="L17" s="15">
        <f>K17*25</f>
        <v>595708.96036872221</v>
      </c>
    </row>
    <row r="18" spans="2:14" ht="14.7" customHeight="1" thickBot="1" x14ac:dyDescent="0.55000000000000004">
      <c r="B18" s="24" t="s">
        <v>19</v>
      </c>
      <c r="C18" s="18" t="s">
        <v>4</v>
      </c>
      <c r="D18" s="18" t="s">
        <v>5</v>
      </c>
      <c r="E18" s="18" t="s">
        <v>6</v>
      </c>
      <c r="F18" s="19" t="s">
        <v>7</v>
      </c>
      <c r="H18" s="24" t="s">
        <v>20</v>
      </c>
      <c r="I18" s="18" t="s">
        <v>4</v>
      </c>
      <c r="J18" s="18" t="s">
        <v>5</v>
      </c>
      <c r="K18" s="18" t="s">
        <v>6</v>
      </c>
      <c r="L18" s="19" t="s">
        <v>7</v>
      </c>
    </row>
    <row r="19" spans="2:14" ht="14.7" customHeight="1" thickBot="1" x14ac:dyDescent="0.55000000000000004">
      <c r="B19" s="11"/>
      <c r="C19" s="12">
        <f>C48*300*((0.05*((1.05)^20))/((1.05^20)-1))</f>
        <v>64515.040101315819</v>
      </c>
      <c r="D19" s="12">
        <v>0</v>
      </c>
      <c r="E19" s="12">
        <f>D19+C19</f>
        <v>64515.040101315819</v>
      </c>
      <c r="F19" s="13">
        <f>E19*25</f>
        <v>1612876.0025328954</v>
      </c>
      <c r="H19" s="11"/>
      <c r="I19" s="14">
        <f>(I48/10)*3000*((0.05*((1.05)^20))/((1.05^20)-1))</f>
        <v>9869.8382244550321</v>
      </c>
      <c r="J19" s="12">
        <v>0</v>
      </c>
      <c r="K19" s="12">
        <f>J19+I19</f>
        <v>9869.8382244550321</v>
      </c>
      <c r="L19" s="15">
        <f>K19*25</f>
        <v>246745.9556113758</v>
      </c>
    </row>
    <row r="20" spans="2:14" ht="14.7" customHeight="1" thickBot="1" x14ac:dyDescent="0.55000000000000004">
      <c r="B20" s="24" t="s">
        <v>21</v>
      </c>
      <c r="C20" s="18" t="s">
        <v>4</v>
      </c>
      <c r="D20" s="18" t="s">
        <v>5</v>
      </c>
      <c r="E20" s="18" t="s">
        <v>6</v>
      </c>
      <c r="F20" s="19" t="s">
        <v>7</v>
      </c>
      <c r="H20" s="24" t="s">
        <v>21</v>
      </c>
      <c r="I20" s="18" t="s">
        <v>4</v>
      </c>
      <c r="J20" s="18" t="s">
        <v>5</v>
      </c>
      <c r="K20" s="18" t="s">
        <v>6</v>
      </c>
      <c r="L20" s="19" t="s">
        <v>7</v>
      </c>
    </row>
    <row r="21" spans="2:14" ht="14.7" customHeight="1" thickBot="1" x14ac:dyDescent="0.55000000000000004">
      <c r="B21" s="11"/>
      <c r="C21" s="12">
        <v>0</v>
      </c>
      <c r="D21" s="12">
        <v>0</v>
      </c>
      <c r="E21" s="12">
        <f>C21+D21</f>
        <v>0</v>
      </c>
      <c r="F21" s="13">
        <f>E21*25</f>
        <v>0</v>
      </c>
      <c r="H21" s="11"/>
      <c r="I21" s="12">
        <v>0</v>
      </c>
      <c r="J21" s="12">
        <v>0</v>
      </c>
      <c r="K21" s="12">
        <f>J21+I21</f>
        <v>0</v>
      </c>
      <c r="L21" s="13">
        <f>K21*25</f>
        <v>0</v>
      </c>
    </row>
    <row r="22" spans="2:14" ht="14.7" customHeight="1" thickBot="1" x14ac:dyDescent="0.55000000000000004">
      <c r="B22" s="17"/>
      <c r="C22" s="18" t="s">
        <v>4</v>
      </c>
      <c r="D22" s="18" t="s">
        <v>5</v>
      </c>
      <c r="E22" s="18" t="s">
        <v>6</v>
      </c>
      <c r="F22" s="19" t="s">
        <v>7</v>
      </c>
      <c r="H22" s="17"/>
      <c r="I22" s="18" t="s">
        <v>4</v>
      </c>
      <c r="J22" s="18" t="s">
        <v>5</v>
      </c>
      <c r="K22" s="18" t="s">
        <v>6</v>
      </c>
      <c r="L22" s="19" t="s">
        <v>7</v>
      </c>
    </row>
    <row r="23" spans="2:14" ht="14.7" customHeight="1" thickBot="1" x14ac:dyDescent="0.55000000000000004">
      <c r="B23" s="24" t="s">
        <v>22</v>
      </c>
      <c r="C23" s="12">
        <v>1175355.7660095009</v>
      </c>
      <c r="D23" s="12">
        <v>73770.16</v>
      </c>
      <c r="E23" s="25">
        <v>1249125.9260095011</v>
      </c>
      <c r="F23" s="13">
        <f>D23*25</f>
        <v>1844254</v>
      </c>
      <c r="H23" s="24" t="s">
        <v>22</v>
      </c>
      <c r="I23" s="14">
        <v>457532.64684144681</v>
      </c>
      <c r="J23" s="14">
        <v>79570.16</v>
      </c>
      <c r="K23" s="14">
        <v>4062917.2247025901</v>
      </c>
      <c r="L23" s="15">
        <f>K23*25</f>
        <v>101572930.61756475</v>
      </c>
      <c r="M23" s="6"/>
    </row>
    <row r="24" spans="2:14" ht="14.7" customHeight="1" thickBot="1" x14ac:dyDescent="0.55000000000000004">
      <c r="B24" s="8"/>
      <c r="F24" s="9"/>
      <c r="H24" s="8"/>
      <c r="I24" s="39"/>
      <c r="J24" s="39"/>
      <c r="K24" s="39"/>
      <c r="L24" s="10"/>
      <c r="M24" s="6"/>
      <c r="N24" s="7"/>
    </row>
    <row r="25" spans="2:14" ht="14.7" customHeight="1" thickBot="1" x14ac:dyDescent="0.55000000000000004">
      <c r="B25" s="29" t="s">
        <v>3</v>
      </c>
      <c r="C25" s="30"/>
      <c r="D25" s="31"/>
      <c r="F25" s="9"/>
      <c r="H25" s="29" t="s">
        <v>3</v>
      </c>
      <c r="I25" s="30"/>
      <c r="J25" s="31"/>
      <c r="K25" s="38"/>
      <c r="L25" s="10"/>
      <c r="M25" s="6"/>
    </row>
    <row r="26" spans="2:14" ht="14.7" customHeight="1" thickBot="1" x14ac:dyDescent="0.55000000000000004">
      <c r="B26" s="17" t="s">
        <v>23</v>
      </c>
      <c r="C26" s="18" t="s">
        <v>24</v>
      </c>
      <c r="D26" s="19" t="s">
        <v>25</v>
      </c>
      <c r="F26" s="9"/>
      <c r="H26" s="17" t="s">
        <v>23</v>
      </c>
      <c r="I26" s="18" t="s">
        <v>24</v>
      </c>
      <c r="J26" s="19" t="s">
        <v>25</v>
      </c>
      <c r="K26" s="38"/>
      <c r="L26" s="10"/>
      <c r="M26" s="6"/>
    </row>
    <row r="27" spans="2:14" x14ac:dyDescent="0.5">
      <c r="B27" s="23" t="s">
        <v>9</v>
      </c>
      <c r="C27">
        <v>3</v>
      </c>
      <c r="D27" s="9">
        <v>300</v>
      </c>
      <c r="F27" s="9"/>
      <c r="H27" s="8" t="s">
        <v>9</v>
      </c>
      <c r="I27" s="38">
        <v>0</v>
      </c>
      <c r="J27" s="9">
        <v>0</v>
      </c>
      <c r="K27" s="38"/>
      <c r="L27" s="9"/>
    </row>
    <row r="28" spans="2:14" x14ac:dyDescent="0.5">
      <c r="B28" s="3" t="s">
        <v>10</v>
      </c>
      <c r="C28">
        <v>1</v>
      </c>
      <c r="D28" s="9">
        <v>500</v>
      </c>
      <c r="F28" s="9"/>
      <c r="H28" s="8" t="s">
        <v>10</v>
      </c>
      <c r="I28" s="38">
        <v>2</v>
      </c>
      <c r="J28" s="9">
        <v>1000</v>
      </c>
      <c r="K28" s="38"/>
      <c r="L28" s="9"/>
    </row>
    <row r="29" spans="2:14" x14ac:dyDescent="0.5">
      <c r="B29" s="3" t="s">
        <v>11</v>
      </c>
      <c r="C29">
        <v>0</v>
      </c>
      <c r="D29" s="9">
        <v>0</v>
      </c>
      <c r="F29" s="9"/>
      <c r="H29" s="8" t="s">
        <v>11</v>
      </c>
      <c r="I29" s="38">
        <v>0</v>
      </c>
      <c r="J29" s="9">
        <v>0</v>
      </c>
      <c r="K29" s="38"/>
      <c r="L29" s="9"/>
    </row>
    <row r="30" spans="2:14" x14ac:dyDescent="0.5">
      <c r="B30" s="3" t="s">
        <v>12</v>
      </c>
      <c r="C30">
        <v>0</v>
      </c>
      <c r="D30" s="9">
        <v>0</v>
      </c>
      <c r="F30" s="9"/>
      <c r="H30" s="8" t="s">
        <v>12</v>
      </c>
      <c r="I30" s="38">
        <v>0</v>
      </c>
      <c r="J30" s="9">
        <v>0</v>
      </c>
      <c r="K30" s="38"/>
      <c r="L30" s="9"/>
    </row>
    <row r="31" spans="2:14" ht="14.7" customHeight="1" thickBot="1" x14ac:dyDescent="0.55000000000000004">
      <c r="B31" s="16" t="s">
        <v>26</v>
      </c>
      <c r="C31" s="12">
        <v>4</v>
      </c>
      <c r="D31" s="13">
        <v>800</v>
      </c>
      <c r="F31" s="9"/>
      <c r="H31" s="11" t="s">
        <v>26</v>
      </c>
      <c r="I31" s="12">
        <v>2</v>
      </c>
      <c r="J31" s="13">
        <v>1000</v>
      </c>
      <c r="K31" s="38"/>
      <c r="L31" s="9"/>
    </row>
    <row r="32" spans="2:14" ht="14.7" customHeight="1" thickBot="1" x14ac:dyDescent="0.55000000000000004">
      <c r="B32" s="8"/>
      <c r="F32" s="9"/>
      <c r="H32" s="8"/>
      <c r="I32" s="38"/>
      <c r="J32" s="38"/>
      <c r="K32" s="38"/>
      <c r="L32" s="9"/>
    </row>
    <row r="33" spans="2:12" ht="14.7" customHeight="1" thickBot="1" x14ac:dyDescent="0.55000000000000004">
      <c r="B33" s="29" t="s">
        <v>21</v>
      </c>
      <c r="C33" s="31"/>
      <c r="F33" s="9"/>
      <c r="H33" s="29" t="s">
        <v>21</v>
      </c>
      <c r="I33" s="31"/>
      <c r="J33" s="38"/>
      <c r="K33" s="38"/>
      <c r="L33" s="9"/>
    </row>
    <row r="34" spans="2:12" ht="14.7" customHeight="1" thickBot="1" x14ac:dyDescent="0.55000000000000004">
      <c r="B34" s="24" t="s">
        <v>25</v>
      </c>
      <c r="C34" s="13">
        <v>0</v>
      </c>
      <c r="F34" s="9"/>
      <c r="H34" s="24" t="s">
        <v>25</v>
      </c>
      <c r="I34" s="13">
        <v>0</v>
      </c>
      <c r="J34" s="38"/>
      <c r="K34" s="38"/>
      <c r="L34" s="9"/>
    </row>
    <row r="35" spans="2:12" ht="14.7" customHeight="1" thickBot="1" x14ac:dyDescent="0.55000000000000004">
      <c r="B35" s="8"/>
      <c r="F35" s="9"/>
      <c r="H35" s="8"/>
      <c r="I35" s="38"/>
      <c r="J35" s="38"/>
      <c r="K35" s="38"/>
      <c r="L35" s="9"/>
    </row>
    <row r="36" spans="2:12" ht="14.7" customHeight="1" thickBot="1" x14ac:dyDescent="0.55000000000000004">
      <c r="B36" s="29" t="s">
        <v>13</v>
      </c>
      <c r="C36" s="30"/>
      <c r="D36" s="31"/>
      <c r="F36" s="9"/>
      <c r="H36" s="29" t="s">
        <v>13</v>
      </c>
      <c r="I36" s="30"/>
      <c r="J36" s="31"/>
      <c r="K36" s="38"/>
      <c r="L36" s="9"/>
    </row>
    <row r="37" spans="2:12" ht="14.7" customHeight="1" thickBot="1" x14ac:dyDescent="0.55000000000000004">
      <c r="B37" s="24" t="s">
        <v>23</v>
      </c>
      <c r="C37" s="18" t="s">
        <v>24</v>
      </c>
      <c r="D37" s="19" t="s">
        <v>25</v>
      </c>
      <c r="F37" s="9"/>
      <c r="H37" s="17" t="s">
        <v>23</v>
      </c>
      <c r="I37" s="18" t="s">
        <v>24</v>
      </c>
      <c r="J37" s="19" t="s">
        <v>25</v>
      </c>
      <c r="K37" s="38"/>
      <c r="L37" s="9"/>
    </row>
    <row r="38" spans="2:12" x14ac:dyDescent="0.5">
      <c r="B38" s="23" t="s">
        <v>14</v>
      </c>
      <c r="C38">
        <v>1</v>
      </c>
      <c r="D38" s="9">
        <v>1000</v>
      </c>
      <c r="F38" s="9"/>
      <c r="H38" s="23" t="s">
        <v>14</v>
      </c>
      <c r="I38" s="38">
        <v>1</v>
      </c>
      <c r="J38" s="9">
        <v>1000</v>
      </c>
      <c r="K38" s="38"/>
      <c r="L38" s="9"/>
    </row>
    <row r="39" spans="2:12" x14ac:dyDescent="0.5">
      <c r="B39" s="3" t="s">
        <v>15</v>
      </c>
      <c r="C39">
        <v>0</v>
      </c>
      <c r="D39" s="9">
        <v>0</v>
      </c>
      <c r="F39" s="9"/>
      <c r="H39" s="3" t="s">
        <v>15</v>
      </c>
      <c r="I39" s="38">
        <v>0</v>
      </c>
      <c r="J39" s="9">
        <v>0</v>
      </c>
      <c r="K39" s="38"/>
      <c r="L39" s="9"/>
    </row>
    <row r="40" spans="2:12" x14ac:dyDescent="0.5">
      <c r="B40" s="3" t="s">
        <v>16</v>
      </c>
      <c r="C40">
        <v>0</v>
      </c>
      <c r="D40" s="9">
        <v>0</v>
      </c>
      <c r="F40" s="9"/>
      <c r="H40" s="3" t="s">
        <v>16</v>
      </c>
      <c r="I40" s="38">
        <v>0</v>
      </c>
      <c r="J40" s="9">
        <v>0</v>
      </c>
      <c r="K40" s="38"/>
      <c r="L40" s="9"/>
    </row>
    <row r="41" spans="2:12" ht="14.7" customHeight="1" thickBot="1" x14ac:dyDescent="0.55000000000000004">
      <c r="B41" s="16" t="s">
        <v>26</v>
      </c>
      <c r="C41" s="12">
        <v>1</v>
      </c>
      <c r="D41" s="13">
        <v>1000</v>
      </c>
      <c r="F41" s="9"/>
      <c r="H41" s="16" t="s">
        <v>26</v>
      </c>
      <c r="I41" s="12">
        <v>1</v>
      </c>
      <c r="J41" s="13">
        <v>1000</v>
      </c>
      <c r="K41" s="38"/>
      <c r="L41" s="9"/>
    </row>
    <row r="42" spans="2:12" ht="14.7" customHeight="1" thickBot="1" x14ac:dyDescent="0.55000000000000004">
      <c r="B42" s="8"/>
      <c r="F42" s="9"/>
      <c r="H42" s="8"/>
      <c r="I42" s="38"/>
      <c r="J42" s="38"/>
      <c r="K42" s="38"/>
      <c r="L42" s="9"/>
    </row>
    <row r="43" spans="2:12" ht="14.7" customHeight="1" thickBot="1" x14ac:dyDescent="0.55000000000000004">
      <c r="B43" s="29" t="s">
        <v>27</v>
      </c>
      <c r="C43" s="30"/>
      <c r="D43" s="31"/>
      <c r="F43" s="9"/>
      <c r="H43" s="29" t="s">
        <v>27</v>
      </c>
      <c r="I43" s="30"/>
      <c r="J43" s="31"/>
      <c r="K43" s="38"/>
      <c r="L43" s="9"/>
    </row>
    <row r="44" spans="2:12" ht="14.7" customHeight="1" thickBot="1" x14ac:dyDescent="0.55000000000000004">
      <c r="B44" s="24" t="s">
        <v>23</v>
      </c>
      <c r="C44" s="18" t="s">
        <v>24</v>
      </c>
      <c r="D44" s="19" t="s">
        <v>25</v>
      </c>
      <c r="F44" s="9"/>
      <c r="H44" s="17" t="s">
        <v>23</v>
      </c>
      <c r="I44" s="18" t="s">
        <v>24</v>
      </c>
      <c r="J44" s="19" t="s">
        <v>25</v>
      </c>
      <c r="K44" s="38"/>
      <c r="L44" s="9"/>
    </row>
    <row r="45" spans="2:12" ht="14.7" customHeight="1" thickBot="1" x14ac:dyDescent="0.55000000000000004">
      <c r="B45" s="24" t="s">
        <v>18</v>
      </c>
      <c r="C45" s="12">
        <v>47</v>
      </c>
      <c r="D45" s="13">
        <v>826.25999999999988</v>
      </c>
      <c r="F45" s="9"/>
      <c r="H45" s="24" t="s">
        <v>18</v>
      </c>
      <c r="I45" s="12">
        <v>47</v>
      </c>
      <c r="J45" s="13">
        <v>826.25999999999988</v>
      </c>
      <c r="K45" s="38"/>
      <c r="L45" s="9"/>
    </row>
    <row r="46" spans="2:12" ht="14.7" customHeight="1" thickBot="1" x14ac:dyDescent="0.55000000000000004">
      <c r="B46" s="8"/>
      <c r="F46" s="9"/>
      <c r="H46" s="8"/>
      <c r="I46" s="38"/>
      <c r="J46" s="38"/>
      <c r="K46" s="38"/>
      <c r="L46" s="9"/>
    </row>
    <row r="47" spans="2:12" ht="14.7" customHeight="1" thickBot="1" x14ac:dyDescent="0.55000000000000004">
      <c r="B47" s="29" t="s">
        <v>28</v>
      </c>
      <c r="C47" s="31"/>
      <c r="F47" s="9"/>
      <c r="H47" s="29" t="s">
        <v>28</v>
      </c>
      <c r="I47" s="31"/>
      <c r="J47" s="38"/>
      <c r="K47" s="38"/>
      <c r="L47" s="9"/>
    </row>
    <row r="48" spans="2:12" ht="14.7" customHeight="1" thickBot="1" x14ac:dyDescent="0.55000000000000004">
      <c r="B48" s="11" t="s">
        <v>29</v>
      </c>
      <c r="C48" s="13">
        <v>2680</v>
      </c>
      <c r="F48" s="9"/>
      <c r="H48" s="24" t="s">
        <v>29</v>
      </c>
      <c r="I48" s="13">
        <v>410</v>
      </c>
      <c r="J48" s="38"/>
      <c r="K48" s="38"/>
      <c r="L48" s="9"/>
    </row>
    <row r="49" spans="2:12" ht="14.7" customHeight="1" thickBot="1" x14ac:dyDescent="0.55000000000000004">
      <c r="B49" s="8"/>
      <c r="F49" s="9"/>
      <c r="H49" s="8"/>
      <c r="I49" s="38"/>
      <c r="J49" s="38"/>
      <c r="K49" s="38"/>
      <c r="L49" s="9"/>
    </row>
    <row r="50" spans="2:12" ht="14.7" customHeight="1" thickBot="1" x14ac:dyDescent="0.55000000000000004">
      <c r="B50" s="29" t="s">
        <v>30</v>
      </c>
      <c r="C50" s="30"/>
      <c r="D50" s="31"/>
      <c r="F50" s="9"/>
      <c r="H50" s="35" t="s">
        <v>30</v>
      </c>
      <c r="I50" s="36"/>
      <c r="J50" s="37"/>
      <c r="K50" s="38"/>
      <c r="L50" s="9"/>
    </row>
    <row r="51" spans="2:12" ht="14.7" customHeight="1" thickBot="1" x14ac:dyDescent="0.55000000000000004">
      <c r="B51" s="11" t="s">
        <v>31</v>
      </c>
      <c r="C51" s="12" t="s">
        <v>32</v>
      </c>
      <c r="D51" s="13" t="s">
        <v>33</v>
      </c>
      <c r="F51" s="9"/>
      <c r="H51" s="24" t="s">
        <v>31</v>
      </c>
      <c r="I51" s="18" t="s">
        <v>61</v>
      </c>
      <c r="J51" s="21" t="s">
        <v>33</v>
      </c>
      <c r="K51" s="38"/>
      <c r="L51" s="9"/>
    </row>
    <row r="52" spans="2:12" ht="14.7" customHeight="1" x14ac:dyDescent="0.5">
      <c r="B52" s="23" t="s">
        <v>34</v>
      </c>
      <c r="C52" s="26">
        <v>874409.56851678505</v>
      </c>
      <c r="D52" s="27">
        <f>C52*25</f>
        <v>21860239.212919626</v>
      </c>
      <c r="F52" s="9"/>
      <c r="H52" s="3" t="s">
        <v>34</v>
      </c>
      <c r="I52" s="40">
        <v>631940.77102553903</v>
      </c>
      <c r="J52" s="27">
        <f>I52*25</f>
        <v>15798519.275638476</v>
      </c>
      <c r="K52" s="38"/>
      <c r="L52" s="9"/>
    </row>
    <row r="53" spans="2:12" ht="14.7" customHeight="1" thickBot="1" x14ac:dyDescent="0.55000000000000004">
      <c r="B53" s="16" t="s">
        <v>35</v>
      </c>
      <c r="C53" s="25">
        <v>160332.5724762849</v>
      </c>
      <c r="D53" s="28">
        <f>C53*25</f>
        <v>4008314.3119071224</v>
      </c>
      <c r="F53" s="9"/>
      <c r="H53" s="16" t="s">
        <v>35</v>
      </c>
      <c r="I53" s="25">
        <v>25488.005123250721</v>
      </c>
      <c r="J53" s="28">
        <f>I53*25</f>
        <v>637200.12808126805</v>
      </c>
      <c r="K53" s="38"/>
      <c r="L53" s="9"/>
    </row>
    <row r="54" spans="2:12" ht="14.7" customHeight="1" thickBot="1" x14ac:dyDescent="0.55000000000000004">
      <c r="B54" s="8"/>
      <c r="F54" s="9"/>
      <c r="H54" s="8"/>
      <c r="I54" s="39"/>
      <c r="J54" s="10"/>
      <c r="K54" s="38"/>
      <c r="L54" s="9"/>
    </row>
    <row r="55" spans="2:12" ht="14.7" customHeight="1" thickBot="1" x14ac:dyDescent="0.55000000000000004">
      <c r="B55" s="29" t="s">
        <v>36</v>
      </c>
      <c r="C55" s="30"/>
      <c r="D55" s="31"/>
      <c r="F55" s="9"/>
      <c r="H55" s="35" t="s">
        <v>36</v>
      </c>
      <c r="I55" s="36"/>
      <c r="J55" s="37"/>
      <c r="K55" s="38"/>
      <c r="L55" s="9"/>
    </row>
    <row r="56" spans="2:12" ht="14.7" customHeight="1" thickBot="1" x14ac:dyDescent="0.55000000000000004">
      <c r="B56" s="11" t="s">
        <v>31</v>
      </c>
      <c r="C56" s="12" t="s">
        <v>32</v>
      </c>
      <c r="D56" s="13" t="s">
        <v>33</v>
      </c>
      <c r="F56" s="9"/>
      <c r="H56" s="24" t="s">
        <v>31</v>
      </c>
      <c r="I56" s="20">
        <v>171638.23410570199</v>
      </c>
      <c r="J56" s="21" t="s">
        <v>33</v>
      </c>
      <c r="K56" s="38"/>
      <c r="L56" s="9"/>
    </row>
    <row r="57" spans="2:12" ht="14.7" customHeight="1" thickBot="1" x14ac:dyDescent="0.55000000000000004">
      <c r="B57" s="23" t="s">
        <v>34</v>
      </c>
      <c r="C57">
        <v>237493.95688110101</v>
      </c>
      <c r="D57" s="9">
        <f>C57*25</f>
        <v>5937348.9220275255</v>
      </c>
      <c r="F57" s="9"/>
      <c r="H57" s="16" t="s">
        <v>34</v>
      </c>
      <c r="I57" s="14">
        <v>9580.3123883284206</v>
      </c>
      <c r="J57" s="15">
        <f>I57*25</f>
        <v>239507.80970821052</v>
      </c>
      <c r="K57" s="38"/>
      <c r="L57" s="9"/>
    </row>
    <row r="58" spans="2:12" ht="14.7" customHeight="1" thickBot="1" x14ac:dyDescent="0.55000000000000004">
      <c r="B58" s="16" t="s">
        <v>35</v>
      </c>
      <c r="C58" s="12">
        <v>61136.198798654397</v>
      </c>
      <c r="D58" s="13">
        <f>C58*25</f>
        <v>1528404.9699663599</v>
      </c>
      <c r="F58" s="9"/>
      <c r="H58" s="8" t="s">
        <v>35</v>
      </c>
      <c r="I58" s="12">
        <v>25488.005123250721</v>
      </c>
      <c r="J58" s="38">
        <f>I58*25</f>
        <v>637200.12808126805</v>
      </c>
      <c r="K58" s="38"/>
      <c r="L58" s="9"/>
    </row>
    <row r="59" spans="2:12" ht="14.7" customHeight="1" thickBot="1" x14ac:dyDescent="0.55000000000000004">
      <c r="B59" s="8"/>
      <c r="F59" s="9"/>
      <c r="H59" s="8"/>
      <c r="I59" s="38"/>
      <c r="J59" s="38"/>
      <c r="K59" s="38"/>
      <c r="L59" s="9"/>
    </row>
    <row r="60" spans="2:12" ht="14.7" customHeight="1" thickBot="1" x14ac:dyDescent="0.55000000000000004">
      <c r="B60" s="29" t="s">
        <v>37</v>
      </c>
      <c r="C60" s="31"/>
      <c r="F60" s="9"/>
      <c r="H60" s="29" t="s">
        <v>38</v>
      </c>
      <c r="I60" s="31"/>
      <c r="J60" s="38"/>
      <c r="K60" s="38"/>
      <c r="L60" s="9"/>
    </row>
    <row r="61" spans="2:12" ht="14.7" customHeight="1" thickBot="1" x14ac:dyDescent="0.55000000000000004">
      <c r="B61" s="24" t="s">
        <v>39</v>
      </c>
      <c r="C61" s="13">
        <v>24147.720478181898</v>
      </c>
      <c r="F61" s="9"/>
      <c r="H61" s="24" t="s">
        <v>39</v>
      </c>
      <c r="I61" s="13">
        <v>3648.6303515777199</v>
      </c>
      <c r="J61" s="38"/>
      <c r="K61" s="38"/>
      <c r="L61" s="9"/>
    </row>
    <row r="62" spans="2:12" ht="14.7" customHeight="1" thickBot="1" x14ac:dyDescent="0.55000000000000004">
      <c r="B62" s="8"/>
      <c r="F62" s="9"/>
      <c r="H62" s="8"/>
      <c r="I62" s="38"/>
      <c r="J62" s="38"/>
      <c r="K62" s="38"/>
      <c r="L62" s="9"/>
    </row>
    <row r="63" spans="2:12" ht="14.7" customHeight="1" thickBot="1" x14ac:dyDescent="0.55000000000000004">
      <c r="B63" s="29" t="s">
        <v>40</v>
      </c>
      <c r="C63" s="31"/>
      <c r="F63" s="9"/>
      <c r="H63" s="29" t="s">
        <v>40</v>
      </c>
      <c r="I63" s="31"/>
      <c r="J63" s="38"/>
      <c r="K63" s="38"/>
      <c r="L63" s="9"/>
    </row>
    <row r="64" spans="2:12" ht="14.7" customHeight="1" thickBot="1" x14ac:dyDescent="0.55000000000000004">
      <c r="B64" s="29">
        <f>E23/B70</f>
        <v>1.0407399489631175</v>
      </c>
      <c r="C64" s="31"/>
      <c r="F64" s="9"/>
      <c r="H64" s="29">
        <f>K23/B70</f>
        <v>3.3851192878420671</v>
      </c>
      <c r="I64" s="31"/>
      <c r="J64" s="38"/>
      <c r="K64" s="38"/>
      <c r="L64" s="9"/>
    </row>
    <row r="65" spans="2:12" x14ac:dyDescent="0.5">
      <c r="B65" s="8"/>
      <c r="F65" s="9"/>
      <c r="H65" s="8"/>
      <c r="I65" s="38"/>
      <c r="J65" s="38"/>
      <c r="K65" s="38"/>
      <c r="L65" s="9"/>
    </row>
    <row r="66" spans="2:12" ht="14.7" customHeight="1" thickBot="1" x14ac:dyDescent="0.55000000000000004">
      <c r="B66" s="11"/>
      <c r="C66" s="12"/>
      <c r="D66" s="12"/>
      <c r="E66" s="12"/>
      <c r="F66" s="13"/>
      <c r="G66" s="12"/>
      <c r="H66" s="11"/>
      <c r="I66" s="12"/>
      <c r="J66" s="12"/>
      <c r="K66" s="12"/>
      <c r="L66" s="13"/>
    </row>
    <row r="67" spans="2:12" ht="14.7" customHeight="1" thickBot="1" x14ac:dyDescent="0.55000000000000004">
      <c r="B67" s="11"/>
      <c r="C67" s="12"/>
      <c r="L67" s="9"/>
    </row>
    <row r="68" spans="2:12" ht="14.7" customHeight="1" thickBot="1" x14ac:dyDescent="0.55000000000000004">
      <c r="B68" s="32" t="s">
        <v>41</v>
      </c>
      <c r="C68" s="33"/>
      <c r="L68" s="9"/>
    </row>
    <row r="69" spans="2:12" ht="14.7" customHeight="1" thickBot="1" x14ac:dyDescent="0.55000000000000004">
      <c r="B69" s="17" t="s">
        <v>42</v>
      </c>
      <c r="C69" s="19" t="s">
        <v>43</v>
      </c>
      <c r="L69" s="9"/>
    </row>
    <row r="70" spans="2:12" ht="14.7" customHeight="1" thickBot="1" x14ac:dyDescent="0.55000000000000004">
      <c r="B70" s="11">
        <f>C108</f>
        <v>1200228.6712007136</v>
      </c>
      <c r="C70" s="13">
        <f>D108</f>
        <v>30005716.780017842</v>
      </c>
      <c r="D70" s="12"/>
      <c r="E70" s="12"/>
      <c r="F70" s="12"/>
      <c r="G70" s="12"/>
      <c r="H70" s="12"/>
      <c r="I70" s="12"/>
      <c r="J70" s="12"/>
      <c r="K70" s="12"/>
      <c r="L70" s="13"/>
    </row>
    <row r="71" spans="2:12" ht="14.7" customHeight="1" thickBot="1" x14ac:dyDescent="0.55000000000000004"/>
    <row r="72" spans="2:12" ht="14.7" customHeight="1" thickBot="1" x14ac:dyDescent="0.55000000000000004">
      <c r="B72" s="29" t="s">
        <v>44</v>
      </c>
      <c r="C72" s="30"/>
      <c r="D72" s="30"/>
      <c r="E72" s="30"/>
      <c r="F72" s="31"/>
    </row>
    <row r="73" spans="2:12" ht="14.7" customHeight="1" thickBot="1" x14ac:dyDescent="0.55000000000000004">
      <c r="B73" s="29" t="s">
        <v>45</v>
      </c>
      <c r="C73" s="30"/>
      <c r="D73" s="30"/>
      <c r="E73" s="30"/>
      <c r="F73" s="31"/>
    </row>
    <row r="74" spans="2:12" ht="14.7" customHeight="1" thickBot="1" x14ac:dyDescent="0.55000000000000004">
      <c r="B74" s="24" t="s">
        <v>46</v>
      </c>
      <c r="C74" s="18" t="s">
        <v>4</v>
      </c>
      <c r="D74" s="18" t="s">
        <v>5</v>
      </c>
      <c r="E74" s="18" t="s">
        <v>6</v>
      </c>
      <c r="F74" s="19" t="s">
        <v>7</v>
      </c>
    </row>
    <row r="75" spans="2:12" x14ac:dyDescent="0.5">
      <c r="B75" s="23" t="s">
        <v>9</v>
      </c>
      <c r="C75">
        <v>12771.442313861329</v>
      </c>
      <c r="D75">
        <v>29800</v>
      </c>
      <c r="E75">
        <f>C75+D75</f>
        <v>42571.442313861327</v>
      </c>
      <c r="F75" s="9">
        <f>E75*25</f>
        <v>1064286.0578465331</v>
      </c>
    </row>
    <row r="76" spans="2:12" x14ac:dyDescent="0.5">
      <c r="B76" s="3" t="s">
        <v>10</v>
      </c>
      <c r="C76">
        <v>0</v>
      </c>
      <c r="D76">
        <v>0</v>
      </c>
      <c r="E76">
        <f>C76+D76</f>
        <v>0</v>
      </c>
      <c r="F76" s="9">
        <f>E76*25</f>
        <v>0</v>
      </c>
    </row>
    <row r="77" spans="2:12" x14ac:dyDescent="0.5">
      <c r="B77" s="3" t="s">
        <v>14</v>
      </c>
      <c r="C77">
        <v>0</v>
      </c>
      <c r="D77">
        <v>0</v>
      </c>
      <c r="E77">
        <f>C77+D77</f>
        <v>0</v>
      </c>
      <c r="F77" s="9">
        <f>E77*25</f>
        <v>0</v>
      </c>
    </row>
    <row r="78" spans="2:12" x14ac:dyDescent="0.5">
      <c r="B78" s="3" t="s">
        <v>47</v>
      </c>
      <c r="C78">
        <v>0</v>
      </c>
      <c r="D78">
        <v>0</v>
      </c>
      <c r="E78">
        <f>C78+D78</f>
        <v>0</v>
      </c>
      <c r="F78" s="9">
        <f>E78*25</f>
        <v>0</v>
      </c>
    </row>
    <row r="79" spans="2:12" ht="14.7" customHeight="1" thickBot="1" x14ac:dyDescent="0.55000000000000004">
      <c r="B79" s="16" t="s">
        <v>48</v>
      </c>
      <c r="C79" s="12"/>
      <c r="D79" s="12"/>
      <c r="E79">
        <f>C79+D79</f>
        <v>0</v>
      </c>
      <c r="F79" s="9">
        <f>E79*25</f>
        <v>0</v>
      </c>
    </row>
    <row r="80" spans="2:12" ht="14.7" customHeight="1" thickBot="1" x14ac:dyDescent="0.55000000000000004">
      <c r="B80" s="17" t="s">
        <v>49</v>
      </c>
      <c r="C80" s="18" t="s">
        <v>4</v>
      </c>
      <c r="D80" s="18" t="s">
        <v>5</v>
      </c>
      <c r="E80" s="18" t="s">
        <v>6</v>
      </c>
      <c r="F80" s="19" t="s">
        <v>7</v>
      </c>
    </row>
    <row r="81" spans="2:6" x14ac:dyDescent="0.5">
      <c r="B81" s="23" t="s">
        <v>18</v>
      </c>
      <c r="C81">
        <v>10608.198414748889</v>
      </c>
      <c r="D81">
        <v>13220.16</v>
      </c>
      <c r="E81">
        <f>C81+D81</f>
        <v>23828.358414748887</v>
      </c>
      <c r="F81" s="9">
        <f>E81*25</f>
        <v>595708.96036872221</v>
      </c>
    </row>
    <row r="82" spans="2:6" ht="14.7" customHeight="1" thickBot="1" x14ac:dyDescent="0.55000000000000004">
      <c r="B82" s="16" t="s">
        <v>50</v>
      </c>
      <c r="C82" s="12"/>
      <c r="D82" s="12"/>
      <c r="E82">
        <f>C82+D82</f>
        <v>0</v>
      </c>
      <c r="F82" s="9">
        <f>E82*25</f>
        <v>0</v>
      </c>
    </row>
    <row r="83" spans="2:6" ht="14.7" customHeight="1" thickBot="1" x14ac:dyDescent="0.55000000000000004">
      <c r="B83" s="17"/>
      <c r="C83" s="18" t="s">
        <v>4</v>
      </c>
      <c r="D83" s="18" t="s">
        <v>5</v>
      </c>
      <c r="E83" s="18" t="s">
        <v>6</v>
      </c>
      <c r="F83" s="19" t="s">
        <v>7</v>
      </c>
    </row>
    <row r="84" spans="2:6" ht="14.7" customHeight="1" thickBot="1" x14ac:dyDescent="0.55000000000000004">
      <c r="B84" s="24" t="s">
        <v>22</v>
      </c>
      <c r="C84" s="12">
        <v>23379.640728610219</v>
      </c>
      <c r="D84" s="12">
        <v>1003065.060310634</v>
      </c>
      <c r="E84" s="12">
        <v>1026444.701039244</v>
      </c>
      <c r="F84" s="13">
        <f>E84*25</f>
        <v>25661117.525981098</v>
      </c>
    </row>
    <row r="85" spans="2:6" ht="14.7" customHeight="1" thickBot="1" x14ac:dyDescent="0.55000000000000004">
      <c r="B85" s="8"/>
      <c r="F85" s="9"/>
    </row>
    <row r="86" spans="2:6" ht="14.7" customHeight="1" thickBot="1" x14ac:dyDescent="0.55000000000000004">
      <c r="B86" s="29" t="s">
        <v>46</v>
      </c>
      <c r="C86" s="30"/>
      <c r="D86" s="31"/>
      <c r="F86" s="9"/>
    </row>
    <row r="87" spans="2:6" ht="14.7" customHeight="1" thickBot="1" x14ac:dyDescent="0.55000000000000004">
      <c r="B87" s="24" t="s">
        <v>23</v>
      </c>
      <c r="C87" s="18" t="s">
        <v>24</v>
      </c>
      <c r="D87" s="19" t="s">
        <v>25</v>
      </c>
      <c r="F87" s="9"/>
    </row>
    <row r="88" spans="2:6" x14ac:dyDescent="0.5">
      <c r="B88" s="23" t="s">
        <v>9</v>
      </c>
      <c r="C88">
        <v>2</v>
      </c>
      <c r="D88" s="9">
        <v>200</v>
      </c>
      <c r="F88" s="9"/>
    </row>
    <row r="89" spans="2:6" x14ac:dyDescent="0.5">
      <c r="B89" s="3" t="s">
        <v>10</v>
      </c>
      <c r="C89">
        <v>0</v>
      </c>
      <c r="D89" s="9">
        <v>0</v>
      </c>
      <c r="F89" s="9"/>
    </row>
    <row r="90" spans="2:6" x14ac:dyDescent="0.5">
      <c r="B90" s="3" t="s">
        <v>14</v>
      </c>
      <c r="C90">
        <v>0</v>
      </c>
      <c r="D90" s="9">
        <v>0</v>
      </c>
      <c r="F90" s="9"/>
    </row>
    <row r="91" spans="2:6" x14ac:dyDescent="0.5">
      <c r="B91" s="3" t="s">
        <v>47</v>
      </c>
      <c r="C91">
        <v>0</v>
      </c>
      <c r="D91" s="9">
        <v>0</v>
      </c>
      <c r="F91" s="9"/>
    </row>
    <row r="92" spans="2:6" ht="14.7" customHeight="1" thickBot="1" x14ac:dyDescent="0.55000000000000004">
      <c r="B92" s="16" t="s">
        <v>26</v>
      </c>
      <c r="C92" s="12">
        <v>2</v>
      </c>
      <c r="D92" s="13">
        <v>200</v>
      </c>
      <c r="F92" s="9"/>
    </row>
    <row r="93" spans="2:6" ht="14.7" customHeight="1" thickBot="1" x14ac:dyDescent="0.55000000000000004">
      <c r="B93" s="8"/>
      <c r="F93" s="9"/>
    </row>
    <row r="94" spans="2:6" ht="14.7" customHeight="1" thickBot="1" x14ac:dyDescent="0.55000000000000004">
      <c r="B94" s="29" t="s">
        <v>51</v>
      </c>
      <c r="C94" s="30"/>
      <c r="D94" s="31"/>
      <c r="F94" s="9"/>
    </row>
    <row r="95" spans="2:6" ht="14.7" customHeight="1" thickBot="1" x14ac:dyDescent="0.55000000000000004">
      <c r="B95" s="17" t="s">
        <v>23</v>
      </c>
      <c r="C95" s="18" t="s">
        <v>24</v>
      </c>
      <c r="D95" s="19" t="s">
        <v>25</v>
      </c>
      <c r="F95" s="9"/>
    </row>
    <row r="96" spans="2:6" ht="14.7" customHeight="1" thickBot="1" x14ac:dyDescent="0.55000000000000004">
      <c r="B96" s="24" t="s">
        <v>18</v>
      </c>
      <c r="C96" s="12">
        <v>47</v>
      </c>
      <c r="D96" s="13">
        <v>826.25999999999988</v>
      </c>
      <c r="F96" s="9"/>
    </row>
    <row r="97" spans="2:6" ht="14.7" customHeight="1" thickBot="1" x14ac:dyDescent="0.55000000000000004">
      <c r="B97" s="8"/>
      <c r="F97" s="9"/>
    </row>
    <row r="98" spans="2:6" ht="14.7" customHeight="1" thickBot="1" x14ac:dyDescent="0.55000000000000004">
      <c r="B98" s="29" t="s">
        <v>52</v>
      </c>
      <c r="C98" s="30"/>
      <c r="D98" s="31"/>
      <c r="F98" s="9"/>
    </row>
    <row r="99" spans="2:6" ht="14.7" customHeight="1" thickBot="1" x14ac:dyDescent="0.55000000000000004">
      <c r="B99" s="17" t="s">
        <v>53</v>
      </c>
      <c r="C99" s="18" t="s">
        <v>54</v>
      </c>
      <c r="D99" s="19" t="s">
        <v>55</v>
      </c>
      <c r="F99" s="9"/>
    </row>
    <row r="100" spans="2:6" x14ac:dyDescent="0.5">
      <c r="B100" s="23" t="s">
        <v>56</v>
      </c>
      <c r="C100">
        <v>173684.21052631599</v>
      </c>
      <c r="D100" s="9">
        <f>C100*25</f>
        <v>4342105.2631578995</v>
      </c>
      <c r="F100" s="9"/>
    </row>
    <row r="101" spans="2:6" x14ac:dyDescent="0.5">
      <c r="B101" s="3" t="s">
        <v>57</v>
      </c>
      <c r="C101">
        <v>286437.95592977508</v>
      </c>
      <c r="D101" s="9">
        <f>C101*25</f>
        <v>7160948.8982443772</v>
      </c>
      <c r="F101" s="9"/>
    </row>
    <row r="102" spans="2:6" ht="14.7" customHeight="1" thickBot="1" x14ac:dyDescent="0.55000000000000004">
      <c r="B102" s="16" t="s">
        <v>26</v>
      </c>
      <c r="C102" s="12">
        <f>C100+C101</f>
        <v>460122.1664560911</v>
      </c>
      <c r="D102" s="13">
        <f>C102*25</f>
        <v>11503054.161402278</v>
      </c>
      <c r="F102" s="9"/>
    </row>
    <row r="103" spans="2:6" ht="14.7" customHeight="1" thickBot="1" x14ac:dyDescent="0.55000000000000004">
      <c r="B103" s="8"/>
      <c r="F103" s="9"/>
    </row>
    <row r="104" spans="2:6" ht="14.7" customHeight="1" thickBot="1" x14ac:dyDescent="0.55000000000000004">
      <c r="B104" s="29" t="s">
        <v>58</v>
      </c>
      <c r="C104" s="30"/>
      <c r="D104" s="31"/>
      <c r="F104" s="9"/>
    </row>
    <row r="105" spans="2:6" ht="14.7" customHeight="1" thickBot="1" x14ac:dyDescent="0.55000000000000004">
      <c r="B105" s="17" t="s">
        <v>53</v>
      </c>
      <c r="C105" s="18" t="s">
        <v>59</v>
      </c>
      <c r="D105" s="22" t="s">
        <v>60</v>
      </c>
      <c r="F105" s="9"/>
    </row>
    <row r="106" spans="2:6" x14ac:dyDescent="0.5">
      <c r="B106" s="23" t="s">
        <v>56</v>
      </c>
      <c r="C106">
        <f>2.6085*C100</f>
        <v>453055.26315789524</v>
      </c>
      <c r="D106" s="9">
        <f>C106*25</f>
        <v>11326381.57894738</v>
      </c>
      <c r="F106" s="9"/>
    </row>
    <row r="107" spans="2:6" x14ac:dyDescent="0.5">
      <c r="B107" s="3" t="s">
        <v>57</v>
      </c>
      <c r="C107">
        <f>2.6085*C101</f>
        <v>747173.40804281819</v>
      </c>
      <c r="D107" s="9">
        <f>C107*25</f>
        <v>18679335.201070454</v>
      </c>
      <c r="F107" s="9"/>
    </row>
    <row r="108" spans="2:6" ht="14.7" customHeight="1" thickBot="1" x14ac:dyDescent="0.55000000000000004">
      <c r="B108" s="16" t="s">
        <v>26</v>
      </c>
      <c r="C108" s="12">
        <f>2.6085*C102</f>
        <v>1200228.6712007136</v>
      </c>
      <c r="D108" s="13">
        <f>C108*25</f>
        <v>30005716.780017842</v>
      </c>
      <c r="E108" s="12"/>
      <c r="F108" s="13"/>
    </row>
  </sheetData>
  <mergeCells count="30">
    <mergeCell ref="H64:I64"/>
    <mergeCell ref="H50:J50"/>
    <mergeCell ref="H55:J55"/>
    <mergeCell ref="B86:D86"/>
    <mergeCell ref="B104:D104"/>
    <mergeCell ref="B73:F73"/>
    <mergeCell ref="B36:D36"/>
    <mergeCell ref="B94:D94"/>
    <mergeCell ref="B50:D50"/>
    <mergeCell ref="B68:C68"/>
    <mergeCell ref="B64:C64"/>
    <mergeCell ref="B47:C47"/>
    <mergeCell ref="B98:D98"/>
    <mergeCell ref="B72:F72"/>
    <mergeCell ref="H33:I33"/>
    <mergeCell ref="B5:L5"/>
    <mergeCell ref="B63:C63"/>
    <mergeCell ref="B43:D43"/>
    <mergeCell ref="H25:J25"/>
    <mergeCell ref="H6:L6"/>
    <mergeCell ref="H60:I60"/>
    <mergeCell ref="B60:C60"/>
    <mergeCell ref="B55:D55"/>
    <mergeCell ref="H47:I47"/>
    <mergeCell ref="B25:D25"/>
    <mergeCell ref="H43:J43"/>
    <mergeCell ref="B6:F6"/>
    <mergeCell ref="B33:C33"/>
    <mergeCell ref="H36:J36"/>
    <mergeCell ref="H63:I6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B4:N108"/>
  <sheetViews>
    <sheetView tabSelected="1" topLeftCell="A15" zoomScale="70" zoomScaleNormal="70" workbookViewId="0">
      <selection activeCell="M29" sqref="M29"/>
    </sheetView>
  </sheetViews>
  <sheetFormatPr defaultColWidth="39.234375" defaultRowHeight="14.35" x14ac:dyDescent="0.5"/>
  <cols>
    <col min="1" max="1" width="13.52734375" customWidth="1"/>
    <col min="2" max="2" width="15.234375" bestFit="1" customWidth="1"/>
    <col min="3" max="3" width="17.64453125" bestFit="1" customWidth="1"/>
    <col min="4" max="4" width="18.64453125" bestFit="1" customWidth="1"/>
    <col min="5" max="5" width="13.5859375" bestFit="1" customWidth="1"/>
    <col min="6" max="6" width="14.5859375" bestFit="1" customWidth="1"/>
    <col min="7" max="7" width="12.46875" customWidth="1"/>
    <col min="8" max="8" width="15.234375" bestFit="1" customWidth="1"/>
    <col min="9" max="9" width="15.703125" bestFit="1" customWidth="1"/>
    <col min="10" max="10" width="18" bestFit="1" customWidth="1"/>
    <col min="11" max="11" width="12.46875" bestFit="1" customWidth="1"/>
    <col min="12" max="12" width="14.5859375" bestFit="1" customWidth="1"/>
    <col min="13" max="13" width="14.41015625" bestFit="1" customWidth="1"/>
    <col min="14" max="14" width="13.41015625" bestFit="1" customWidth="1"/>
    <col min="15" max="15" width="12.3515625" bestFit="1" customWidth="1"/>
  </cols>
  <sheetData>
    <row r="4" spans="2:14" ht="14.7" customHeight="1" thickBot="1" x14ac:dyDescent="0.55000000000000004"/>
    <row r="5" spans="2:14" ht="14.7" customHeight="1" thickBot="1" x14ac:dyDescent="0.55000000000000004">
      <c r="B5" s="29" t="s">
        <v>0</v>
      </c>
      <c r="C5" s="30"/>
      <c r="D5" s="30"/>
      <c r="E5" s="30"/>
      <c r="F5" s="30"/>
      <c r="G5" s="30"/>
      <c r="H5" s="30"/>
      <c r="I5" s="30"/>
      <c r="J5" s="30"/>
      <c r="K5" s="30"/>
      <c r="L5" s="31"/>
    </row>
    <row r="6" spans="2:14" ht="14.7" customHeight="1" thickBot="1" x14ac:dyDescent="0.55000000000000004">
      <c r="B6" s="29" t="s">
        <v>1</v>
      </c>
      <c r="C6" s="30"/>
      <c r="D6" s="30"/>
      <c r="E6" s="30"/>
      <c r="F6" s="31"/>
      <c r="H6" s="29" t="s">
        <v>2</v>
      </c>
      <c r="I6" s="30"/>
      <c r="J6" s="30"/>
      <c r="K6" s="30"/>
      <c r="L6" s="31"/>
    </row>
    <row r="7" spans="2:14" ht="14.7" customHeight="1" thickBot="1" x14ac:dyDescent="0.55000000000000004">
      <c r="B7" s="24" t="s">
        <v>3</v>
      </c>
      <c r="C7" s="18" t="s">
        <v>4</v>
      </c>
      <c r="D7" s="18" t="s">
        <v>5</v>
      </c>
      <c r="E7" s="18" t="s">
        <v>6</v>
      </c>
      <c r="F7" s="19" t="s">
        <v>7</v>
      </c>
      <c r="H7" s="24" t="s">
        <v>3</v>
      </c>
      <c r="I7" s="18" t="s">
        <v>4</v>
      </c>
      <c r="J7" s="18" t="s">
        <v>5</v>
      </c>
      <c r="K7" s="18" t="s">
        <v>6</v>
      </c>
      <c r="L7" s="19" t="s">
        <v>7</v>
      </c>
    </row>
    <row r="8" spans="2:14" x14ac:dyDescent="0.5">
      <c r="B8" s="3" t="s">
        <v>8</v>
      </c>
      <c r="C8" s="6">
        <f>13698 * D27*((0.05*((1.05)^25))/((1.05^25)-1))</f>
        <v>194381.35201696947</v>
      </c>
      <c r="D8" s="6">
        <f>29*D27</f>
        <v>5800</v>
      </c>
      <c r="E8" s="6">
        <f>C8+D8</f>
        <v>200181.35201696947</v>
      </c>
      <c r="F8" s="10">
        <f>E8*25</f>
        <v>5004533.8004242368</v>
      </c>
      <c r="H8" s="3" t="s">
        <v>9</v>
      </c>
      <c r="I8" s="39">
        <f>1615 * J27*((0.05*((1.05)^25))/((1.05^25)-1))</f>
        <v>492729.33971450012</v>
      </c>
      <c r="J8" s="39">
        <f>29*J27</f>
        <v>124700</v>
      </c>
      <c r="K8" s="39">
        <f>I8+J8</f>
        <v>617429.33971450012</v>
      </c>
      <c r="L8" s="10">
        <f>K8*25</f>
        <v>15435733.492862504</v>
      </c>
    </row>
    <row r="9" spans="2:14" x14ac:dyDescent="0.5">
      <c r="B9" s="3" t="s">
        <v>10</v>
      </c>
      <c r="C9" s="6">
        <f>13698 * D28*((0.05*((1.05)^25))/((1.05^25)-1))</f>
        <v>10690974.360933321</v>
      </c>
      <c r="D9" s="6">
        <f>29*D28</f>
        <v>319000</v>
      </c>
      <c r="E9" s="6">
        <f>C9+D9</f>
        <v>11009974.360933321</v>
      </c>
      <c r="F9" s="10">
        <f>E9*25</f>
        <v>275249359.02333301</v>
      </c>
      <c r="H9" s="3" t="s">
        <v>10</v>
      </c>
      <c r="I9" s="39">
        <f>1615 * J28*((0.05*((1.05)^25))/((1.05^25)-1))</f>
        <v>916705.74830604671</v>
      </c>
      <c r="J9" s="39">
        <f>29*J28</f>
        <v>232000</v>
      </c>
      <c r="K9" s="39">
        <f>I9+J9</f>
        <v>1148705.7483060467</v>
      </c>
      <c r="L9" s="10">
        <f>K9*25</f>
        <v>28717643.707651168</v>
      </c>
      <c r="M9" s="7"/>
      <c r="N9" s="6"/>
    </row>
    <row r="10" spans="2:14" x14ac:dyDescent="0.5">
      <c r="B10" s="3" t="s">
        <v>11</v>
      </c>
      <c r="C10" s="6">
        <f>13698 * D29*((0.05*((1.05)^25))/((1.05^25)-1))</f>
        <v>0</v>
      </c>
      <c r="D10" s="6">
        <f>29*D29</f>
        <v>0</v>
      </c>
      <c r="E10" s="6">
        <f>C10+D10</f>
        <v>0</v>
      </c>
      <c r="F10" s="10">
        <f>E10*25</f>
        <v>0</v>
      </c>
      <c r="H10" s="3" t="s">
        <v>11</v>
      </c>
      <c r="I10" s="39">
        <f>1615 * J29*((0.05*((1.05)^25))/((1.05^25)-1))</f>
        <v>0</v>
      </c>
      <c r="J10" s="39">
        <f>29*J29</f>
        <v>0</v>
      </c>
      <c r="K10" s="39">
        <f>I10+J10</f>
        <v>0</v>
      </c>
      <c r="L10" s="10">
        <f>K10*25</f>
        <v>0</v>
      </c>
      <c r="M10" s="7"/>
    </row>
    <row r="11" spans="2:14" ht="14.7" customHeight="1" thickBot="1" x14ac:dyDescent="0.55000000000000004">
      <c r="B11" s="16" t="s">
        <v>12</v>
      </c>
      <c r="C11" s="14">
        <f>13698 * D30*((0.05*((1.05)^25))/((1.05^25)-1))</f>
        <v>0</v>
      </c>
      <c r="D11" s="14">
        <f>29*D30</f>
        <v>0</v>
      </c>
      <c r="E11" s="14">
        <f>C11+D11</f>
        <v>0</v>
      </c>
      <c r="F11" s="15">
        <f>E11*25</f>
        <v>0</v>
      </c>
      <c r="H11" s="16" t="s">
        <v>12</v>
      </c>
      <c r="I11" s="14">
        <f>1615 * J30*((0.05*((1.05)^25))/((1.05^25)-1))</f>
        <v>0</v>
      </c>
      <c r="J11" s="14">
        <f>29*J30</f>
        <v>0</v>
      </c>
      <c r="K11" s="14">
        <f>I11+J11</f>
        <v>0</v>
      </c>
      <c r="L11" s="13">
        <f>K11*25</f>
        <v>0</v>
      </c>
    </row>
    <row r="12" spans="2:14" ht="14.7" customHeight="1" thickBot="1" x14ac:dyDescent="0.55000000000000004">
      <c r="B12" s="24" t="s">
        <v>13</v>
      </c>
      <c r="C12" s="18" t="s">
        <v>4</v>
      </c>
      <c r="D12" s="18" t="s">
        <v>5</v>
      </c>
      <c r="E12" s="18" t="s">
        <v>6</v>
      </c>
      <c r="F12" s="19" t="s">
        <v>7</v>
      </c>
      <c r="H12" s="24" t="s">
        <v>13</v>
      </c>
      <c r="I12" s="18" t="s">
        <v>4</v>
      </c>
      <c r="J12" s="18" t="s">
        <v>5</v>
      </c>
      <c r="K12" s="18" t="s">
        <v>6</v>
      </c>
      <c r="L12" s="19" t="s">
        <v>7</v>
      </c>
    </row>
    <row r="13" spans="2:14" x14ac:dyDescent="0.5">
      <c r="B13" s="3" t="s">
        <v>14</v>
      </c>
      <c r="C13" s="4">
        <f>2490 * D38*((0.05*((1.05)^10))/((1.05^10)-1))</f>
        <v>3224663.9166398719</v>
      </c>
      <c r="D13" s="1">
        <f>37.35*D38</f>
        <v>373500</v>
      </c>
      <c r="E13">
        <f>C13+D13</f>
        <v>3598163.9166398719</v>
      </c>
      <c r="F13" s="9">
        <f>E13*25</f>
        <v>89954097.91599679</v>
      </c>
      <c r="H13" s="3" t="s">
        <v>14</v>
      </c>
      <c r="I13" s="4">
        <f>2490 * J38*((0.05*((1.05)^10))/((1.05^10)-1))</f>
        <v>3547130.3083038591</v>
      </c>
      <c r="J13" s="1">
        <f>37.35*J38</f>
        <v>410850</v>
      </c>
      <c r="K13" s="39">
        <f>I13+J13</f>
        <v>3957980.3083038591</v>
      </c>
      <c r="L13" s="10">
        <f>K13*25</f>
        <v>98949507.707596481</v>
      </c>
    </row>
    <row r="14" spans="2:14" x14ac:dyDescent="0.5">
      <c r="B14" s="3" t="s">
        <v>15</v>
      </c>
      <c r="C14" s="4">
        <f>1570 * D39*((0.05*((1.05)^10))/((1.05^10)-1))</f>
        <v>0</v>
      </c>
      <c r="D14" s="1">
        <f>23.55*D39</f>
        <v>0</v>
      </c>
      <c r="E14">
        <f>C14+D14</f>
        <v>0</v>
      </c>
      <c r="F14" s="9">
        <f>E14*25</f>
        <v>0</v>
      </c>
      <c r="H14" s="3" t="s">
        <v>15</v>
      </c>
      <c r="I14" s="4">
        <f>1570 * J39*((0.05*((1.05)^10))/((1.05^10)-1))</f>
        <v>0</v>
      </c>
      <c r="J14" s="1">
        <f>23.55*J39</f>
        <v>0</v>
      </c>
      <c r="K14" s="38">
        <f>I14+J14</f>
        <v>0</v>
      </c>
      <c r="L14" s="10">
        <f>K14*25</f>
        <v>0</v>
      </c>
    </row>
    <row r="15" spans="2:14" ht="14.7" customHeight="1" thickBot="1" x14ac:dyDescent="0.55000000000000004">
      <c r="B15" s="16" t="s">
        <v>16</v>
      </c>
      <c r="C15" s="5">
        <f>1190 * D40*((0.05*((1.05)^10))/((1.05^10)-1))</f>
        <v>0</v>
      </c>
      <c r="D15" s="2">
        <f>17.85*D40</f>
        <v>0</v>
      </c>
      <c r="E15" s="12">
        <f>C15+D15</f>
        <v>0</v>
      </c>
      <c r="F15" s="13">
        <f>E15*25</f>
        <v>0</v>
      </c>
      <c r="H15" s="16" t="s">
        <v>16</v>
      </c>
      <c r="I15" s="5">
        <f>1190 * J40*((0.05*((1.05)^10))/((1.05^10)-1))</f>
        <v>0</v>
      </c>
      <c r="J15" s="2">
        <f>17.85*J40</f>
        <v>0</v>
      </c>
      <c r="K15" s="12">
        <f>I15+J15</f>
        <v>0</v>
      </c>
      <c r="L15" s="15">
        <f>K15*25</f>
        <v>0</v>
      </c>
    </row>
    <row r="16" spans="2:14" ht="14.7" customHeight="1" thickBot="1" x14ac:dyDescent="0.55000000000000004">
      <c r="B16" s="24" t="s">
        <v>17</v>
      </c>
      <c r="C16" s="18" t="s">
        <v>4</v>
      </c>
      <c r="D16" s="18" t="s">
        <v>5</v>
      </c>
      <c r="E16" s="18" t="s">
        <v>6</v>
      </c>
      <c r="F16" s="19" t="s">
        <v>7</v>
      </c>
      <c r="H16" s="24" t="s">
        <v>17</v>
      </c>
      <c r="I16" s="18" t="s">
        <v>4</v>
      </c>
      <c r="J16" s="18" t="s">
        <v>5</v>
      </c>
      <c r="K16" s="18" t="s">
        <v>6</v>
      </c>
      <c r="L16" s="19" t="s">
        <v>7</v>
      </c>
    </row>
    <row r="17" spans="2:14" ht="14.7" customHeight="1" thickBot="1" x14ac:dyDescent="0.55000000000000004">
      <c r="B17" s="16" t="s">
        <v>18</v>
      </c>
      <c r="C17" s="12">
        <v>142646.41272598511</v>
      </c>
      <c r="D17" s="12">
        <v>177768.95999999999</v>
      </c>
      <c r="E17" s="12">
        <f>D17+C17</f>
        <v>320415.37272598513</v>
      </c>
      <c r="F17" s="13">
        <f>E17*25</f>
        <v>8010384.3181496281</v>
      </c>
      <c r="H17" s="16" t="s">
        <v>18</v>
      </c>
      <c r="I17" s="12">
        <v>142646.41272598511</v>
      </c>
      <c r="J17" s="12">
        <v>177768.95999999999</v>
      </c>
      <c r="K17" s="12">
        <f>J17+I17</f>
        <v>320415.37272598513</v>
      </c>
      <c r="L17" s="15">
        <f>K17*25</f>
        <v>8010384.3181496281</v>
      </c>
    </row>
    <row r="18" spans="2:14" ht="14.7" customHeight="1" thickBot="1" x14ac:dyDescent="0.55000000000000004">
      <c r="B18" s="24" t="s">
        <v>19</v>
      </c>
      <c r="C18" s="18" t="s">
        <v>4</v>
      </c>
      <c r="D18" s="18" t="s">
        <v>5</v>
      </c>
      <c r="E18" s="18" t="s">
        <v>6</v>
      </c>
      <c r="F18" s="19" t="s">
        <v>7</v>
      </c>
      <c r="H18" s="24" t="s">
        <v>20</v>
      </c>
      <c r="I18" s="18" t="s">
        <v>4</v>
      </c>
      <c r="J18" s="18" t="s">
        <v>5</v>
      </c>
      <c r="K18" s="18" t="s">
        <v>6</v>
      </c>
      <c r="L18" s="19" t="s">
        <v>7</v>
      </c>
    </row>
    <row r="19" spans="2:14" ht="14.7" customHeight="1" thickBot="1" x14ac:dyDescent="0.55000000000000004">
      <c r="B19" s="11"/>
      <c r="C19" s="12">
        <f>C48*300*((0.05*((1.05)^20))/((1.05^20)-1))</f>
        <v>1086645.1157363418</v>
      </c>
      <c r="D19" s="12">
        <v>0</v>
      </c>
      <c r="E19" s="12">
        <f>D19+C19</f>
        <v>1086645.1157363418</v>
      </c>
      <c r="F19" s="13">
        <f>E19*25</f>
        <v>27166127.893408544</v>
      </c>
      <c r="H19" s="11"/>
      <c r="I19" s="14">
        <f>(I48/10)*3000*((0.05*((1.05)^20))/((1.05^20)-1))</f>
        <v>313186.81780526822</v>
      </c>
      <c r="J19" s="12">
        <v>0</v>
      </c>
      <c r="K19" s="12">
        <f>J19+I19</f>
        <v>313186.81780526822</v>
      </c>
      <c r="L19" s="15">
        <f>K19*25</f>
        <v>7829670.4451317051</v>
      </c>
    </row>
    <row r="20" spans="2:14" ht="14.7" customHeight="1" thickBot="1" x14ac:dyDescent="0.55000000000000004">
      <c r="B20" s="24" t="s">
        <v>21</v>
      </c>
      <c r="C20" s="18" t="s">
        <v>4</v>
      </c>
      <c r="D20" s="18" t="s">
        <v>5</v>
      </c>
      <c r="E20" s="18" t="s">
        <v>6</v>
      </c>
      <c r="F20" s="19" t="s">
        <v>7</v>
      </c>
      <c r="H20" s="24" t="s">
        <v>21</v>
      </c>
      <c r="I20" s="18" t="s">
        <v>4</v>
      </c>
      <c r="J20" s="18" t="s">
        <v>5</v>
      </c>
      <c r="K20" s="18" t="s">
        <v>6</v>
      </c>
      <c r="L20" s="19" t="s">
        <v>7</v>
      </c>
    </row>
    <row r="21" spans="2:14" ht="14.7" customHeight="1" thickBot="1" x14ac:dyDescent="0.55000000000000004">
      <c r="B21" s="11"/>
      <c r="C21" s="12">
        <v>0</v>
      </c>
      <c r="D21" s="12">
        <v>0</v>
      </c>
      <c r="E21" s="12">
        <f>C21+D21</f>
        <v>0</v>
      </c>
      <c r="F21" s="13">
        <f>E21*25</f>
        <v>0</v>
      </c>
      <c r="H21" s="11"/>
      <c r="I21" s="12">
        <v>0</v>
      </c>
      <c r="J21" s="12">
        <v>0</v>
      </c>
      <c r="K21" s="12">
        <f>J21+I21</f>
        <v>0</v>
      </c>
      <c r="L21" s="13">
        <f>K21*25</f>
        <v>0</v>
      </c>
    </row>
    <row r="22" spans="2:14" ht="14.7" customHeight="1" thickBot="1" x14ac:dyDescent="0.55000000000000004">
      <c r="B22" s="17"/>
      <c r="C22" s="18" t="s">
        <v>4</v>
      </c>
      <c r="D22" s="18" t="s">
        <v>5</v>
      </c>
      <c r="E22" s="18" t="s">
        <v>6</v>
      </c>
      <c r="F22" s="19" t="s">
        <v>7</v>
      </c>
      <c r="H22" s="17"/>
      <c r="I22" s="18" t="s">
        <v>4</v>
      </c>
      <c r="J22" s="18" t="s">
        <v>5</v>
      </c>
      <c r="K22" s="18" t="s">
        <v>6</v>
      </c>
      <c r="L22" s="19" t="s">
        <v>7</v>
      </c>
    </row>
    <row r="23" spans="2:14" ht="14.7" customHeight="1" thickBot="1" x14ac:dyDescent="0.55000000000000004">
      <c r="B23" s="24" t="s">
        <v>22</v>
      </c>
      <c r="C23" s="12">
        <v>15504931.858014069</v>
      </c>
      <c r="D23" s="12">
        <v>876068.96</v>
      </c>
      <c r="E23" s="25">
        <v>16381000.81801407</v>
      </c>
      <c r="F23" s="13">
        <f>D23*25</f>
        <v>21901724</v>
      </c>
      <c r="H23" s="24" t="s">
        <v>22</v>
      </c>
      <c r="I23" s="14">
        <v>5412398.6268556574</v>
      </c>
      <c r="J23" s="14">
        <v>945318.96</v>
      </c>
      <c r="K23" s="14">
        <v>4062917.2247025901</v>
      </c>
      <c r="L23" s="15">
        <f>K23*25</f>
        <v>101572930.61756475</v>
      </c>
      <c r="M23" s="6"/>
    </row>
    <row r="24" spans="2:14" ht="14.7" customHeight="1" thickBot="1" x14ac:dyDescent="0.55000000000000004">
      <c r="B24" s="8"/>
      <c r="F24" s="9"/>
      <c r="H24" s="8"/>
      <c r="I24" s="39"/>
      <c r="J24" s="39"/>
      <c r="K24" s="39"/>
      <c r="L24" s="10"/>
      <c r="M24" s="6"/>
      <c r="N24" s="7"/>
    </row>
    <row r="25" spans="2:14" ht="14.7" customHeight="1" thickBot="1" x14ac:dyDescent="0.55000000000000004">
      <c r="B25" s="29" t="s">
        <v>3</v>
      </c>
      <c r="C25" s="30"/>
      <c r="D25" s="31"/>
      <c r="F25" s="9"/>
      <c r="H25" s="29" t="s">
        <v>3</v>
      </c>
      <c r="I25" s="30"/>
      <c r="J25" s="31"/>
      <c r="K25" s="38"/>
      <c r="L25" s="10"/>
      <c r="M25" s="6"/>
    </row>
    <row r="26" spans="2:14" ht="14.7" customHeight="1" thickBot="1" x14ac:dyDescent="0.55000000000000004">
      <c r="B26" s="17" t="s">
        <v>23</v>
      </c>
      <c r="C26" s="18" t="s">
        <v>24</v>
      </c>
      <c r="D26" s="19" t="s">
        <v>25</v>
      </c>
      <c r="F26" s="9"/>
      <c r="H26" s="17" t="s">
        <v>23</v>
      </c>
      <c r="I26" s="18" t="s">
        <v>24</v>
      </c>
      <c r="J26" s="19" t="s">
        <v>25</v>
      </c>
      <c r="K26" s="38"/>
      <c r="L26" s="10"/>
      <c r="M26" s="6"/>
    </row>
    <row r="27" spans="2:14" x14ac:dyDescent="0.5">
      <c r="B27" s="23" t="s">
        <v>9</v>
      </c>
      <c r="C27">
        <v>2</v>
      </c>
      <c r="D27" s="9">
        <v>200</v>
      </c>
      <c r="F27" s="9"/>
      <c r="H27" s="8" t="s">
        <v>9</v>
      </c>
      <c r="I27" s="38">
        <v>43</v>
      </c>
      <c r="J27" s="9">
        <v>4300</v>
      </c>
      <c r="K27" s="38"/>
      <c r="L27" s="9"/>
    </row>
    <row r="28" spans="2:14" x14ac:dyDescent="0.5">
      <c r="B28" s="3" t="s">
        <v>10</v>
      </c>
      <c r="C28">
        <v>22</v>
      </c>
      <c r="D28" s="9">
        <v>11000</v>
      </c>
      <c r="F28" s="9"/>
      <c r="H28" s="8" t="s">
        <v>10</v>
      </c>
      <c r="I28" s="38">
        <v>16</v>
      </c>
      <c r="J28" s="9">
        <v>8000</v>
      </c>
      <c r="K28" s="38"/>
      <c r="L28" s="9"/>
    </row>
    <row r="29" spans="2:14" x14ac:dyDescent="0.5">
      <c r="B29" s="3" t="s">
        <v>11</v>
      </c>
      <c r="C29">
        <v>0</v>
      </c>
      <c r="D29" s="9">
        <v>0</v>
      </c>
      <c r="F29" s="9"/>
      <c r="H29" s="8" t="s">
        <v>11</v>
      </c>
      <c r="I29" s="38">
        <v>0</v>
      </c>
      <c r="J29" s="9">
        <v>0</v>
      </c>
      <c r="K29" s="38"/>
      <c r="L29" s="9"/>
    </row>
    <row r="30" spans="2:14" x14ac:dyDescent="0.5">
      <c r="B30" s="3" t="s">
        <v>12</v>
      </c>
      <c r="C30">
        <v>0</v>
      </c>
      <c r="D30" s="9">
        <v>0</v>
      </c>
      <c r="F30" s="9"/>
      <c r="H30" s="8" t="s">
        <v>12</v>
      </c>
      <c r="I30" s="38">
        <v>0</v>
      </c>
      <c r="J30" s="9">
        <v>0</v>
      </c>
      <c r="K30" s="38"/>
      <c r="L30" s="9"/>
    </row>
    <row r="31" spans="2:14" ht="14.7" customHeight="1" thickBot="1" x14ac:dyDescent="0.55000000000000004">
      <c r="B31" s="16" t="s">
        <v>26</v>
      </c>
      <c r="C31" s="12">
        <v>24</v>
      </c>
      <c r="D31" s="13">
        <v>11200</v>
      </c>
      <c r="F31" s="9"/>
      <c r="H31" s="11" t="s">
        <v>26</v>
      </c>
      <c r="I31" s="12">
        <v>59</v>
      </c>
      <c r="J31" s="13">
        <v>12300</v>
      </c>
      <c r="K31" s="38"/>
      <c r="L31" s="9"/>
    </row>
    <row r="32" spans="2:14" ht="14.7" customHeight="1" thickBot="1" x14ac:dyDescent="0.55000000000000004">
      <c r="B32" s="8"/>
      <c r="F32" s="9"/>
      <c r="H32" s="8"/>
      <c r="I32" s="38"/>
      <c r="J32" s="38"/>
      <c r="K32" s="38"/>
      <c r="L32" s="9"/>
    </row>
    <row r="33" spans="2:12" ht="14.7" customHeight="1" thickBot="1" x14ac:dyDescent="0.55000000000000004">
      <c r="B33" s="29" t="s">
        <v>21</v>
      </c>
      <c r="C33" s="31"/>
      <c r="F33" s="9"/>
      <c r="H33" s="29" t="s">
        <v>21</v>
      </c>
      <c r="I33" s="31"/>
      <c r="J33" s="38"/>
      <c r="K33" s="38"/>
      <c r="L33" s="9"/>
    </row>
    <row r="34" spans="2:12" ht="14.7" customHeight="1" thickBot="1" x14ac:dyDescent="0.55000000000000004">
      <c r="B34" s="24" t="s">
        <v>25</v>
      </c>
      <c r="C34" s="13">
        <v>0</v>
      </c>
      <c r="F34" s="9"/>
      <c r="H34" s="24" t="s">
        <v>25</v>
      </c>
      <c r="I34" s="13">
        <v>0</v>
      </c>
      <c r="J34" s="38"/>
      <c r="K34" s="38"/>
      <c r="L34" s="9"/>
    </row>
    <row r="35" spans="2:12" ht="14.7" customHeight="1" thickBot="1" x14ac:dyDescent="0.55000000000000004">
      <c r="B35" s="8"/>
      <c r="F35" s="9"/>
      <c r="H35" s="8"/>
      <c r="I35" s="38"/>
      <c r="J35" s="38"/>
      <c r="K35" s="38"/>
      <c r="L35" s="9"/>
    </row>
    <row r="36" spans="2:12" ht="14.7" customHeight="1" thickBot="1" x14ac:dyDescent="0.55000000000000004">
      <c r="B36" s="29" t="s">
        <v>13</v>
      </c>
      <c r="C36" s="30"/>
      <c r="D36" s="31"/>
      <c r="F36" s="9"/>
      <c r="H36" s="29" t="s">
        <v>13</v>
      </c>
      <c r="I36" s="30"/>
      <c r="J36" s="31"/>
      <c r="K36" s="38"/>
      <c r="L36" s="9"/>
    </row>
    <row r="37" spans="2:12" ht="14.7" customHeight="1" thickBot="1" x14ac:dyDescent="0.55000000000000004">
      <c r="B37" s="24" t="s">
        <v>23</v>
      </c>
      <c r="C37" s="18" t="s">
        <v>24</v>
      </c>
      <c r="D37" s="19" t="s">
        <v>25</v>
      </c>
      <c r="F37" s="9"/>
      <c r="H37" s="17" t="s">
        <v>23</v>
      </c>
      <c r="I37" s="18" t="s">
        <v>24</v>
      </c>
      <c r="J37" s="19" t="s">
        <v>25</v>
      </c>
      <c r="K37" s="38"/>
      <c r="L37" s="9"/>
    </row>
    <row r="38" spans="2:12" x14ac:dyDescent="0.5">
      <c r="B38" s="23" t="s">
        <v>14</v>
      </c>
      <c r="C38">
        <v>10</v>
      </c>
      <c r="D38" s="9">
        <v>10000</v>
      </c>
      <c r="F38" s="9"/>
      <c r="H38" s="23" t="s">
        <v>14</v>
      </c>
      <c r="I38" s="38">
        <v>11</v>
      </c>
      <c r="J38" s="9">
        <v>11000</v>
      </c>
      <c r="K38" s="38"/>
      <c r="L38" s="9"/>
    </row>
    <row r="39" spans="2:12" x14ac:dyDescent="0.5">
      <c r="B39" s="3" t="s">
        <v>15</v>
      </c>
      <c r="C39">
        <v>0</v>
      </c>
      <c r="D39" s="9">
        <v>0</v>
      </c>
      <c r="F39" s="9"/>
      <c r="H39" s="3" t="s">
        <v>15</v>
      </c>
      <c r="I39" s="38">
        <v>0</v>
      </c>
      <c r="J39" s="9">
        <v>0</v>
      </c>
      <c r="K39" s="38"/>
      <c r="L39" s="9"/>
    </row>
    <row r="40" spans="2:12" x14ac:dyDescent="0.5">
      <c r="B40" s="3" t="s">
        <v>16</v>
      </c>
      <c r="C40">
        <v>0</v>
      </c>
      <c r="D40" s="9">
        <v>0</v>
      </c>
      <c r="F40" s="9"/>
      <c r="H40" s="3" t="s">
        <v>16</v>
      </c>
      <c r="I40" s="38">
        <v>0</v>
      </c>
      <c r="J40" s="9">
        <v>0</v>
      </c>
      <c r="K40" s="38"/>
      <c r="L40" s="9"/>
    </row>
    <row r="41" spans="2:12" ht="14.7" customHeight="1" thickBot="1" x14ac:dyDescent="0.55000000000000004">
      <c r="B41" s="16" t="s">
        <v>26</v>
      </c>
      <c r="C41" s="12">
        <v>10</v>
      </c>
      <c r="D41" s="13">
        <v>10000</v>
      </c>
      <c r="F41" s="9"/>
      <c r="H41" s="16" t="s">
        <v>26</v>
      </c>
      <c r="I41" s="12">
        <v>11</v>
      </c>
      <c r="J41" s="13">
        <v>11000</v>
      </c>
      <c r="K41" s="38"/>
      <c r="L41" s="9"/>
    </row>
    <row r="42" spans="2:12" ht="14.7" customHeight="1" thickBot="1" x14ac:dyDescent="0.55000000000000004">
      <c r="B42" s="8"/>
      <c r="F42" s="9"/>
      <c r="H42" s="8"/>
      <c r="I42" s="38"/>
      <c r="J42" s="38"/>
      <c r="K42" s="38"/>
      <c r="L42" s="9"/>
    </row>
    <row r="43" spans="2:12" ht="14.7" customHeight="1" thickBot="1" x14ac:dyDescent="0.55000000000000004">
      <c r="B43" s="29" t="s">
        <v>27</v>
      </c>
      <c r="C43" s="30"/>
      <c r="D43" s="31"/>
      <c r="F43" s="9"/>
      <c r="H43" s="29" t="s">
        <v>27</v>
      </c>
      <c r="I43" s="30"/>
      <c r="J43" s="31"/>
      <c r="K43" s="38"/>
      <c r="L43" s="9"/>
    </row>
    <row r="44" spans="2:12" ht="14.7" customHeight="1" thickBot="1" x14ac:dyDescent="0.55000000000000004">
      <c r="B44" s="24" t="s">
        <v>23</v>
      </c>
      <c r="C44" s="18" t="s">
        <v>24</v>
      </c>
      <c r="D44" s="19" t="s">
        <v>25</v>
      </c>
      <c r="F44" s="9"/>
      <c r="H44" s="17" t="s">
        <v>23</v>
      </c>
      <c r="I44" s="18" t="s">
        <v>24</v>
      </c>
      <c r="J44" s="19" t="s">
        <v>25</v>
      </c>
      <c r="K44" s="38"/>
      <c r="L44" s="9"/>
    </row>
    <row r="45" spans="2:12" ht="14.7" customHeight="1" thickBot="1" x14ac:dyDescent="0.55000000000000004">
      <c r="B45" s="24" t="s">
        <v>18</v>
      </c>
      <c r="C45" s="12">
        <v>632</v>
      </c>
      <c r="D45" s="13">
        <v>11110.56</v>
      </c>
      <c r="F45" s="9"/>
      <c r="H45" s="24" t="s">
        <v>18</v>
      </c>
      <c r="I45" s="12">
        <v>632</v>
      </c>
      <c r="J45" s="13">
        <v>11110.56</v>
      </c>
      <c r="K45" s="38"/>
      <c r="L45" s="9"/>
    </row>
    <row r="46" spans="2:12" ht="14.7" customHeight="1" thickBot="1" x14ac:dyDescent="0.55000000000000004">
      <c r="B46" s="8"/>
      <c r="F46" s="9"/>
      <c r="H46" s="8"/>
      <c r="I46" s="38"/>
      <c r="J46" s="38"/>
      <c r="K46" s="38"/>
      <c r="L46" s="9"/>
    </row>
    <row r="47" spans="2:12" ht="14.7" customHeight="1" thickBot="1" x14ac:dyDescent="0.55000000000000004">
      <c r="B47" s="29" t="s">
        <v>28</v>
      </c>
      <c r="C47" s="31"/>
      <c r="F47" s="9"/>
      <c r="H47" s="29" t="s">
        <v>28</v>
      </c>
      <c r="I47" s="31"/>
      <c r="J47" s="38"/>
      <c r="K47" s="38"/>
      <c r="L47" s="9"/>
    </row>
    <row r="48" spans="2:12" ht="14.7" customHeight="1" thickBot="1" x14ac:dyDescent="0.55000000000000004">
      <c r="B48" s="11" t="s">
        <v>29</v>
      </c>
      <c r="C48" s="13">
        <v>45140</v>
      </c>
      <c r="F48" s="9"/>
      <c r="H48" s="24" t="s">
        <v>29</v>
      </c>
      <c r="I48" s="13">
        <v>13010</v>
      </c>
      <c r="J48" s="38"/>
      <c r="K48" s="38"/>
      <c r="L48" s="9"/>
    </row>
    <row r="49" spans="2:12" ht="14.7" customHeight="1" thickBot="1" x14ac:dyDescent="0.55000000000000004">
      <c r="B49" s="8"/>
      <c r="F49" s="9"/>
      <c r="H49" s="8"/>
      <c r="I49" s="38"/>
      <c r="J49" s="38"/>
      <c r="K49" s="38"/>
      <c r="L49" s="9"/>
    </row>
    <row r="50" spans="2:12" ht="14.7" customHeight="1" thickBot="1" x14ac:dyDescent="0.55000000000000004">
      <c r="B50" s="29" t="s">
        <v>30</v>
      </c>
      <c r="C50" s="30"/>
      <c r="D50" s="31"/>
      <c r="F50" s="9"/>
      <c r="H50" s="35" t="s">
        <v>30</v>
      </c>
      <c r="I50" s="36"/>
      <c r="J50" s="37"/>
      <c r="K50" s="38"/>
      <c r="L50" s="9"/>
    </row>
    <row r="51" spans="2:12" ht="14.7" customHeight="1" thickBot="1" x14ac:dyDescent="0.55000000000000004">
      <c r="B51" s="11" t="s">
        <v>31</v>
      </c>
      <c r="C51" s="12" t="s">
        <v>32</v>
      </c>
      <c r="D51" s="13" t="s">
        <v>33</v>
      </c>
      <c r="F51" s="9"/>
      <c r="H51" s="24" t="s">
        <v>31</v>
      </c>
      <c r="I51" s="18" t="s">
        <v>61</v>
      </c>
      <c r="J51" s="21" t="s">
        <v>33</v>
      </c>
      <c r="K51" s="38"/>
      <c r="L51" s="9"/>
    </row>
    <row r="52" spans="2:12" ht="14.7" customHeight="1" x14ac:dyDescent="0.5">
      <c r="B52" s="23" t="s">
        <v>34</v>
      </c>
      <c r="C52" s="26">
        <v>8472865.5115657896</v>
      </c>
      <c r="D52" s="27">
        <f>C52*25</f>
        <v>211821637.78914475</v>
      </c>
      <c r="F52" s="9"/>
      <c r="H52" s="3" t="s">
        <v>34</v>
      </c>
      <c r="I52" s="40">
        <v>15093410.111445099</v>
      </c>
      <c r="J52" s="27">
        <f>I52*25</f>
        <v>377335252.78612745</v>
      </c>
      <c r="K52" s="38"/>
      <c r="L52" s="9"/>
    </row>
    <row r="53" spans="2:12" ht="14.7" customHeight="1" thickBot="1" x14ac:dyDescent="0.55000000000000004">
      <c r="B53" s="16" t="s">
        <v>35</v>
      </c>
      <c r="C53" s="25">
        <v>1737513.714678725</v>
      </c>
      <c r="D53" s="28">
        <f>C53*25</f>
        <v>43437842.866968125</v>
      </c>
      <c r="F53" s="9"/>
      <c r="H53" s="16" t="s">
        <v>35</v>
      </c>
      <c r="I53" s="25">
        <v>1021497.713246486</v>
      </c>
      <c r="J53" s="28">
        <f>I53*25</f>
        <v>25537442.831162151</v>
      </c>
      <c r="K53" s="38"/>
      <c r="L53" s="9"/>
    </row>
    <row r="54" spans="2:12" ht="14.7" customHeight="1" thickBot="1" x14ac:dyDescent="0.55000000000000004">
      <c r="B54" s="8"/>
      <c r="F54" s="9"/>
      <c r="H54" s="8"/>
      <c r="I54" s="39"/>
      <c r="J54" s="10"/>
      <c r="K54" s="38"/>
      <c r="L54" s="9"/>
    </row>
    <row r="55" spans="2:12" ht="14.7" customHeight="1" thickBot="1" x14ac:dyDescent="0.55000000000000004">
      <c r="B55" s="29" t="s">
        <v>36</v>
      </c>
      <c r="C55" s="30"/>
      <c r="D55" s="31"/>
      <c r="F55" s="9"/>
      <c r="H55" s="35" t="s">
        <v>36</v>
      </c>
      <c r="I55" s="36"/>
      <c r="J55" s="37"/>
      <c r="K55" s="38"/>
      <c r="L55" s="9"/>
    </row>
    <row r="56" spans="2:12" ht="14.7" customHeight="1" thickBot="1" x14ac:dyDescent="0.55000000000000004">
      <c r="B56" s="11" t="s">
        <v>31</v>
      </c>
      <c r="C56" s="12" t="s">
        <v>32</v>
      </c>
      <c r="D56" s="13" t="s">
        <v>33</v>
      </c>
      <c r="F56" s="9"/>
      <c r="H56" s="24" t="s">
        <v>31</v>
      </c>
      <c r="I56" s="20">
        <v>4099444.7216270799</v>
      </c>
      <c r="J56" s="21" t="s">
        <v>33</v>
      </c>
      <c r="K56" s="38"/>
      <c r="L56" s="9"/>
    </row>
    <row r="57" spans="2:12" ht="14.7" customHeight="1" thickBot="1" x14ac:dyDescent="0.55000000000000004">
      <c r="B57" s="23" t="s">
        <v>34</v>
      </c>
      <c r="C57">
        <v>2301272.1142524201</v>
      </c>
      <c r="D57" s="9">
        <f>C57*25</f>
        <v>57531802.856310502</v>
      </c>
      <c r="F57" s="9"/>
      <c r="H57" s="16" t="s">
        <v>34</v>
      </c>
      <c r="I57" s="14">
        <v>362709.79113469302</v>
      </c>
      <c r="J57" s="15">
        <f>I57*25</f>
        <v>9067744.7783673257</v>
      </c>
      <c r="K57" s="38"/>
      <c r="L57" s="9"/>
    </row>
    <row r="58" spans="2:12" ht="14.7" customHeight="1" thickBot="1" x14ac:dyDescent="0.55000000000000004">
      <c r="B58" s="16" t="s">
        <v>35</v>
      </c>
      <c r="C58" s="12">
        <v>812936.58958972199</v>
      </c>
      <c r="D58" s="13">
        <f>C58*25</f>
        <v>20323414.73974305</v>
      </c>
      <c r="F58" s="9"/>
      <c r="H58" s="8" t="s">
        <v>35</v>
      </c>
      <c r="I58" s="12">
        <v>1021497.713246486</v>
      </c>
      <c r="J58" s="38">
        <f>I58*25</f>
        <v>25537442.831162151</v>
      </c>
      <c r="K58" s="38"/>
      <c r="L58" s="9"/>
    </row>
    <row r="59" spans="2:12" ht="14.7" customHeight="1" thickBot="1" x14ac:dyDescent="0.55000000000000004">
      <c r="B59" s="8"/>
      <c r="F59" s="9"/>
      <c r="H59" s="8"/>
      <c r="I59" s="38"/>
      <c r="J59" s="38"/>
      <c r="K59" s="38"/>
      <c r="L59" s="9"/>
    </row>
    <row r="60" spans="2:12" ht="14.7" customHeight="1" thickBot="1" x14ac:dyDescent="0.55000000000000004">
      <c r="B60" s="29" t="s">
        <v>37</v>
      </c>
      <c r="C60" s="31"/>
      <c r="F60" s="9"/>
      <c r="H60" s="29" t="s">
        <v>38</v>
      </c>
      <c r="I60" s="31"/>
      <c r="J60" s="38"/>
      <c r="K60" s="38"/>
      <c r="L60" s="9"/>
    </row>
    <row r="61" spans="2:12" ht="14.7" customHeight="1" thickBot="1" x14ac:dyDescent="0.55000000000000004">
      <c r="B61" s="24" t="s">
        <v>39</v>
      </c>
      <c r="C61" s="13">
        <v>468179.017522635</v>
      </c>
      <c r="F61" s="9"/>
      <c r="H61" s="24" t="s">
        <v>39</v>
      </c>
      <c r="I61" s="13">
        <v>117060.057465889</v>
      </c>
      <c r="J61" s="38"/>
      <c r="K61" s="38"/>
      <c r="L61" s="9"/>
    </row>
    <row r="62" spans="2:12" ht="14.7" customHeight="1" thickBot="1" x14ac:dyDescent="0.55000000000000004">
      <c r="B62" s="8"/>
      <c r="F62" s="9"/>
      <c r="H62" s="8"/>
      <c r="I62" s="38"/>
      <c r="J62" s="38"/>
      <c r="K62" s="38"/>
      <c r="L62" s="9"/>
    </row>
    <row r="63" spans="2:12" ht="14.7" customHeight="1" thickBot="1" x14ac:dyDescent="0.55000000000000004">
      <c r="B63" s="29" t="s">
        <v>40</v>
      </c>
      <c r="C63" s="31"/>
      <c r="F63" s="9"/>
      <c r="H63" s="29" t="s">
        <v>40</v>
      </c>
      <c r="I63" s="31"/>
      <c r="J63" s="38"/>
      <c r="K63" s="38"/>
      <c r="L63" s="9"/>
    </row>
    <row r="64" spans="2:12" ht="14.7" customHeight="1" thickBot="1" x14ac:dyDescent="0.55000000000000004">
      <c r="B64" s="29">
        <f>E23/B70</f>
        <v>0.93364925896243289</v>
      </c>
      <c r="C64" s="31"/>
      <c r="F64" s="9"/>
      <c r="H64" s="29">
        <f>K23/B70</f>
        <v>0.231569468691911</v>
      </c>
      <c r="I64" s="31"/>
      <c r="J64" s="38"/>
      <c r="K64" s="38"/>
      <c r="L64" s="9"/>
    </row>
    <row r="65" spans="2:12" x14ac:dyDescent="0.5">
      <c r="B65" s="8"/>
      <c r="F65" s="9"/>
      <c r="H65" s="8"/>
      <c r="I65" s="38"/>
      <c r="J65" s="38"/>
      <c r="K65" s="38"/>
      <c r="L65" s="9"/>
    </row>
    <row r="66" spans="2:12" ht="14.7" customHeight="1" thickBot="1" x14ac:dyDescent="0.55000000000000004">
      <c r="B66" s="11"/>
      <c r="C66" s="12"/>
      <c r="D66" s="12"/>
      <c r="E66" s="12"/>
      <c r="F66" s="13"/>
      <c r="G66" s="12"/>
      <c r="H66" s="11"/>
      <c r="I66" s="12"/>
      <c r="J66" s="12"/>
      <c r="K66" s="12"/>
      <c r="L66" s="13"/>
    </row>
    <row r="67" spans="2:12" ht="14.7" customHeight="1" thickBot="1" x14ac:dyDescent="0.55000000000000004">
      <c r="B67" s="11"/>
      <c r="C67" s="12"/>
      <c r="L67" s="9"/>
    </row>
    <row r="68" spans="2:12" ht="14.7" customHeight="1" thickBot="1" x14ac:dyDescent="0.55000000000000004">
      <c r="B68" s="32" t="s">
        <v>41</v>
      </c>
      <c r="C68" s="33"/>
      <c r="L68" s="9"/>
    </row>
    <row r="69" spans="2:12" ht="14.7" customHeight="1" thickBot="1" x14ac:dyDescent="0.55000000000000004">
      <c r="B69" s="17" t="s">
        <v>42</v>
      </c>
      <c r="C69" s="19" t="s">
        <v>43</v>
      </c>
      <c r="L69" s="9"/>
    </row>
    <row r="70" spans="2:12" ht="14.7" customHeight="1" thickBot="1" x14ac:dyDescent="0.55000000000000004">
      <c r="B70" s="11">
        <f>C108</f>
        <v>17545133.422178607</v>
      </c>
      <c r="C70" s="13">
        <f>D108</f>
        <v>438628335.55446517</v>
      </c>
      <c r="D70" s="12"/>
      <c r="E70" s="12"/>
      <c r="F70" s="12"/>
      <c r="G70" s="12"/>
      <c r="H70" s="12"/>
      <c r="I70" s="12"/>
      <c r="J70" s="12"/>
      <c r="K70" s="12"/>
      <c r="L70" s="13"/>
    </row>
    <row r="71" spans="2:12" ht="14.7" customHeight="1" thickBot="1" x14ac:dyDescent="0.55000000000000004"/>
    <row r="72" spans="2:12" ht="14.7" customHeight="1" thickBot="1" x14ac:dyDescent="0.55000000000000004">
      <c r="B72" s="29" t="s">
        <v>44</v>
      </c>
      <c r="C72" s="30"/>
      <c r="D72" s="30"/>
      <c r="E72" s="30"/>
      <c r="F72" s="31"/>
    </row>
    <row r="73" spans="2:12" ht="14.7" customHeight="1" thickBot="1" x14ac:dyDescent="0.55000000000000004">
      <c r="B73" s="29" t="s">
        <v>45</v>
      </c>
      <c r="C73" s="30"/>
      <c r="D73" s="30"/>
      <c r="E73" s="30"/>
      <c r="F73" s="31"/>
    </row>
    <row r="74" spans="2:12" ht="14.7" customHeight="1" thickBot="1" x14ac:dyDescent="0.55000000000000004">
      <c r="B74" s="24" t="s">
        <v>46</v>
      </c>
      <c r="C74" s="18" t="s">
        <v>4</v>
      </c>
      <c r="D74" s="18" t="s">
        <v>5</v>
      </c>
      <c r="E74" s="18" t="s">
        <v>6</v>
      </c>
      <c r="F74" s="19" t="s">
        <v>7</v>
      </c>
    </row>
    <row r="75" spans="2:12" x14ac:dyDescent="0.5">
      <c r="B75" s="23" t="s">
        <v>9</v>
      </c>
      <c r="C75">
        <v>12771.442313861329</v>
      </c>
      <c r="D75">
        <v>29800.000000000011</v>
      </c>
      <c r="E75">
        <f>C75+D75</f>
        <v>42571.442313861342</v>
      </c>
      <c r="F75" s="9">
        <f>E75*25</f>
        <v>1064286.0578465336</v>
      </c>
    </row>
    <row r="76" spans="2:12" x14ac:dyDescent="0.5">
      <c r="B76" s="3" t="s">
        <v>10</v>
      </c>
      <c r="C76">
        <v>31928.605784653319</v>
      </c>
      <c r="D76">
        <v>74500</v>
      </c>
      <c r="E76">
        <f>C76+D76</f>
        <v>106428.60578465332</v>
      </c>
      <c r="F76" s="9">
        <f>E76*25</f>
        <v>2660715.1446163328</v>
      </c>
    </row>
    <row r="77" spans="2:12" x14ac:dyDescent="0.5">
      <c r="B77" s="3" t="s">
        <v>14</v>
      </c>
      <c r="C77">
        <v>70952.457299229587</v>
      </c>
      <c r="D77">
        <v>114000</v>
      </c>
      <c r="E77">
        <f>C77+D77</f>
        <v>184952.45729922957</v>
      </c>
      <c r="F77" s="9">
        <f>E77*25</f>
        <v>4623811.4324807394</v>
      </c>
    </row>
    <row r="78" spans="2:12" x14ac:dyDescent="0.5">
      <c r="B78" s="3" t="s">
        <v>47</v>
      </c>
      <c r="C78">
        <v>0</v>
      </c>
      <c r="D78">
        <v>0</v>
      </c>
      <c r="E78">
        <f>C78+D78</f>
        <v>0</v>
      </c>
      <c r="F78" s="9">
        <f>E78*25</f>
        <v>0</v>
      </c>
    </row>
    <row r="79" spans="2:12" ht="14.7" customHeight="1" thickBot="1" x14ac:dyDescent="0.55000000000000004">
      <c r="B79" s="16" t="s">
        <v>48</v>
      </c>
      <c r="C79" s="12"/>
      <c r="D79" s="12"/>
      <c r="E79">
        <f>C79+D79</f>
        <v>0</v>
      </c>
      <c r="F79" s="9">
        <f>E79*25</f>
        <v>0</v>
      </c>
    </row>
    <row r="80" spans="2:12" ht="14.7" customHeight="1" thickBot="1" x14ac:dyDescent="0.55000000000000004">
      <c r="B80" s="17" t="s">
        <v>49</v>
      </c>
      <c r="C80" s="18" t="s">
        <v>4</v>
      </c>
      <c r="D80" s="18" t="s">
        <v>5</v>
      </c>
      <c r="E80" s="18" t="s">
        <v>6</v>
      </c>
      <c r="F80" s="19" t="s">
        <v>7</v>
      </c>
    </row>
    <row r="81" spans="2:6" x14ac:dyDescent="0.5">
      <c r="B81" s="23" t="s">
        <v>18</v>
      </c>
      <c r="C81">
        <v>142646.41272598511</v>
      </c>
      <c r="D81">
        <v>177768.95999999999</v>
      </c>
      <c r="E81">
        <f>C81+D81</f>
        <v>320415.37272598513</v>
      </c>
      <c r="F81" s="9">
        <f>E81*25</f>
        <v>8010384.3181496281</v>
      </c>
    </row>
    <row r="82" spans="2:6" ht="14.7" customHeight="1" thickBot="1" x14ac:dyDescent="0.55000000000000004">
      <c r="B82" s="16" t="s">
        <v>50</v>
      </c>
      <c r="C82" s="12"/>
      <c r="D82" s="12"/>
      <c r="E82">
        <f>C82+D82</f>
        <v>0</v>
      </c>
      <c r="F82" s="9">
        <f>E82*25</f>
        <v>0</v>
      </c>
    </row>
    <row r="83" spans="2:6" ht="14.7" customHeight="1" thickBot="1" x14ac:dyDescent="0.55000000000000004">
      <c r="B83" s="17"/>
      <c r="C83" s="18" t="s">
        <v>4</v>
      </c>
      <c r="D83" s="18" t="s">
        <v>5</v>
      </c>
      <c r="E83" s="18" t="s">
        <v>6</v>
      </c>
      <c r="F83" s="19" t="s">
        <v>7</v>
      </c>
    </row>
    <row r="84" spans="2:6" ht="14.7" customHeight="1" thickBot="1" x14ac:dyDescent="0.55000000000000004">
      <c r="B84" s="24" t="s">
        <v>22</v>
      </c>
      <c r="C84" s="12">
        <v>258298.91812372941</v>
      </c>
      <c r="D84" s="12">
        <v>14430157.856061211</v>
      </c>
      <c r="E84" s="12">
        <v>14688456.77418494</v>
      </c>
      <c r="F84" s="13">
        <f>E84*25</f>
        <v>367211419.3546235</v>
      </c>
    </row>
    <row r="85" spans="2:6" ht="14.7" customHeight="1" thickBot="1" x14ac:dyDescent="0.55000000000000004">
      <c r="B85" s="8"/>
      <c r="F85" s="9"/>
    </row>
    <row r="86" spans="2:6" ht="14.7" customHeight="1" thickBot="1" x14ac:dyDescent="0.55000000000000004">
      <c r="B86" s="29" t="s">
        <v>46</v>
      </c>
      <c r="C86" s="30"/>
      <c r="D86" s="31"/>
      <c r="F86" s="9"/>
    </row>
    <row r="87" spans="2:6" ht="14.7" customHeight="1" thickBot="1" x14ac:dyDescent="0.55000000000000004">
      <c r="B87" s="24" t="s">
        <v>23</v>
      </c>
      <c r="C87" s="18" t="s">
        <v>24</v>
      </c>
      <c r="D87" s="19" t="s">
        <v>25</v>
      </c>
      <c r="F87" s="9"/>
    </row>
    <row r="88" spans="2:6" x14ac:dyDescent="0.5">
      <c r="B88" s="23" t="s">
        <v>9</v>
      </c>
      <c r="C88">
        <v>2.0000000000000009</v>
      </c>
      <c r="D88" s="9">
        <v>200.00000000000011</v>
      </c>
      <c r="F88" s="9"/>
    </row>
    <row r="89" spans="2:6" x14ac:dyDescent="0.5">
      <c r="B89" s="3" t="s">
        <v>10</v>
      </c>
      <c r="C89">
        <v>1</v>
      </c>
      <c r="D89" s="9">
        <v>500</v>
      </c>
      <c r="F89" s="9"/>
    </row>
    <row r="90" spans="2:6" x14ac:dyDescent="0.5">
      <c r="B90" s="3" t="s">
        <v>14</v>
      </c>
      <c r="C90">
        <v>1</v>
      </c>
      <c r="D90" s="9">
        <v>1000</v>
      </c>
      <c r="F90" s="9"/>
    </row>
    <row r="91" spans="2:6" x14ac:dyDescent="0.5">
      <c r="B91" s="3" t="s">
        <v>47</v>
      </c>
      <c r="C91">
        <v>0</v>
      </c>
      <c r="D91" s="9">
        <v>0</v>
      </c>
      <c r="F91" s="9"/>
    </row>
    <row r="92" spans="2:6" ht="14.7" customHeight="1" thickBot="1" x14ac:dyDescent="0.55000000000000004">
      <c r="B92" s="16" t="s">
        <v>26</v>
      </c>
      <c r="C92" s="12">
        <v>4.0000000000000009</v>
      </c>
      <c r="D92" s="13">
        <v>1700</v>
      </c>
      <c r="F92" s="9"/>
    </row>
    <row r="93" spans="2:6" ht="14.7" customHeight="1" thickBot="1" x14ac:dyDescent="0.55000000000000004">
      <c r="B93" s="8"/>
      <c r="F93" s="9"/>
    </row>
    <row r="94" spans="2:6" ht="14.7" customHeight="1" thickBot="1" x14ac:dyDescent="0.55000000000000004">
      <c r="B94" s="29" t="s">
        <v>51</v>
      </c>
      <c r="C94" s="30"/>
      <c r="D94" s="31"/>
      <c r="F94" s="9"/>
    </row>
    <row r="95" spans="2:6" ht="14.7" customHeight="1" thickBot="1" x14ac:dyDescent="0.55000000000000004">
      <c r="B95" s="17" t="s">
        <v>23</v>
      </c>
      <c r="C95" s="18" t="s">
        <v>24</v>
      </c>
      <c r="D95" s="19" t="s">
        <v>25</v>
      </c>
      <c r="F95" s="9"/>
    </row>
    <row r="96" spans="2:6" ht="14.7" customHeight="1" thickBot="1" x14ac:dyDescent="0.55000000000000004">
      <c r="B96" s="24" t="s">
        <v>18</v>
      </c>
      <c r="C96" s="12">
        <v>632</v>
      </c>
      <c r="D96" s="13">
        <v>11110.56</v>
      </c>
      <c r="F96" s="9"/>
    </row>
    <row r="97" spans="2:6" ht="14.7" customHeight="1" thickBot="1" x14ac:dyDescent="0.55000000000000004">
      <c r="B97" s="8"/>
      <c r="F97" s="9"/>
    </row>
    <row r="98" spans="2:6" ht="14.7" customHeight="1" thickBot="1" x14ac:dyDescent="0.55000000000000004">
      <c r="B98" s="29" t="s">
        <v>52</v>
      </c>
      <c r="C98" s="30"/>
      <c r="D98" s="31"/>
      <c r="F98" s="9"/>
    </row>
    <row r="99" spans="2:6" ht="14.7" customHeight="1" thickBot="1" x14ac:dyDescent="0.55000000000000004">
      <c r="B99" s="17" t="s">
        <v>53</v>
      </c>
      <c r="C99" s="18" t="s">
        <v>54</v>
      </c>
      <c r="D99" s="19" t="s">
        <v>55</v>
      </c>
      <c r="F99" s="9"/>
    </row>
    <row r="100" spans="2:6" x14ac:dyDescent="0.5">
      <c r="B100" s="23" t="s">
        <v>56</v>
      </c>
      <c r="C100">
        <v>2702368.4210526929</v>
      </c>
      <c r="D100" s="9">
        <f>C100*25</f>
        <v>67559210.526317328</v>
      </c>
      <c r="F100" s="9"/>
    </row>
    <row r="101" spans="2:6" x14ac:dyDescent="0.5">
      <c r="B101" s="3" t="s">
        <v>57</v>
      </c>
      <c r="C101">
        <v>4023770.5178695261</v>
      </c>
      <c r="D101" s="9">
        <f>C101*25</f>
        <v>100594262.94673815</v>
      </c>
      <c r="F101" s="9"/>
    </row>
    <row r="102" spans="2:6" ht="14.7" customHeight="1" thickBot="1" x14ac:dyDescent="0.55000000000000004">
      <c r="B102" s="16" t="s">
        <v>26</v>
      </c>
      <c r="C102" s="12">
        <f>C100+C101</f>
        <v>6726138.938922219</v>
      </c>
      <c r="D102" s="13">
        <f>C102*25</f>
        <v>168153473.47305548</v>
      </c>
      <c r="F102" s="9"/>
    </row>
    <row r="103" spans="2:6" ht="14.7" customHeight="1" thickBot="1" x14ac:dyDescent="0.55000000000000004">
      <c r="B103" s="8"/>
      <c r="F103" s="9"/>
    </row>
    <row r="104" spans="2:6" ht="14.7" customHeight="1" thickBot="1" x14ac:dyDescent="0.55000000000000004">
      <c r="B104" s="29" t="s">
        <v>58</v>
      </c>
      <c r="C104" s="30"/>
      <c r="D104" s="31"/>
      <c r="F104" s="9"/>
    </row>
    <row r="105" spans="2:6" ht="14.7" customHeight="1" thickBot="1" x14ac:dyDescent="0.55000000000000004">
      <c r="B105" s="17" t="s">
        <v>53</v>
      </c>
      <c r="C105" s="18" t="s">
        <v>59</v>
      </c>
      <c r="D105" s="22" t="s">
        <v>60</v>
      </c>
      <c r="F105" s="9"/>
    </row>
    <row r="106" spans="2:6" x14ac:dyDescent="0.5">
      <c r="B106" s="23" t="s">
        <v>56</v>
      </c>
      <c r="C106">
        <f>2.6085*C100</f>
        <v>7049128.0263159489</v>
      </c>
      <c r="D106" s="9">
        <f>C106*25</f>
        <v>176228200.65789872</v>
      </c>
      <c r="F106" s="9"/>
    </row>
    <row r="107" spans="2:6" x14ac:dyDescent="0.5">
      <c r="B107" s="3" t="s">
        <v>57</v>
      </c>
      <c r="C107">
        <f>2.6085*C101</f>
        <v>10496005.395862658</v>
      </c>
      <c r="D107" s="9">
        <f>C107*25</f>
        <v>262400134.89656645</v>
      </c>
      <c r="F107" s="9"/>
    </row>
    <row r="108" spans="2:6" ht="14.7" customHeight="1" thickBot="1" x14ac:dyDescent="0.55000000000000004">
      <c r="B108" s="16" t="s">
        <v>26</v>
      </c>
      <c r="C108" s="12">
        <f>2.6085*C102</f>
        <v>17545133.422178607</v>
      </c>
      <c r="D108" s="13">
        <f>C108*25</f>
        <v>438628335.55446517</v>
      </c>
      <c r="E108" s="12"/>
      <c r="F108" s="13"/>
    </row>
  </sheetData>
  <mergeCells count="30">
    <mergeCell ref="H64:I64"/>
    <mergeCell ref="H50:J50"/>
    <mergeCell ref="H55:J55"/>
    <mergeCell ref="B86:D86"/>
    <mergeCell ref="B104:D104"/>
    <mergeCell ref="B73:F73"/>
    <mergeCell ref="B36:D36"/>
    <mergeCell ref="B94:D94"/>
    <mergeCell ref="B50:D50"/>
    <mergeCell ref="B68:C68"/>
    <mergeCell ref="B64:C64"/>
    <mergeCell ref="B47:C47"/>
    <mergeCell ref="B98:D98"/>
    <mergeCell ref="B72:F72"/>
    <mergeCell ref="H33:I33"/>
    <mergeCell ref="B5:L5"/>
    <mergeCell ref="B63:C63"/>
    <mergeCell ref="B43:D43"/>
    <mergeCell ref="H25:J25"/>
    <mergeCell ref="H6:L6"/>
    <mergeCell ref="H60:I60"/>
    <mergeCell ref="B60:C60"/>
    <mergeCell ref="B55:D55"/>
    <mergeCell ref="H47:I47"/>
    <mergeCell ref="B25:D25"/>
    <mergeCell ref="H43:J43"/>
    <mergeCell ref="B6:F6"/>
    <mergeCell ref="B33:C33"/>
    <mergeCell ref="H36:J36"/>
    <mergeCell ref="H63:I6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B4:N108"/>
  <sheetViews>
    <sheetView tabSelected="1" topLeftCell="A15" zoomScale="70" zoomScaleNormal="70" workbookViewId="0">
      <selection activeCell="M29" sqref="M29"/>
    </sheetView>
  </sheetViews>
  <sheetFormatPr defaultColWidth="39.234375" defaultRowHeight="14.35" x14ac:dyDescent="0.5"/>
  <cols>
    <col min="1" max="1" width="13.52734375" customWidth="1"/>
    <col min="2" max="2" width="15.234375" bestFit="1" customWidth="1"/>
    <col min="3" max="3" width="17.64453125" bestFit="1" customWidth="1"/>
    <col min="4" max="4" width="18.64453125" bestFit="1" customWidth="1"/>
    <col min="5" max="5" width="13.5859375" bestFit="1" customWidth="1"/>
    <col min="6" max="6" width="14.5859375" bestFit="1" customWidth="1"/>
    <col min="7" max="7" width="12.46875" customWidth="1"/>
    <col min="8" max="8" width="15.234375" bestFit="1" customWidth="1"/>
    <col min="9" max="9" width="15.703125" bestFit="1" customWidth="1"/>
    <col min="10" max="10" width="18" bestFit="1" customWidth="1"/>
    <col min="11" max="11" width="12.46875" bestFit="1" customWidth="1"/>
    <col min="12" max="12" width="14.5859375" bestFit="1" customWidth="1"/>
    <col min="13" max="14" width="14.41015625" bestFit="1" customWidth="1"/>
    <col min="15" max="15" width="11.76171875" bestFit="1" customWidth="1"/>
  </cols>
  <sheetData>
    <row r="4" spans="2:14" ht="14.7" customHeight="1" thickBot="1" x14ac:dyDescent="0.55000000000000004"/>
    <row r="5" spans="2:14" ht="14.7" customHeight="1" thickBot="1" x14ac:dyDescent="0.55000000000000004">
      <c r="B5" s="29" t="s">
        <v>0</v>
      </c>
      <c r="C5" s="30"/>
      <c r="D5" s="30"/>
      <c r="E5" s="30"/>
      <c r="F5" s="30"/>
      <c r="G5" s="30"/>
      <c r="H5" s="30"/>
      <c r="I5" s="30"/>
      <c r="J5" s="30"/>
      <c r="K5" s="30"/>
      <c r="L5" s="31"/>
    </row>
    <row r="6" spans="2:14" ht="14.7" customHeight="1" thickBot="1" x14ac:dyDescent="0.55000000000000004">
      <c r="B6" s="29" t="s">
        <v>1</v>
      </c>
      <c r="C6" s="30"/>
      <c r="D6" s="30"/>
      <c r="E6" s="30"/>
      <c r="F6" s="31"/>
      <c r="H6" s="29" t="s">
        <v>2</v>
      </c>
      <c r="I6" s="30"/>
      <c r="J6" s="30"/>
      <c r="K6" s="30"/>
      <c r="L6" s="31"/>
    </row>
    <row r="7" spans="2:14" ht="14.7" customHeight="1" thickBot="1" x14ac:dyDescent="0.55000000000000004">
      <c r="B7" s="24" t="s">
        <v>3</v>
      </c>
      <c r="C7" s="18" t="s">
        <v>4</v>
      </c>
      <c r="D7" s="18" t="s">
        <v>5</v>
      </c>
      <c r="E7" s="18" t="s">
        <v>6</v>
      </c>
      <c r="F7" s="19" t="s">
        <v>7</v>
      </c>
      <c r="H7" s="24" t="s">
        <v>3</v>
      </c>
      <c r="I7" s="18" t="s">
        <v>4</v>
      </c>
      <c r="J7" s="18" t="s">
        <v>5</v>
      </c>
      <c r="K7" s="18" t="s">
        <v>6</v>
      </c>
      <c r="L7" s="19" t="s">
        <v>7</v>
      </c>
    </row>
    <row r="8" spans="2:14" x14ac:dyDescent="0.5">
      <c r="B8" s="3" t="s">
        <v>8</v>
      </c>
      <c r="C8" s="6">
        <f>13698 * D27*((0.05*((1.05)^25))/((1.05^25)-1))</f>
        <v>5637059.2084921151</v>
      </c>
      <c r="D8" s="6">
        <f>29*D27</f>
        <v>168200</v>
      </c>
      <c r="E8" s="6">
        <f>C8+D8</f>
        <v>5805259.2084921151</v>
      </c>
      <c r="F8" s="10">
        <f>E8*25</f>
        <v>145131480.21230286</v>
      </c>
      <c r="H8" s="3" t="s">
        <v>9</v>
      </c>
      <c r="I8" s="39">
        <f>1615 * J27*((0.05*((1.05)^25))/((1.05^25)-1))</f>
        <v>4159552.3329386869</v>
      </c>
      <c r="J8" s="39">
        <f>29*J27</f>
        <v>1052700</v>
      </c>
      <c r="K8" s="39">
        <f>I8+J8</f>
        <v>5212252.3329386869</v>
      </c>
      <c r="L8" s="10">
        <f>K8*25</f>
        <v>130306308.32346718</v>
      </c>
    </row>
    <row r="9" spans="2:14" x14ac:dyDescent="0.5">
      <c r="B9" s="3" t="s">
        <v>10</v>
      </c>
      <c r="C9" s="6">
        <f>13698 * D28*((0.05*((1.05)^25))/((1.05^25)-1))</f>
        <v>24783622.382163607</v>
      </c>
      <c r="D9" s="6">
        <f>29*D28</f>
        <v>739500</v>
      </c>
      <c r="E9" s="6">
        <f>C9+D9</f>
        <v>25523122.382163607</v>
      </c>
      <c r="F9" s="10">
        <f>E9*25</f>
        <v>638078059.55409014</v>
      </c>
      <c r="H9" s="3" t="s">
        <v>10</v>
      </c>
      <c r="I9" s="39">
        <f>1615 * J28*((0.05*((1.05)^25))/((1.05^25)-1))</f>
        <v>0</v>
      </c>
      <c r="J9" s="39">
        <f>29*J28</f>
        <v>0</v>
      </c>
      <c r="K9" s="39">
        <f>I9+J9</f>
        <v>0</v>
      </c>
      <c r="L9" s="10">
        <f>K9*25</f>
        <v>0</v>
      </c>
      <c r="M9" s="7"/>
      <c r="N9" s="6"/>
    </row>
    <row r="10" spans="2:14" x14ac:dyDescent="0.5">
      <c r="B10" s="3" t="s">
        <v>11</v>
      </c>
      <c r="C10" s="6">
        <f>13698 * D29*((0.05*((1.05)^25))/((1.05^25)-1))</f>
        <v>777525.40806787787</v>
      </c>
      <c r="D10" s="6">
        <f>29*D29</f>
        <v>23200</v>
      </c>
      <c r="E10" s="6">
        <f>C10+D10</f>
        <v>800725.40806787787</v>
      </c>
      <c r="F10" s="10">
        <f>E10*25</f>
        <v>20018135.201696947</v>
      </c>
      <c r="H10" s="3" t="s">
        <v>11</v>
      </c>
      <c r="I10" s="39">
        <f>1615 * J29*((0.05*((1.05)^25))/((1.05^25)-1))</f>
        <v>0</v>
      </c>
      <c r="J10" s="39">
        <f>29*J29</f>
        <v>0</v>
      </c>
      <c r="K10" s="39">
        <f>I10+J10</f>
        <v>0</v>
      </c>
      <c r="L10" s="10">
        <f>K10*25</f>
        <v>0</v>
      </c>
      <c r="M10" s="7"/>
    </row>
    <row r="11" spans="2:14" ht="14.7" customHeight="1" thickBot="1" x14ac:dyDescent="0.55000000000000004">
      <c r="B11" s="16" t="s">
        <v>12</v>
      </c>
      <c r="C11" s="14">
        <f>13698 * D30*((0.05*((1.05)^25))/((1.05^25)-1))</f>
        <v>0</v>
      </c>
      <c r="D11" s="14">
        <f>29*D30</f>
        <v>0</v>
      </c>
      <c r="E11" s="14">
        <f>C11+D11</f>
        <v>0</v>
      </c>
      <c r="F11" s="15">
        <f>E11*25</f>
        <v>0</v>
      </c>
      <c r="H11" s="16" t="s">
        <v>12</v>
      </c>
      <c r="I11" s="14">
        <f>1615 * J30*((0.05*((1.05)^25))/((1.05^25)-1))</f>
        <v>0</v>
      </c>
      <c r="J11" s="14">
        <f>29*J30</f>
        <v>0</v>
      </c>
      <c r="K11" s="14">
        <f>I11+J11</f>
        <v>0</v>
      </c>
      <c r="L11" s="13">
        <f>K11*25</f>
        <v>0</v>
      </c>
    </row>
    <row r="12" spans="2:14" ht="14.7" customHeight="1" thickBot="1" x14ac:dyDescent="0.55000000000000004">
      <c r="B12" s="24" t="s">
        <v>13</v>
      </c>
      <c r="C12" s="18" t="s">
        <v>4</v>
      </c>
      <c r="D12" s="18" t="s">
        <v>5</v>
      </c>
      <c r="E12" s="18" t="s">
        <v>6</v>
      </c>
      <c r="F12" s="19" t="s">
        <v>7</v>
      </c>
      <c r="H12" s="24" t="s">
        <v>13</v>
      </c>
      <c r="I12" s="18" t="s">
        <v>4</v>
      </c>
      <c r="J12" s="18" t="s">
        <v>5</v>
      </c>
      <c r="K12" s="18" t="s">
        <v>6</v>
      </c>
      <c r="L12" s="19" t="s">
        <v>7</v>
      </c>
    </row>
    <row r="13" spans="2:14" x14ac:dyDescent="0.5">
      <c r="B13" s="3" t="s">
        <v>14</v>
      </c>
      <c r="C13" s="4">
        <f>2490 * D38*((0.05*((1.05)^10))/((1.05^10)-1))</f>
        <v>1934798.3499839231</v>
      </c>
      <c r="D13" s="1">
        <f>37.35*D38</f>
        <v>224100</v>
      </c>
      <c r="E13">
        <f>C13+D13</f>
        <v>2158898.3499839231</v>
      </c>
      <c r="F13" s="9">
        <f>E13*25</f>
        <v>53972458.749598078</v>
      </c>
      <c r="H13" s="3" t="s">
        <v>14</v>
      </c>
      <c r="I13" s="4">
        <f>2490 * J38*((0.05*((1.05)^10))/((1.05^10)-1))</f>
        <v>2579731.1333118975</v>
      </c>
      <c r="J13" s="1">
        <f>37.35*J38</f>
        <v>298800</v>
      </c>
      <c r="K13" s="39">
        <f>I13+J13</f>
        <v>2878531.1333118975</v>
      </c>
      <c r="L13" s="10">
        <f>K13*25</f>
        <v>71963278.332797438</v>
      </c>
    </row>
    <row r="14" spans="2:14" x14ac:dyDescent="0.5">
      <c r="B14" s="3" t="s">
        <v>15</v>
      </c>
      <c r="C14" s="4">
        <f>1570 * D39*((0.05*((1.05)^10))/((1.05^10)-1))</f>
        <v>4066443.6539153405</v>
      </c>
      <c r="D14" s="1">
        <f>23.55*D39</f>
        <v>471000</v>
      </c>
      <c r="E14">
        <f>C14+D14</f>
        <v>4537443.6539153401</v>
      </c>
      <c r="F14" s="9">
        <f>E14*25</f>
        <v>113436091.34788351</v>
      </c>
      <c r="H14" s="3" t="s">
        <v>15</v>
      </c>
      <c r="I14" s="4">
        <f>1570 * J39*((0.05*((1.05)^10))/((1.05^10)-1))</f>
        <v>4066443.6539153405</v>
      </c>
      <c r="J14" s="1">
        <f>23.55*J39</f>
        <v>471000</v>
      </c>
      <c r="K14" s="38">
        <f>I14+J14</f>
        <v>4537443.6539153401</v>
      </c>
      <c r="L14" s="10">
        <f>K14*25</f>
        <v>113436091.34788351</v>
      </c>
    </row>
    <row r="15" spans="2:14" ht="14.7" customHeight="1" thickBot="1" x14ac:dyDescent="0.55000000000000004">
      <c r="B15" s="16" t="s">
        <v>16</v>
      </c>
      <c r="C15" s="5">
        <f>1190 * D40*((0.05*((1.05)^10))/((1.05^10)-1))</f>
        <v>0</v>
      </c>
      <c r="D15" s="2">
        <f>17.85*D40</f>
        <v>0</v>
      </c>
      <c r="E15" s="12">
        <f>C15+D15</f>
        <v>0</v>
      </c>
      <c r="F15" s="13">
        <f>E15*25</f>
        <v>0</v>
      </c>
      <c r="H15" s="16" t="s">
        <v>16</v>
      </c>
      <c r="I15" s="5">
        <f>1190 * J40*((0.05*((1.05)^10))/((1.05^10)-1))</f>
        <v>0</v>
      </c>
      <c r="J15" s="2">
        <f>17.85*J40</f>
        <v>0</v>
      </c>
      <c r="K15" s="12">
        <f>I15+J15</f>
        <v>0</v>
      </c>
      <c r="L15" s="15">
        <f>K15*25</f>
        <v>0</v>
      </c>
    </row>
    <row r="16" spans="2:14" ht="14.7" customHeight="1" thickBot="1" x14ac:dyDescent="0.55000000000000004">
      <c r="B16" s="24" t="s">
        <v>17</v>
      </c>
      <c r="C16" s="18" t="s">
        <v>4</v>
      </c>
      <c r="D16" s="18" t="s">
        <v>5</v>
      </c>
      <c r="E16" s="18" t="s">
        <v>6</v>
      </c>
      <c r="F16" s="19" t="s">
        <v>7</v>
      </c>
      <c r="H16" s="24" t="s">
        <v>17</v>
      </c>
      <c r="I16" s="18" t="s">
        <v>4</v>
      </c>
      <c r="J16" s="18" t="s">
        <v>5</v>
      </c>
      <c r="K16" s="18" t="s">
        <v>6</v>
      </c>
      <c r="L16" s="19" t="s">
        <v>7</v>
      </c>
    </row>
    <row r="17" spans="2:14" ht="14.7" customHeight="1" thickBot="1" x14ac:dyDescent="0.55000000000000004">
      <c r="B17" s="16" t="s">
        <v>18</v>
      </c>
      <c r="C17" s="12">
        <v>392277.634996459</v>
      </c>
      <c r="D17" s="12">
        <v>488864.64</v>
      </c>
      <c r="E17" s="12">
        <f>D17+C17</f>
        <v>881142.27499645902</v>
      </c>
      <c r="F17" s="13">
        <f>E17*25</f>
        <v>22028556.874911476</v>
      </c>
      <c r="H17" s="16" t="s">
        <v>18</v>
      </c>
      <c r="I17" s="12">
        <v>392277.634996459</v>
      </c>
      <c r="J17" s="12">
        <v>488864.64</v>
      </c>
      <c r="K17" s="12">
        <f>J17+I17</f>
        <v>881142.27499645902</v>
      </c>
      <c r="L17" s="15">
        <f>K17*25</f>
        <v>22028556.874911476</v>
      </c>
    </row>
    <row r="18" spans="2:14" ht="14.7" customHeight="1" thickBot="1" x14ac:dyDescent="0.55000000000000004">
      <c r="B18" s="24" t="s">
        <v>19</v>
      </c>
      <c r="C18" s="18" t="s">
        <v>4</v>
      </c>
      <c r="D18" s="18" t="s">
        <v>5</v>
      </c>
      <c r="E18" s="18" t="s">
        <v>6</v>
      </c>
      <c r="F18" s="19" t="s">
        <v>7</v>
      </c>
      <c r="H18" s="24" t="s">
        <v>20</v>
      </c>
      <c r="I18" s="18" t="s">
        <v>4</v>
      </c>
      <c r="J18" s="18" t="s">
        <v>5</v>
      </c>
      <c r="K18" s="18" t="s">
        <v>6</v>
      </c>
      <c r="L18" s="19" t="s">
        <v>7</v>
      </c>
    </row>
    <row r="19" spans="2:14" ht="14.7" customHeight="1" thickBot="1" x14ac:dyDescent="0.55000000000000004">
      <c r="B19" s="11"/>
      <c r="C19" s="12">
        <f>C48*300*((0.05*((1.05)^20))/((1.05^20)-1))</f>
        <v>4364635.045063273</v>
      </c>
      <c r="D19" s="12">
        <v>0</v>
      </c>
      <c r="E19" s="12">
        <f>D19+C19</f>
        <v>4364635.045063273</v>
      </c>
      <c r="F19" s="13">
        <f>E19*25</f>
        <v>109115876.12658183</v>
      </c>
      <c r="H19" s="11"/>
      <c r="I19" s="14">
        <f>(I48/10)*3000*((0.05*((1.05)^20))/((1.05^20)-1))</f>
        <v>2174493.8702805438</v>
      </c>
      <c r="J19" s="12">
        <v>0</v>
      </c>
      <c r="K19" s="12">
        <f>J19+I19</f>
        <v>2174493.8702805438</v>
      </c>
      <c r="L19" s="15">
        <f>K19*25</f>
        <v>54362346.757013597</v>
      </c>
    </row>
    <row r="20" spans="2:14" ht="14.7" customHeight="1" thickBot="1" x14ac:dyDescent="0.55000000000000004">
      <c r="B20" s="24" t="s">
        <v>21</v>
      </c>
      <c r="C20" s="18" t="s">
        <v>4</v>
      </c>
      <c r="D20" s="18" t="s">
        <v>5</v>
      </c>
      <c r="E20" s="18" t="s">
        <v>6</v>
      </c>
      <c r="F20" s="19" t="s">
        <v>7</v>
      </c>
      <c r="H20" s="24" t="s">
        <v>21</v>
      </c>
      <c r="I20" s="18" t="s">
        <v>4</v>
      </c>
      <c r="J20" s="18" t="s">
        <v>5</v>
      </c>
      <c r="K20" s="18" t="s">
        <v>6</v>
      </c>
      <c r="L20" s="19" t="s">
        <v>7</v>
      </c>
    </row>
    <row r="21" spans="2:14" ht="14.7" customHeight="1" thickBot="1" x14ac:dyDescent="0.55000000000000004">
      <c r="B21" s="11"/>
      <c r="C21" s="12">
        <v>271.70140022768072</v>
      </c>
      <c r="D21" s="12">
        <v>38</v>
      </c>
      <c r="E21" s="12">
        <f>C21+D21</f>
        <v>309.70140022768072</v>
      </c>
      <c r="F21" s="13">
        <f>E21*25</f>
        <v>7742.5350056920179</v>
      </c>
      <c r="H21" s="11"/>
      <c r="I21" s="12">
        <v>271.70140022768072</v>
      </c>
      <c r="J21" s="12">
        <v>38</v>
      </c>
      <c r="K21" s="12">
        <f>J21+I21</f>
        <v>309.70140022768072</v>
      </c>
      <c r="L21" s="13">
        <f>K21*25</f>
        <v>7742.5350056920179</v>
      </c>
    </row>
    <row r="22" spans="2:14" ht="14.7" customHeight="1" thickBot="1" x14ac:dyDescent="0.55000000000000004">
      <c r="B22" s="17"/>
      <c r="C22" s="18" t="s">
        <v>4</v>
      </c>
      <c r="D22" s="18" t="s">
        <v>5</v>
      </c>
      <c r="E22" s="18" t="s">
        <v>6</v>
      </c>
      <c r="F22" s="19" t="s">
        <v>7</v>
      </c>
      <c r="H22" s="17"/>
      <c r="I22" s="18" t="s">
        <v>4</v>
      </c>
      <c r="J22" s="18" t="s">
        <v>5</v>
      </c>
      <c r="K22" s="18" t="s">
        <v>6</v>
      </c>
      <c r="L22" s="19" t="s">
        <v>7</v>
      </c>
    </row>
    <row r="23" spans="2:14" ht="14.7" customHeight="1" thickBot="1" x14ac:dyDescent="0.55000000000000004">
      <c r="B23" s="24" t="s">
        <v>22</v>
      </c>
      <c r="C23" s="12">
        <v>42495863.570004247</v>
      </c>
      <c r="D23" s="12">
        <v>2114902.64</v>
      </c>
      <c r="E23" s="25">
        <v>44610766.210004263</v>
      </c>
      <c r="F23" s="13">
        <f>D23*25</f>
        <v>52872566</v>
      </c>
      <c r="H23" s="24" t="s">
        <v>22</v>
      </c>
      <c r="I23" s="14">
        <v>13372770.32684315</v>
      </c>
      <c r="J23" s="14">
        <v>2311402.64</v>
      </c>
      <c r="K23" s="14">
        <v>4062917.2247025901</v>
      </c>
      <c r="L23" s="15">
        <f>K23*25</f>
        <v>101572930.61756475</v>
      </c>
      <c r="M23" s="6"/>
    </row>
    <row r="24" spans="2:14" ht="14.7" customHeight="1" thickBot="1" x14ac:dyDescent="0.55000000000000004">
      <c r="B24" s="8"/>
      <c r="F24" s="9"/>
      <c r="H24" s="8"/>
      <c r="I24" s="39"/>
      <c r="J24" s="39"/>
      <c r="K24" s="39"/>
      <c r="L24" s="10"/>
      <c r="M24" s="6"/>
      <c r="N24" s="7"/>
    </row>
    <row r="25" spans="2:14" ht="14.7" customHeight="1" thickBot="1" x14ac:dyDescent="0.55000000000000004">
      <c r="B25" s="29" t="s">
        <v>3</v>
      </c>
      <c r="C25" s="30"/>
      <c r="D25" s="31"/>
      <c r="F25" s="9"/>
      <c r="H25" s="29" t="s">
        <v>3</v>
      </c>
      <c r="I25" s="30"/>
      <c r="J25" s="31"/>
      <c r="K25" s="38"/>
      <c r="L25" s="10"/>
      <c r="M25" s="6"/>
    </row>
    <row r="26" spans="2:14" ht="14.7" customHeight="1" thickBot="1" x14ac:dyDescent="0.55000000000000004">
      <c r="B26" s="17" t="s">
        <v>23</v>
      </c>
      <c r="C26" s="18" t="s">
        <v>24</v>
      </c>
      <c r="D26" s="19" t="s">
        <v>25</v>
      </c>
      <c r="F26" s="9"/>
      <c r="H26" s="17" t="s">
        <v>23</v>
      </c>
      <c r="I26" s="18" t="s">
        <v>24</v>
      </c>
      <c r="J26" s="19" t="s">
        <v>25</v>
      </c>
      <c r="K26" s="38"/>
      <c r="L26" s="10"/>
      <c r="M26" s="6"/>
    </row>
    <row r="27" spans="2:14" x14ac:dyDescent="0.5">
      <c r="B27" s="23" t="s">
        <v>9</v>
      </c>
      <c r="C27">
        <v>58</v>
      </c>
      <c r="D27" s="9">
        <v>5800</v>
      </c>
      <c r="F27" s="9"/>
      <c r="H27" s="8" t="s">
        <v>9</v>
      </c>
      <c r="I27" s="38">
        <v>363</v>
      </c>
      <c r="J27" s="9">
        <v>36300</v>
      </c>
      <c r="K27" s="38"/>
      <c r="L27" s="9"/>
    </row>
    <row r="28" spans="2:14" x14ac:dyDescent="0.5">
      <c r="B28" s="3" t="s">
        <v>10</v>
      </c>
      <c r="C28">
        <v>51</v>
      </c>
      <c r="D28" s="9">
        <v>25500</v>
      </c>
      <c r="F28" s="9"/>
      <c r="H28" s="8" t="s">
        <v>10</v>
      </c>
      <c r="I28" s="38">
        <v>0</v>
      </c>
      <c r="J28" s="9">
        <v>0</v>
      </c>
      <c r="K28" s="38"/>
      <c r="L28" s="9"/>
    </row>
    <row r="29" spans="2:14" x14ac:dyDescent="0.5">
      <c r="B29" s="3" t="s">
        <v>11</v>
      </c>
      <c r="C29">
        <v>1</v>
      </c>
      <c r="D29" s="9">
        <v>800</v>
      </c>
      <c r="F29" s="9"/>
      <c r="H29" s="8" t="s">
        <v>11</v>
      </c>
      <c r="I29" s="38">
        <v>0</v>
      </c>
      <c r="J29" s="9">
        <v>0</v>
      </c>
      <c r="K29" s="38"/>
      <c r="L29" s="9"/>
    </row>
    <row r="30" spans="2:14" x14ac:dyDescent="0.5">
      <c r="B30" s="3" t="s">
        <v>12</v>
      </c>
      <c r="C30">
        <v>0</v>
      </c>
      <c r="D30" s="9">
        <v>0</v>
      </c>
      <c r="F30" s="9"/>
      <c r="H30" s="8" t="s">
        <v>12</v>
      </c>
      <c r="I30" s="38">
        <v>0</v>
      </c>
      <c r="J30" s="9">
        <v>0</v>
      </c>
      <c r="K30" s="38"/>
      <c r="L30" s="9"/>
    </row>
    <row r="31" spans="2:14" ht="14.7" customHeight="1" thickBot="1" x14ac:dyDescent="0.55000000000000004">
      <c r="B31" s="16" t="s">
        <v>26</v>
      </c>
      <c r="C31" s="12">
        <v>110</v>
      </c>
      <c r="D31" s="13">
        <v>32100</v>
      </c>
      <c r="F31" s="9"/>
      <c r="H31" s="11" t="s">
        <v>26</v>
      </c>
      <c r="I31" s="12">
        <v>363</v>
      </c>
      <c r="J31" s="13">
        <v>36300</v>
      </c>
      <c r="K31" s="38"/>
      <c r="L31" s="9"/>
    </row>
    <row r="32" spans="2:14" ht="14.7" customHeight="1" thickBot="1" x14ac:dyDescent="0.55000000000000004">
      <c r="B32" s="8"/>
      <c r="F32" s="9"/>
      <c r="H32" s="8"/>
      <c r="I32" s="38"/>
      <c r="J32" s="38"/>
      <c r="K32" s="38"/>
      <c r="L32" s="9"/>
    </row>
    <row r="33" spans="2:12" ht="14.7" customHeight="1" thickBot="1" x14ac:dyDescent="0.55000000000000004">
      <c r="B33" s="29" t="s">
        <v>21</v>
      </c>
      <c r="C33" s="31"/>
      <c r="F33" s="9"/>
      <c r="H33" s="29" t="s">
        <v>21</v>
      </c>
      <c r="I33" s="31"/>
      <c r="J33" s="38"/>
      <c r="K33" s="38"/>
      <c r="L33" s="9"/>
    </row>
    <row r="34" spans="2:12" ht="14.7" customHeight="1" thickBot="1" x14ac:dyDescent="0.55000000000000004">
      <c r="B34" s="24" t="s">
        <v>25</v>
      </c>
      <c r="C34" s="13">
        <v>2</v>
      </c>
      <c r="F34" s="9"/>
      <c r="H34" s="24" t="s">
        <v>25</v>
      </c>
      <c r="I34" s="13">
        <v>2</v>
      </c>
      <c r="J34" s="38"/>
      <c r="K34" s="38"/>
      <c r="L34" s="9"/>
    </row>
    <row r="35" spans="2:12" ht="14.7" customHeight="1" thickBot="1" x14ac:dyDescent="0.55000000000000004">
      <c r="B35" s="8"/>
      <c r="F35" s="9"/>
      <c r="H35" s="8"/>
      <c r="I35" s="38"/>
      <c r="J35" s="38"/>
      <c r="K35" s="38"/>
      <c r="L35" s="9"/>
    </row>
    <row r="36" spans="2:12" ht="14.7" customHeight="1" thickBot="1" x14ac:dyDescent="0.55000000000000004">
      <c r="B36" s="29" t="s">
        <v>13</v>
      </c>
      <c r="C36" s="30"/>
      <c r="D36" s="31"/>
      <c r="F36" s="9"/>
      <c r="H36" s="29" t="s">
        <v>13</v>
      </c>
      <c r="I36" s="30"/>
      <c r="J36" s="31"/>
      <c r="K36" s="38"/>
      <c r="L36" s="9"/>
    </row>
    <row r="37" spans="2:12" ht="14.7" customHeight="1" thickBot="1" x14ac:dyDescent="0.55000000000000004">
      <c r="B37" s="24" t="s">
        <v>23</v>
      </c>
      <c r="C37" s="18" t="s">
        <v>24</v>
      </c>
      <c r="D37" s="19" t="s">
        <v>25</v>
      </c>
      <c r="F37" s="9"/>
      <c r="H37" s="17" t="s">
        <v>23</v>
      </c>
      <c r="I37" s="18" t="s">
        <v>24</v>
      </c>
      <c r="J37" s="19" t="s">
        <v>25</v>
      </c>
      <c r="K37" s="38"/>
      <c r="L37" s="9"/>
    </row>
    <row r="38" spans="2:12" x14ac:dyDescent="0.5">
      <c r="B38" s="23" t="s">
        <v>14</v>
      </c>
      <c r="C38">
        <v>6</v>
      </c>
      <c r="D38" s="9">
        <v>6000</v>
      </c>
      <c r="F38" s="9"/>
      <c r="H38" s="23" t="s">
        <v>14</v>
      </c>
      <c r="I38" s="38">
        <v>8</v>
      </c>
      <c r="J38" s="9">
        <v>8000</v>
      </c>
      <c r="K38" s="38"/>
      <c r="L38" s="9"/>
    </row>
    <row r="39" spans="2:12" x14ac:dyDescent="0.5">
      <c r="B39" s="3" t="s">
        <v>15</v>
      </c>
      <c r="C39">
        <v>1</v>
      </c>
      <c r="D39" s="9">
        <v>20000</v>
      </c>
      <c r="F39" s="9"/>
      <c r="H39" s="3" t="s">
        <v>15</v>
      </c>
      <c r="I39" s="38">
        <v>1</v>
      </c>
      <c r="J39" s="9">
        <v>20000</v>
      </c>
      <c r="K39" s="38"/>
      <c r="L39" s="9"/>
    </row>
    <row r="40" spans="2:12" x14ac:dyDescent="0.5">
      <c r="B40" s="3" t="s">
        <v>16</v>
      </c>
      <c r="C40">
        <v>0</v>
      </c>
      <c r="D40" s="9">
        <v>0</v>
      </c>
      <c r="F40" s="9"/>
      <c r="H40" s="3" t="s">
        <v>16</v>
      </c>
      <c r="I40" s="38">
        <v>0</v>
      </c>
      <c r="J40" s="9">
        <v>0</v>
      </c>
      <c r="K40" s="38"/>
      <c r="L40" s="9"/>
    </row>
    <row r="41" spans="2:12" ht="14.7" customHeight="1" thickBot="1" x14ac:dyDescent="0.55000000000000004">
      <c r="B41" s="16" t="s">
        <v>26</v>
      </c>
      <c r="C41" s="12">
        <v>7</v>
      </c>
      <c r="D41" s="13">
        <v>26000</v>
      </c>
      <c r="F41" s="9"/>
      <c r="H41" s="16" t="s">
        <v>26</v>
      </c>
      <c r="I41" s="12">
        <v>9</v>
      </c>
      <c r="J41" s="13">
        <v>28000</v>
      </c>
      <c r="K41" s="38"/>
      <c r="L41" s="9"/>
    </row>
    <row r="42" spans="2:12" ht="14.7" customHeight="1" thickBot="1" x14ac:dyDescent="0.55000000000000004">
      <c r="B42" s="8"/>
      <c r="F42" s="9"/>
      <c r="H42" s="8"/>
      <c r="I42" s="38"/>
      <c r="J42" s="38"/>
      <c r="K42" s="38"/>
      <c r="L42" s="9"/>
    </row>
    <row r="43" spans="2:12" ht="14.7" customHeight="1" thickBot="1" x14ac:dyDescent="0.55000000000000004">
      <c r="B43" s="29" t="s">
        <v>27</v>
      </c>
      <c r="C43" s="30"/>
      <c r="D43" s="31"/>
      <c r="F43" s="9"/>
      <c r="H43" s="29" t="s">
        <v>27</v>
      </c>
      <c r="I43" s="30"/>
      <c r="J43" s="31"/>
      <c r="K43" s="38"/>
      <c r="L43" s="9"/>
    </row>
    <row r="44" spans="2:12" ht="14.7" customHeight="1" thickBot="1" x14ac:dyDescent="0.55000000000000004">
      <c r="B44" s="24" t="s">
        <v>23</v>
      </c>
      <c r="C44" s="18" t="s">
        <v>24</v>
      </c>
      <c r="D44" s="19" t="s">
        <v>25</v>
      </c>
      <c r="F44" s="9"/>
      <c r="H44" s="17" t="s">
        <v>23</v>
      </c>
      <c r="I44" s="18" t="s">
        <v>24</v>
      </c>
      <c r="J44" s="19" t="s">
        <v>25</v>
      </c>
      <c r="K44" s="38"/>
      <c r="L44" s="9"/>
    </row>
    <row r="45" spans="2:12" ht="14.7" customHeight="1" thickBot="1" x14ac:dyDescent="0.55000000000000004">
      <c r="B45" s="24" t="s">
        <v>18</v>
      </c>
      <c r="C45" s="12">
        <v>1738</v>
      </c>
      <c r="D45" s="13">
        <v>30554.04</v>
      </c>
      <c r="F45" s="9"/>
      <c r="H45" s="24" t="s">
        <v>18</v>
      </c>
      <c r="I45" s="12">
        <v>1738</v>
      </c>
      <c r="J45" s="13">
        <v>30554.04</v>
      </c>
      <c r="K45" s="38"/>
      <c r="L45" s="9"/>
    </row>
    <row r="46" spans="2:12" ht="14.7" customHeight="1" thickBot="1" x14ac:dyDescent="0.55000000000000004">
      <c r="B46" s="8"/>
      <c r="F46" s="9"/>
      <c r="H46" s="8"/>
      <c r="I46" s="38"/>
      <c r="J46" s="38"/>
      <c r="K46" s="38"/>
      <c r="L46" s="9"/>
    </row>
    <row r="47" spans="2:12" ht="14.7" customHeight="1" thickBot="1" x14ac:dyDescent="0.55000000000000004">
      <c r="B47" s="29" t="s">
        <v>28</v>
      </c>
      <c r="C47" s="31"/>
      <c r="F47" s="9"/>
      <c r="H47" s="29" t="s">
        <v>28</v>
      </c>
      <c r="I47" s="31"/>
      <c r="J47" s="38"/>
      <c r="K47" s="38"/>
      <c r="L47" s="9"/>
    </row>
    <row r="48" spans="2:12" ht="14.7" customHeight="1" thickBot="1" x14ac:dyDescent="0.55000000000000004">
      <c r="B48" s="11" t="s">
        <v>29</v>
      </c>
      <c r="C48" s="13">
        <v>181310</v>
      </c>
      <c r="F48" s="9"/>
      <c r="H48" s="24" t="s">
        <v>29</v>
      </c>
      <c r="I48" s="13">
        <v>90330</v>
      </c>
      <c r="J48" s="38"/>
      <c r="K48" s="38"/>
      <c r="L48" s="9"/>
    </row>
    <row r="49" spans="2:12" ht="14.7" customHeight="1" thickBot="1" x14ac:dyDescent="0.55000000000000004">
      <c r="B49" s="8"/>
      <c r="F49" s="9"/>
      <c r="H49" s="8"/>
      <c r="I49" s="38"/>
      <c r="J49" s="38"/>
      <c r="K49" s="38"/>
      <c r="L49" s="9"/>
    </row>
    <row r="50" spans="2:12" ht="14.7" customHeight="1" thickBot="1" x14ac:dyDescent="0.55000000000000004">
      <c r="B50" s="29" t="s">
        <v>30</v>
      </c>
      <c r="C50" s="30"/>
      <c r="D50" s="31"/>
      <c r="F50" s="9"/>
      <c r="H50" s="35" t="s">
        <v>30</v>
      </c>
      <c r="I50" s="36"/>
      <c r="J50" s="37"/>
      <c r="K50" s="38"/>
      <c r="L50" s="9"/>
    </row>
    <row r="51" spans="2:12" ht="14.7" customHeight="1" thickBot="1" x14ac:dyDescent="0.55000000000000004">
      <c r="B51" s="11" t="s">
        <v>31</v>
      </c>
      <c r="C51" s="12" t="s">
        <v>32</v>
      </c>
      <c r="D51" s="13" t="s">
        <v>33</v>
      </c>
      <c r="F51" s="9"/>
      <c r="H51" s="24" t="s">
        <v>31</v>
      </c>
      <c r="I51" s="18" t="s">
        <v>61</v>
      </c>
      <c r="J51" s="21" t="s">
        <v>33</v>
      </c>
      <c r="K51" s="38"/>
      <c r="L51" s="9"/>
    </row>
    <row r="52" spans="2:12" ht="14.7" customHeight="1" x14ac:dyDescent="0.5">
      <c r="B52" s="23" t="s">
        <v>34</v>
      </c>
      <c r="C52" s="26">
        <v>32956269.4651745</v>
      </c>
      <c r="D52" s="27">
        <f>C52*25</f>
        <v>823906736.62936246</v>
      </c>
      <c r="F52" s="9"/>
      <c r="H52" s="3" t="s">
        <v>34</v>
      </c>
      <c r="I52" s="40">
        <v>42257209.916128799</v>
      </c>
      <c r="J52" s="27">
        <f>I52*25</f>
        <v>1056430247.9032199</v>
      </c>
      <c r="K52" s="38"/>
      <c r="L52" s="9"/>
    </row>
    <row r="53" spans="2:12" ht="14.7" customHeight="1" thickBot="1" x14ac:dyDescent="0.55000000000000004">
      <c r="B53" s="16" t="s">
        <v>35</v>
      </c>
      <c r="C53" s="25">
        <v>6642095.8654712802</v>
      </c>
      <c r="D53" s="28">
        <f>C53*25</f>
        <v>166052396.63678199</v>
      </c>
      <c r="F53" s="9"/>
      <c r="H53" s="16" t="s">
        <v>35</v>
      </c>
      <c r="I53" s="25">
        <v>2998063.63194635</v>
      </c>
      <c r="J53" s="28">
        <f>I53*25</f>
        <v>74951590.798658744</v>
      </c>
      <c r="K53" s="38"/>
      <c r="L53" s="9"/>
    </row>
    <row r="54" spans="2:12" ht="14.7" customHeight="1" thickBot="1" x14ac:dyDescent="0.55000000000000004">
      <c r="B54" s="8"/>
      <c r="F54" s="9"/>
      <c r="H54" s="8"/>
      <c r="I54" s="39"/>
      <c r="J54" s="10"/>
      <c r="K54" s="38"/>
      <c r="L54" s="9"/>
    </row>
    <row r="55" spans="2:12" ht="14.7" customHeight="1" thickBot="1" x14ac:dyDescent="0.55000000000000004">
      <c r="B55" s="29" t="s">
        <v>36</v>
      </c>
      <c r="C55" s="30"/>
      <c r="D55" s="31"/>
      <c r="F55" s="9"/>
      <c r="H55" s="35" t="s">
        <v>36</v>
      </c>
      <c r="I55" s="36"/>
      <c r="J55" s="37"/>
      <c r="K55" s="38"/>
      <c r="L55" s="9"/>
    </row>
    <row r="56" spans="2:12" ht="14.7" customHeight="1" thickBot="1" x14ac:dyDescent="0.55000000000000004">
      <c r="B56" s="11" t="s">
        <v>31</v>
      </c>
      <c r="C56" s="12" t="s">
        <v>32</v>
      </c>
      <c r="D56" s="13" t="s">
        <v>33</v>
      </c>
      <c r="F56" s="9"/>
      <c r="H56" s="24" t="s">
        <v>31</v>
      </c>
      <c r="I56" s="20">
        <v>11477266.8908004</v>
      </c>
      <c r="J56" s="21" t="s">
        <v>33</v>
      </c>
      <c r="K56" s="38"/>
      <c r="L56" s="9"/>
    </row>
    <row r="57" spans="2:12" ht="14.7" customHeight="1" thickBot="1" x14ac:dyDescent="0.55000000000000004">
      <c r="B57" s="23" t="s">
        <v>34</v>
      </c>
      <c r="C57">
        <v>8951085.5337511208</v>
      </c>
      <c r="D57" s="9">
        <f>C57*25</f>
        <v>223777138.34377801</v>
      </c>
      <c r="F57" s="9"/>
      <c r="H57" s="16" t="s">
        <v>34</v>
      </c>
      <c r="I57" s="14">
        <v>1406448.8280454229</v>
      </c>
      <c r="J57" s="15">
        <f>I57*25</f>
        <v>35161220.701135576</v>
      </c>
      <c r="K57" s="38"/>
      <c r="L57" s="9"/>
    </row>
    <row r="58" spans="2:12" ht="14.7" customHeight="1" thickBot="1" x14ac:dyDescent="0.55000000000000004">
      <c r="B58" s="16" t="s">
        <v>35</v>
      </c>
      <c r="C58" s="12">
        <v>3139458.18406583</v>
      </c>
      <c r="D58" s="13">
        <f>C58*25</f>
        <v>78486454.601645753</v>
      </c>
      <c r="F58" s="9"/>
      <c r="H58" s="8" t="s">
        <v>35</v>
      </c>
      <c r="I58" s="12">
        <v>2998063.63194635</v>
      </c>
      <c r="J58" s="38">
        <f>I58*25</f>
        <v>74951590.798658744</v>
      </c>
      <c r="K58" s="38"/>
      <c r="L58" s="9"/>
    </row>
    <row r="59" spans="2:12" ht="14.7" customHeight="1" thickBot="1" x14ac:dyDescent="0.55000000000000004">
      <c r="B59" s="8"/>
      <c r="F59" s="9"/>
      <c r="H59" s="8"/>
      <c r="I59" s="38"/>
      <c r="J59" s="38"/>
      <c r="K59" s="38"/>
      <c r="L59" s="9"/>
    </row>
    <row r="60" spans="2:12" ht="14.7" customHeight="1" thickBot="1" x14ac:dyDescent="0.55000000000000004">
      <c r="B60" s="29" t="s">
        <v>37</v>
      </c>
      <c r="C60" s="31"/>
      <c r="F60" s="9"/>
      <c r="H60" s="29" t="s">
        <v>38</v>
      </c>
      <c r="I60" s="31"/>
      <c r="J60" s="38"/>
      <c r="K60" s="38"/>
      <c r="L60" s="9"/>
    </row>
    <row r="61" spans="2:12" ht="14.7" customHeight="1" thickBot="1" x14ac:dyDescent="0.55000000000000004">
      <c r="B61" s="24" t="s">
        <v>39</v>
      </c>
      <c r="C61" s="13">
        <v>1833389.8960841501</v>
      </c>
      <c r="F61" s="9"/>
      <c r="H61" s="24" t="s">
        <v>39</v>
      </c>
      <c r="I61" s="13">
        <v>812965.34184508002</v>
      </c>
      <c r="J61" s="38"/>
      <c r="K61" s="38"/>
      <c r="L61" s="9"/>
    </row>
    <row r="62" spans="2:12" ht="14.7" customHeight="1" thickBot="1" x14ac:dyDescent="0.55000000000000004">
      <c r="B62" s="8"/>
      <c r="F62" s="9"/>
      <c r="H62" s="8"/>
      <c r="I62" s="38"/>
      <c r="J62" s="38"/>
      <c r="K62" s="38"/>
      <c r="L62" s="9"/>
    </row>
    <row r="63" spans="2:12" ht="14.7" customHeight="1" thickBot="1" x14ac:dyDescent="0.55000000000000004">
      <c r="B63" s="29" t="s">
        <v>40</v>
      </c>
      <c r="C63" s="31"/>
      <c r="F63" s="9"/>
      <c r="H63" s="29" t="s">
        <v>40</v>
      </c>
      <c r="I63" s="31"/>
      <c r="J63" s="38"/>
      <c r="K63" s="38"/>
      <c r="L63" s="9"/>
    </row>
    <row r="64" spans="2:12" ht="14.7" customHeight="1" thickBot="1" x14ac:dyDescent="0.55000000000000004">
      <c r="B64" s="29">
        <f>E23/B70</f>
        <v>0.65436114654173427</v>
      </c>
      <c r="C64" s="31"/>
      <c r="F64" s="9"/>
      <c r="H64" s="29">
        <f>K23/B70</f>
        <v>5.9595819559457273E-2</v>
      </c>
      <c r="I64" s="31"/>
      <c r="J64" s="38"/>
      <c r="K64" s="38"/>
      <c r="L64" s="9"/>
    </row>
    <row r="65" spans="2:12" x14ac:dyDescent="0.5">
      <c r="B65" s="8"/>
      <c r="F65" s="9"/>
      <c r="H65" s="8"/>
      <c r="I65" s="38"/>
      <c r="J65" s="38"/>
      <c r="K65" s="38"/>
      <c r="L65" s="9"/>
    </row>
    <row r="66" spans="2:12" ht="14.7" customHeight="1" thickBot="1" x14ac:dyDescent="0.55000000000000004">
      <c r="B66" s="11"/>
      <c r="C66" s="12"/>
      <c r="D66" s="12"/>
      <c r="E66" s="12"/>
      <c r="F66" s="13"/>
      <c r="G66" s="12"/>
      <c r="H66" s="11"/>
      <c r="I66" s="12"/>
      <c r="J66" s="12"/>
      <c r="K66" s="12"/>
      <c r="L66" s="13"/>
    </row>
    <row r="67" spans="2:12" ht="14.7" customHeight="1" thickBot="1" x14ac:dyDescent="0.55000000000000004">
      <c r="B67" s="11"/>
      <c r="C67" s="12"/>
      <c r="L67" s="9"/>
    </row>
    <row r="68" spans="2:12" ht="14.7" customHeight="1" thickBot="1" x14ac:dyDescent="0.55000000000000004">
      <c r="B68" s="32" t="s">
        <v>41</v>
      </c>
      <c r="C68" s="33"/>
      <c r="L68" s="9"/>
    </row>
    <row r="69" spans="2:12" ht="14.7" customHeight="1" thickBot="1" x14ac:dyDescent="0.55000000000000004">
      <c r="B69" s="17" t="s">
        <v>42</v>
      </c>
      <c r="C69" s="19" t="s">
        <v>43</v>
      </c>
      <c r="L69" s="9"/>
    </row>
    <row r="70" spans="2:12" ht="14.7" customHeight="1" thickBot="1" x14ac:dyDescent="0.55000000000000004">
      <c r="B70" s="11">
        <f>C108</f>
        <v>68174533.964569747</v>
      </c>
      <c r="C70" s="13">
        <f>D108</f>
        <v>1704363349.1142437</v>
      </c>
      <c r="D70" s="12"/>
      <c r="E70" s="12"/>
      <c r="F70" s="12"/>
      <c r="G70" s="12"/>
      <c r="H70" s="12"/>
      <c r="I70" s="12"/>
      <c r="J70" s="12"/>
      <c r="K70" s="12"/>
      <c r="L70" s="13"/>
    </row>
    <row r="71" spans="2:12" ht="14.7" customHeight="1" thickBot="1" x14ac:dyDescent="0.55000000000000004"/>
    <row r="72" spans="2:12" ht="14.7" customHeight="1" thickBot="1" x14ac:dyDescent="0.55000000000000004">
      <c r="B72" s="29" t="s">
        <v>44</v>
      </c>
      <c r="C72" s="30"/>
      <c r="D72" s="30"/>
      <c r="E72" s="30"/>
      <c r="F72" s="31"/>
    </row>
    <row r="73" spans="2:12" ht="14.7" customHeight="1" thickBot="1" x14ac:dyDescent="0.55000000000000004">
      <c r="B73" s="29" t="s">
        <v>45</v>
      </c>
      <c r="C73" s="30"/>
      <c r="D73" s="30"/>
      <c r="E73" s="30"/>
      <c r="F73" s="31"/>
    </row>
    <row r="74" spans="2:12" ht="14.7" customHeight="1" thickBot="1" x14ac:dyDescent="0.55000000000000004">
      <c r="B74" s="24" t="s">
        <v>46</v>
      </c>
      <c r="C74" s="18" t="s">
        <v>4</v>
      </c>
      <c r="D74" s="18" t="s">
        <v>5</v>
      </c>
      <c r="E74" s="18" t="s">
        <v>6</v>
      </c>
      <c r="F74" s="19" t="s">
        <v>7</v>
      </c>
    </row>
    <row r="75" spans="2:12" x14ac:dyDescent="0.5">
      <c r="B75" s="23" t="s">
        <v>9</v>
      </c>
      <c r="C75">
        <v>6385.7211569306883</v>
      </c>
      <c r="D75">
        <v>14900.00000000006</v>
      </c>
      <c r="E75">
        <f>C75+D75</f>
        <v>21285.721156930747</v>
      </c>
      <c r="F75" s="9">
        <f>E75*25</f>
        <v>532143.02892326866</v>
      </c>
    </row>
    <row r="76" spans="2:12" x14ac:dyDescent="0.5">
      <c r="B76" s="3" t="s">
        <v>10</v>
      </c>
      <c r="C76">
        <v>31928.605784653319</v>
      </c>
      <c r="D76">
        <v>74500</v>
      </c>
      <c r="E76">
        <f>C76+D76</f>
        <v>106428.60578465332</v>
      </c>
      <c r="F76" s="9">
        <f>E76*25</f>
        <v>2660715.1446163328</v>
      </c>
    </row>
    <row r="77" spans="2:12" x14ac:dyDescent="0.5">
      <c r="B77" s="3" t="s">
        <v>14</v>
      </c>
      <c r="C77">
        <v>212857.3718976888</v>
      </c>
      <c r="D77">
        <v>342000.00000000012</v>
      </c>
      <c r="E77">
        <f>C77+D77</f>
        <v>554857.37189768895</v>
      </c>
      <c r="F77" s="9">
        <f>E77*25</f>
        <v>13871434.297442224</v>
      </c>
    </row>
    <row r="78" spans="2:12" x14ac:dyDescent="0.5">
      <c r="B78" s="3" t="s">
        <v>47</v>
      </c>
      <c r="C78">
        <v>425714.74379537761</v>
      </c>
      <c r="D78">
        <v>684000</v>
      </c>
      <c r="E78">
        <f>C78+D78</f>
        <v>1109714.7437953777</v>
      </c>
      <c r="F78" s="9">
        <f>E78*25</f>
        <v>27742868.59488444</v>
      </c>
    </row>
    <row r="79" spans="2:12" ht="14.7" customHeight="1" thickBot="1" x14ac:dyDescent="0.55000000000000004">
      <c r="B79" s="16" t="s">
        <v>48</v>
      </c>
      <c r="C79" s="12"/>
      <c r="D79" s="12"/>
      <c r="E79">
        <f>C79+D79</f>
        <v>0</v>
      </c>
      <c r="F79" s="9">
        <f>E79*25</f>
        <v>0</v>
      </c>
    </row>
    <row r="80" spans="2:12" ht="14.7" customHeight="1" thickBot="1" x14ac:dyDescent="0.55000000000000004">
      <c r="B80" s="17" t="s">
        <v>49</v>
      </c>
      <c r="C80" s="18" t="s">
        <v>4</v>
      </c>
      <c r="D80" s="18" t="s">
        <v>5</v>
      </c>
      <c r="E80" s="18" t="s">
        <v>6</v>
      </c>
      <c r="F80" s="19" t="s">
        <v>7</v>
      </c>
    </row>
    <row r="81" spans="2:6" x14ac:dyDescent="0.5">
      <c r="B81" s="23" t="s">
        <v>18</v>
      </c>
      <c r="C81">
        <v>392277.634996459</v>
      </c>
      <c r="D81">
        <v>488864.64</v>
      </c>
      <c r="E81">
        <f>C81+D81</f>
        <v>881142.27499645902</v>
      </c>
      <c r="F81" s="9">
        <f>E81*25</f>
        <v>22028556.874911476</v>
      </c>
    </row>
    <row r="82" spans="2:6" ht="14.7" customHeight="1" thickBot="1" x14ac:dyDescent="0.55000000000000004">
      <c r="B82" s="16" t="s">
        <v>50</v>
      </c>
      <c r="C82" s="12"/>
      <c r="D82" s="12"/>
      <c r="E82">
        <f>C82+D82</f>
        <v>0</v>
      </c>
      <c r="F82" s="9">
        <f>E82*25</f>
        <v>0</v>
      </c>
    </row>
    <row r="83" spans="2:6" ht="14.7" customHeight="1" thickBot="1" x14ac:dyDescent="0.55000000000000004">
      <c r="B83" s="17"/>
      <c r="C83" s="18" t="s">
        <v>4</v>
      </c>
      <c r="D83" s="18" t="s">
        <v>5</v>
      </c>
      <c r="E83" s="18" t="s">
        <v>6</v>
      </c>
      <c r="F83" s="19" t="s">
        <v>7</v>
      </c>
    </row>
    <row r="84" spans="2:6" ht="14.7" customHeight="1" thickBot="1" x14ac:dyDescent="0.55000000000000004">
      <c r="B84" s="24" t="s">
        <v>22</v>
      </c>
      <c r="C84" s="12">
        <v>1069164.0776311089</v>
      </c>
      <c r="D84" s="12">
        <v>56136051.152200423</v>
      </c>
      <c r="E84" s="12">
        <v>57205215.229831517</v>
      </c>
      <c r="F84" s="13">
        <f>E84*25</f>
        <v>1430130380.7457879</v>
      </c>
    </row>
    <row r="85" spans="2:6" ht="14.7" customHeight="1" thickBot="1" x14ac:dyDescent="0.55000000000000004">
      <c r="B85" s="8"/>
      <c r="F85" s="9"/>
    </row>
    <row r="86" spans="2:6" ht="14.7" customHeight="1" thickBot="1" x14ac:dyDescent="0.55000000000000004">
      <c r="B86" s="29" t="s">
        <v>46</v>
      </c>
      <c r="C86" s="30"/>
      <c r="D86" s="31"/>
      <c r="F86" s="9"/>
    </row>
    <row r="87" spans="2:6" ht="14.7" customHeight="1" thickBot="1" x14ac:dyDescent="0.55000000000000004">
      <c r="B87" s="24" t="s">
        <v>23</v>
      </c>
      <c r="C87" s="18" t="s">
        <v>24</v>
      </c>
      <c r="D87" s="19" t="s">
        <v>25</v>
      </c>
      <c r="F87" s="9"/>
    </row>
    <row r="88" spans="2:6" x14ac:dyDescent="0.5">
      <c r="B88" s="23" t="s">
        <v>9</v>
      </c>
      <c r="C88">
        <v>1.000000000000004</v>
      </c>
      <c r="D88" s="9">
        <v>100.0000000000004</v>
      </c>
      <c r="F88" s="9"/>
    </row>
    <row r="89" spans="2:6" x14ac:dyDescent="0.5">
      <c r="B89" s="3" t="s">
        <v>10</v>
      </c>
      <c r="C89">
        <v>1</v>
      </c>
      <c r="D89" s="9">
        <v>500</v>
      </c>
      <c r="F89" s="9"/>
    </row>
    <row r="90" spans="2:6" x14ac:dyDescent="0.5">
      <c r="B90" s="3" t="s">
        <v>14</v>
      </c>
      <c r="C90">
        <v>3.0000000000000009</v>
      </c>
      <c r="D90" s="9">
        <v>3000.0000000000009</v>
      </c>
      <c r="F90" s="9"/>
    </row>
    <row r="91" spans="2:6" x14ac:dyDescent="0.5">
      <c r="B91" s="3" t="s">
        <v>47</v>
      </c>
      <c r="C91">
        <v>3</v>
      </c>
      <c r="D91" s="9">
        <v>6000</v>
      </c>
      <c r="F91" s="9"/>
    </row>
    <row r="92" spans="2:6" ht="14.7" customHeight="1" thickBot="1" x14ac:dyDescent="0.55000000000000004">
      <c r="B92" s="16" t="s">
        <v>26</v>
      </c>
      <c r="C92" s="12">
        <v>8.0000000000000036</v>
      </c>
      <c r="D92" s="13">
        <v>9600.0000000000018</v>
      </c>
      <c r="F92" s="9"/>
    </row>
    <row r="93" spans="2:6" ht="14.7" customHeight="1" thickBot="1" x14ac:dyDescent="0.55000000000000004">
      <c r="B93" s="8"/>
      <c r="F93" s="9"/>
    </row>
    <row r="94" spans="2:6" ht="14.7" customHeight="1" thickBot="1" x14ac:dyDescent="0.55000000000000004">
      <c r="B94" s="29" t="s">
        <v>51</v>
      </c>
      <c r="C94" s="30"/>
      <c r="D94" s="31"/>
      <c r="F94" s="9"/>
    </row>
    <row r="95" spans="2:6" ht="14.7" customHeight="1" thickBot="1" x14ac:dyDescent="0.55000000000000004">
      <c r="B95" s="17" t="s">
        <v>23</v>
      </c>
      <c r="C95" s="18" t="s">
        <v>24</v>
      </c>
      <c r="D95" s="19" t="s">
        <v>25</v>
      </c>
      <c r="F95" s="9"/>
    </row>
    <row r="96" spans="2:6" ht="14.7" customHeight="1" thickBot="1" x14ac:dyDescent="0.55000000000000004">
      <c r="B96" s="24" t="s">
        <v>18</v>
      </c>
      <c r="C96" s="12">
        <v>1738</v>
      </c>
      <c r="D96" s="13">
        <v>30554.04</v>
      </c>
      <c r="F96" s="9"/>
    </row>
    <row r="97" spans="2:6" ht="14.7" customHeight="1" thickBot="1" x14ac:dyDescent="0.55000000000000004">
      <c r="B97" s="8"/>
      <c r="F97" s="9"/>
    </row>
    <row r="98" spans="2:6" ht="14.7" customHeight="1" thickBot="1" x14ac:dyDescent="0.55000000000000004">
      <c r="B98" s="29" t="s">
        <v>52</v>
      </c>
      <c r="C98" s="30"/>
      <c r="D98" s="31"/>
      <c r="F98" s="9"/>
    </row>
    <row r="99" spans="2:6" ht="14.7" customHeight="1" thickBot="1" x14ac:dyDescent="0.55000000000000004">
      <c r="B99" s="17" t="s">
        <v>53</v>
      </c>
      <c r="C99" s="18" t="s">
        <v>54</v>
      </c>
      <c r="D99" s="19" t="s">
        <v>55</v>
      </c>
      <c r="F99" s="9"/>
    </row>
    <row r="100" spans="2:6" x14ac:dyDescent="0.5">
      <c r="B100" s="23" t="s">
        <v>56</v>
      </c>
      <c r="C100">
        <v>15563157.89473683</v>
      </c>
      <c r="D100" s="9">
        <f>C100*25</f>
        <v>389078947.36842078</v>
      </c>
      <c r="F100" s="9"/>
    </row>
    <row r="101" spans="2:6" x14ac:dyDescent="0.5">
      <c r="B101" s="3" t="s">
        <v>57</v>
      </c>
      <c r="C101">
        <v>10572373.62321209</v>
      </c>
      <c r="D101" s="9">
        <f>C101*25</f>
        <v>264309340.58030224</v>
      </c>
      <c r="F101" s="9"/>
    </row>
    <row r="102" spans="2:6" ht="14.7" customHeight="1" thickBot="1" x14ac:dyDescent="0.55000000000000004">
      <c r="B102" s="16" t="s">
        <v>26</v>
      </c>
      <c r="C102" s="12">
        <f>C100+C101</f>
        <v>26135531.517948918</v>
      </c>
      <c r="D102" s="13">
        <f>C102*25</f>
        <v>653388287.94872296</v>
      </c>
      <c r="F102" s="9"/>
    </row>
    <row r="103" spans="2:6" ht="14.7" customHeight="1" thickBot="1" x14ac:dyDescent="0.55000000000000004">
      <c r="B103" s="8"/>
      <c r="F103" s="9"/>
    </row>
    <row r="104" spans="2:6" ht="14.7" customHeight="1" thickBot="1" x14ac:dyDescent="0.55000000000000004">
      <c r="B104" s="29" t="s">
        <v>58</v>
      </c>
      <c r="C104" s="30"/>
      <c r="D104" s="31"/>
      <c r="F104" s="9"/>
    </row>
    <row r="105" spans="2:6" ht="14.7" customHeight="1" thickBot="1" x14ac:dyDescent="0.55000000000000004">
      <c r="B105" s="17" t="s">
        <v>53</v>
      </c>
      <c r="C105" s="18" t="s">
        <v>59</v>
      </c>
      <c r="D105" s="22" t="s">
        <v>60</v>
      </c>
      <c r="F105" s="9"/>
    </row>
    <row r="106" spans="2:6" x14ac:dyDescent="0.5">
      <c r="B106" s="23" t="s">
        <v>56</v>
      </c>
      <c r="C106">
        <f>2.6085*C100</f>
        <v>40596497.368421018</v>
      </c>
      <c r="D106" s="9">
        <f>C106*25</f>
        <v>1014912434.2105255</v>
      </c>
      <c r="F106" s="9"/>
    </row>
    <row r="107" spans="2:6" x14ac:dyDescent="0.5">
      <c r="B107" s="3" t="s">
        <v>57</v>
      </c>
      <c r="C107">
        <f>2.6085*C101</f>
        <v>27578036.596148733</v>
      </c>
      <c r="D107" s="9">
        <f>C107*25</f>
        <v>689450914.90371835</v>
      </c>
      <c r="F107" s="9"/>
    </row>
    <row r="108" spans="2:6" ht="14.7" customHeight="1" thickBot="1" x14ac:dyDescent="0.55000000000000004">
      <c r="B108" s="16" t="s">
        <v>26</v>
      </c>
      <c r="C108" s="12">
        <f>2.6085*C102</f>
        <v>68174533.964569747</v>
      </c>
      <c r="D108" s="13">
        <f>C108*25</f>
        <v>1704363349.1142437</v>
      </c>
      <c r="E108" s="12"/>
      <c r="F108" s="13"/>
    </row>
  </sheetData>
  <mergeCells count="30">
    <mergeCell ref="H64:I64"/>
    <mergeCell ref="H50:J50"/>
    <mergeCell ref="H55:J55"/>
    <mergeCell ref="B86:D86"/>
    <mergeCell ref="B104:D104"/>
    <mergeCell ref="B73:F73"/>
    <mergeCell ref="B36:D36"/>
    <mergeCell ref="B94:D94"/>
    <mergeCell ref="B50:D50"/>
    <mergeCell ref="B68:C68"/>
    <mergeCell ref="B64:C64"/>
    <mergeCell ref="B47:C47"/>
    <mergeCell ref="B98:D98"/>
    <mergeCell ref="B72:F72"/>
    <mergeCell ref="H33:I33"/>
    <mergeCell ref="B5:L5"/>
    <mergeCell ref="B63:C63"/>
    <mergeCell ref="B43:D43"/>
    <mergeCell ref="H25:J25"/>
    <mergeCell ref="H6:L6"/>
    <mergeCell ref="H60:I60"/>
    <mergeCell ref="B60:C60"/>
    <mergeCell ref="B55:D55"/>
    <mergeCell ref="H47:I47"/>
    <mergeCell ref="B25:D25"/>
    <mergeCell ref="H43:J43"/>
    <mergeCell ref="B6:F6"/>
    <mergeCell ref="B33:C33"/>
    <mergeCell ref="H36:J36"/>
    <mergeCell ref="H63:I6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B4:N108"/>
  <sheetViews>
    <sheetView tabSelected="1" topLeftCell="A15" zoomScale="70" zoomScaleNormal="70" workbookViewId="0">
      <selection activeCell="M29" sqref="M29"/>
    </sheetView>
  </sheetViews>
  <sheetFormatPr defaultColWidth="39.234375" defaultRowHeight="14.35" x14ac:dyDescent="0.5"/>
  <cols>
    <col min="1" max="1" width="13.52734375" customWidth="1"/>
    <col min="2" max="2" width="15.234375" bestFit="1" customWidth="1"/>
    <col min="3" max="3" width="17.64453125" bestFit="1" customWidth="1"/>
    <col min="4" max="4" width="18.64453125" bestFit="1" customWidth="1"/>
    <col min="5" max="5" width="13.5859375" bestFit="1" customWidth="1"/>
    <col min="6" max="6" width="14.5859375" bestFit="1" customWidth="1"/>
    <col min="7" max="7" width="12.46875" customWidth="1"/>
    <col min="8" max="8" width="15.234375" bestFit="1" customWidth="1"/>
    <col min="9" max="9" width="15.703125" bestFit="1" customWidth="1"/>
    <col min="10" max="10" width="18" bestFit="1" customWidth="1"/>
    <col min="11" max="11" width="12.46875" bestFit="1" customWidth="1"/>
    <col min="12" max="12" width="14.5859375" bestFit="1" customWidth="1"/>
    <col min="13" max="13" width="14.41015625" bestFit="1" customWidth="1"/>
    <col min="14" max="14" width="13.41015625" bestFit="1" customWidth="1"/>
    <col min="15" max="15" width="11.76171875" bestFit="1" customWidth="1"/>
  </cols>
  <sheetData>
    <row r="4" spans="2:14" ht="14.7" customHeight="1" thickBot="1" x14ac:dyDescent="0.55000000000000004"/>
    <row r="5" spans="2:14" ht="14.7" customHeight="1" thickBot="1" x14ac:dyDescent="0.55000000000000004">
      <c r="B5" s="29" t="s">
        <v>0</v>
      </c>
      <c r="C5" s="30"/>
      <c r="D5" s="30"/>
      <c r="E5" s="30"/>
      <c r="F5" s="30"/>
      <c r="G5" s="30"/>
      <c r="H5" s="30"/>
      <c r="I5" s="30"/>
      <c r="J5" s="30"/>
      <c r="K5" s="30"/>
      <c r="L5" s="31"/>
    </row>
    <row r="6" spans="2:14" ht="14.7" customHeight="1" thickBot="1" x14ac:dyDescent="0.55000000000000004">
      <c r="B6" s="29" t="s">
        <v>1</v>
      </c>
      <c r="C6" s="30"/>
      <c r="D6" s="30"/>
      <c r="E6" s="30"/>
      <c r="F6" s="31"/>
      <c r="H6" s="29" t="s">
        <v>2</v>
      </c>
      <c r="I6" s="30"/>
      <c r="J6" s="30"/>
      <c r="K6" s="30"/>
      <c r="L6" s="31"/>
    </row>
    <row r="7" spans="2:14" ht="14.7" customHeight="1" thickBot="1" x14ac:dyDescent="0.55000000000000004">
      <c r="B7" s="24" t="s">
        <v>3</v>
      </c>
      <c r="C7" s="18" t="s">
        <v>4</v>
      </c>
      <c r="D7" s="18" t="s">
        <v>5</v>
      </c>
      <c r="E7" s="18" t="s">
        <v>6</v>
      </c>
      <c r="F7" s="19" t="s">
        <v>7</v>
      </c>
      <c r="H7" s="24" t="s">
        <v>3</v>
      </c>
      <c r="I7" s="18" t="s">
        <v>4</v>
      </c>
      <c r="J7" s="18" t="s">
        <v>5</v>
      </c>
      <c r="K7" s="18" t="s">
        <v>6</v>
      </c>
      <c r="L7" s="19" t="s">
        <v>7</v>
      </c>
    </row>
    <row r="8" spans="2:14" x14ac:dyDescent="0.5">
      <c r="B8" s="3" t="s">
        <v>8</v>
      </c>
      <c r="C8" s="6">
        <f>13698 * D27*((0.05*((1.05)^25))/((1.05^25)-1))</f>
        <v>0</v>
      </c>
      <c r="D8" s="6">
        <f>29*D27</f>
        <v>0</v>
      </c>
      <c r="E8" s="6">
        <f>C8+D8</f>
        <v>0</v>
      </c>
      <c r="F8" s="10">
        <f>E8*25</f>
        <v>0</v>
      </c>
      <c r="H8" s="3" t="s">
        <v>9</v>
      </c>
      <c r="I8" s="39">
        <f>1615 * J27*((0.05*((1.05)^25))/((1.05^25)-1))</f>
        <v>22917.643707651168</v>
      </c>
      <c r="J8" s="39">
        <f>29*J27</f>
        <v>5800</v>
      </c>
      <c r="K8" s="39">
        <f>I8+J8</f>
        <v>28717.643707651168</v>
      </c>
      <c r="L8" s="10">
        <f>K8*25</f>
        <v>717941.09269127925</v>
      </c>
    </row>
    <row r="9" spans="2:14" x14ac:dyDescent="0.5">
      <c r="B9" s="3" t="s">
        <v>10</v>
      </c>
      <c r="C9" s="6">
        <f>13698 * D28*((0.05*((1.05)^25))/((1.05^25)-1))</f>
        <v>11176927.740975745</v>
      </c>
      <c r="D9" s="6">
        <f>29*D28</f>
        <v>333500</v>
      </c>
      <c r="E9" s="6">
        <f>C9+D9</f>
        <v>11510427.740975745</v>
      </c>
      <c r="F9" s="10">
        <f>E9*25</f>
        <v>287760693.52439362</v>
      </c>
      <c r="H9" s="3" t="s">
        <v>10</v>
      </c>
      <c r="I9" s="39">
        <f>1615 * J28*((0.05*((1.05)^25))/((1.05^25)-1))</f>
        <v>1317764.5131899421</v>
      </c>
      <c r="J9" s="39">
        <f>29*J28</f>
        <v>333500</v>
      </c>
      <c r="K9" s="39">
        <f>I9+J9</f>
        <v>1651264.5131899421</v>
      </c>
      <c r="L9" s="10">
        <f>K9*25</f>
        <v>41281612.829748556</v>
      </c>
      <c r="M9" s="7"/>
      <c r="N9" s="6"/>
    </row>
    <row r="10" spans="2:14" x14ac:dyDescent="0.5">
      <c r="B10" s="3" t="s">
        <v>11</v>
      </c>
      <c r="C10" s="6">
        <f>13698 * D29*((0.05*((1.05)^25))/((1.05^25)-1))</f>
        <v>0</v>
      </c>
      <c r="D10" s="6">
        <f>29*D29</f>
        <v>0</v>
      </c>
      <c r="E10" s="6">
        <f>C10+D10</f>
        <v>0</v>
      </c>
      <c r="F10" s="10">
        <f>E10*25</f>
        <v>0</v>
      </c>
      <c r="H10" s="3" t="s">
        <v>11</v>
      </c>
      <c r="I10" s="39">
        <f>1615 * J29*((0.05*((1.05)^25))/((1.05^25)-1))</f>
        <v>0</v>
      </c>
      <c r="J10" s="39">
        <f>29*J29</f>
        <v>0</v>
      </c>
      <c r="K10" s="39">
        <f>I10+J10</f>
        <v>0</v>
      </c>
      <c r="L10" s="10">
        <f>K10*25</f>
        <v>0</v>
      </c>
      <c r="M10" s="7"/>
    </row>
    <row r="11" spans="2:14" ht="14.7" customHeight="1" thickBot="1" x14ac:dyDescent="0.55000000000000004">
      <c r="B11" s="16" t="s">
        <v>12</v>
      </c>
      <c r="C11" s="14">
        <f>13698 * D30*((0.05*((1.05)^25))/((1.05^25)-1))</f>
        <v>0</v>
      </c>
      <c r="D11" s="14">
        <f>29*D30</f>
        <v>0</v>
      </c>
      <c r="E11" s="14">
        <f>C11+D11</f>
        <v>0</v>
      </c>
      <c r="F11" s="15">
        <f>E11*25</f>
        <v>0</v>
      </c>
      <c r="H11" s="16" t="s">
        <v>12</v>
      </c>
      <c r="I11" s="14">
        <f>1615 * J30*((0.05*((1.05)^25))/((1.05^25)-1))</f>
        <v>0</v>
      </c>
      <c r="J11" s="14">
        <f>29*J30</f>
        <v>0</v>
      </c>
      <c r="K11" s="14">
        <f>I11+J11</f>
        <v>0</v>
      </c>
      <c r="L11" s="13">
        <f>K11*25</f>
        <v>0</v>
      </c>
    </row>
    <row r="12" spans="2:14" ht="14.7" customHeight="1" thickBot="1" x14ac:dyDescent="0.55000000000000004">
      <c r="B12" s="24" t="s">
        <v>13</v>
      </c>
      <c r="C12" s="18" t="s">
        <v>4</v>
      </c>
      <c r="D12" s="18" t="s">
        <v>5</v>
      </c>
      <c r="E12" s="18" t="s">
        <v>6</v>
      </c>
      <c r="F12" s="19" t="s">
        <v>7</v>
      </c>
      <c r="H12" s="24" t="s">
        <v>13</v>
      </c>
      <c r="I12" s="18" t="s">
        <v>4</v>
      </c>
      <c r="J12" s="18" t="s">
        <v>5</v>
      </c>
      <c r="K12" s="18" t="s">
        <v>6</v>
      </c>
      <c r="L12" s="19" t="s">
        <v>7</v>
      </c>
    </row>
    <row r="13" spans="2:14" x14ac:dyDescent="0.5">
      <c r="B13" s="3" t="s">
        <v>14</v>
      </c>
      <c r="C13" s="4">
        <f>2490 * D38*((0.05*((1.05)^10))/((1.05^10)-1))</f>
        <v>3547130.3083038591</v>
      </c>
      <c r="D13" s="1">
        <f>37.35*D38</f>
        <v>410850</v>
      </c>
      <c r="E13">
        <f>C13+D13</f>
        <v>3957980.3083038591</v>
      </c>
      <c r="F13" s="9">
        <f>E13*25</f>
        <v>98949507.707596481</v>
      </c>
      <c r="H13" s="3" t="s">
        <v>14</v>
      </c>
      <c r="I13" s="4">
        <f>2490 * J38*((0.05*((1.05)^10))/((1.05^10)-1))</f>
        <v>3547130.3083038591</v>
      </c>
      <c r="J13" s="1">
        <f>37.35*J38</f>
        <v>410850</v>
      </c>
      <c r="K13" s="39">
        <f>I13+J13</f>
        <v>3957980.3083038591</v>
      </c>
      <c r="L13" s="10">
        <f>K13*25</f>
        <v>98949507.707596481</v>
      </c>
    </row>
    <row r="14" spans="2:14" x14ac:dyDescent="0.5">
      <c r="B14" s="3" t="s">
        <v>15</v>
      </c>
      <c r="C14" s="4">
        <f>1570 * D39*((0.05*((1.05)^10))/((1.05^10)-1))</f>
        <v>0</v>
      </c>
      <c r="D14" s="1">
        <f>23.55*D39</f>
        <v>0</v>
      </c>
      <c r="E14">
        <f>C14+D14</f>
        <v>0</v>
      </c>
      <c r="F14" s="9">
        <f>E14*25</f>
        <v>0</v>
      </c>
      <c r="H14" s="3" t="s">
        <v>15</v>
      </c>
      <c r="I14" s="4">
        <f>1570 * J39*((0.05*((1.05)^10))/((1.05^10)-1))</f>
        <v>0</v>
      </c>
      <c r="J14" s="1">
        <f>23.55*J39</f>
        <v>0</v>
      </c>
      <c r="K14" s="38">
        <f>I14+J14</f>
        <v>0</v>
      </c>
      <c r="L14" s="10">
        <f>K14*25</f>
        <v>0</v>
      </c>
    </row>
    <row r="15" spans="2:14" ht="14.7" customHeight="1" thickBot="1" x14ac:dyDescent="0.55000000000000004">
      <c r="B15" s="16" t="s">
        <v>16</v>
      </c>
      <c r="C15" s="5">
        <f>1190 * D40*((0.05*((1.05)^10))/((1.05^10)-1))</f>
        <v>0</v>
      </c>
      <c r="D15" s="2">
        <f>17.85*D40</f>
        <v>0</v>
      </c>
      <c r="E15" s="12">
        <f>C15+D15</f>
        <v>0</v>
      </c>
      <c r="F15" s="13">
        <f>E15*25</f>
        <v>0</v>
      </c>
      <c r="H15" s="16" t="s">
        <v>16</v>
      </c>
      <c r="I15" s="5">
        <f>1190 * J40*((0.05*((1.05)^10))/((1.05^10)-1))</f>
        <v>0</v>
      </c>
      <c r="J15" s="2">
        <f>17.85*J40</f>
        <v>0</v>
      </c>
      <c r="K15" s="12">
        <f>I15+J15</f>
        <v>0</v>
      </c>
      <c r="L15" s="15">
        <f>K15*25</f>
        <v>0</v>
      </c>
    </row>
    <row r="16" spans="2:14" ht="14.7" customHeight="1" thickBot="1" x14ac:dyDescent="0.55000000000000004">
      <c r="B16" s="24" t="s">
        <v>17</v>
      </c>
      <c r="C16" s="18" t="s">
        <v>4</v>
      </c>
      <c r="D16" s="18" t="s">
        <v>5</v>
      </c>
      <c r="E16" s="18" t="s">
        <v>6</v>
      </c>
      <c r="F16" s="19" t="s">
        <v>7</v>
      </c>
      <c r="H16" s="24" t="s">
        <v>17</v>
      </c>
      <c r="I16" s="18" t="s">
        <v>4</v>
      </c>
      <c r="J16" s="18" t="s">
        <v>5</v>
      </c>
      <c r="K16" s="18" t="s">
        <v>6</v>
      </c>
      <c r="L16" s="19" t="s">
        <v>7</v>
      </c>
    </row>
    <row r="17" spans="2:14" ht="14.7" customHeight="1" thickBot="1" x14ac:dyDescent="0.55000000000000004">
      <c r="B17" s="16" t="s">
        <v>18</v>
      </c>
      <c r="C17" s="12">
        <v>175599.53971648161</v>
      </c>
      <c r="D17" s="12">
        <v>218835.84</v>
      </c>
      <c r="E17" s="12">
        <f>D17+C17</f>
        <v>394435.37971648161</v>
      </c>
      <c r="F17" s="13">
        <f>E17*25</f>
        <v>9860884.492912041</v>
      </c>
      <c r="H17" s="16" t="s">
        <v>18</v>
      </c>
      <c r="I17" s="12">
        <v>175599.53971648161</v>
      </c>
      <c r="J17" s="12">
        <v>218835.84</v>
      </c>
      <c r="K17" s="12">
        <f>J17+I17</f>
        <v>394435.37971648161</v>
      </c>
      <c r="L17" s="15">
        <f>K17*25</f>
        <v>9860884.492912041</v>
      </c>
    </row>
    <row r="18" spans="2:14" ht="14.7" customHeight="1" thickBot="1" x14ac:dyDescent="0.55000000000000004">
      <c r="B18" s="24" t="s">
        <v>19</v>
      </c>
      <c r="C18" s="18" t="s">
        <v>4</v>
      </c>
      <c r="D18" s="18" t="s">
        <v>5</v>
      </c>
      <c r="E18" s="18" t="s">
        <v>6</v>
      </c>
      <c r="F18" s="19" t="s">
        <v>7</v>
      </c>
      <c r="H18" s="24" t="s">
        <v>20</v>
      </c>
      <c r="I18" s="18" t="s">
        <v>4</v>
      </c>
      <c r="J18" s="18" t="s">
        <v>5</v>
      </c>
      <c r="K18" s="18" t="s">
        <v>6</v>
      </c>
      <c r="L18" s="19" t="s">
        <v>7</v>
      </c>
    </row>
    <row r="19" spans="2:14" ht="14.7" customHeight="1" thickBot="1" x14ac:dyDescent="0.55000000000000004">
      <c r="B19" s="11"/>
      <c r="C19" s="12">
        <f>C48*300*((0.05*((1.05)^20))/((1.05^20)-1))</f>
        <v>966281.23495030485</v>
      </c>
      <c r="D19" s="12">
        <v>0</v>
      </c>
      <c r="E19" s="12">
        <f>D19+C19</f>
        <v>966281.23495030485</v>
      </c>
      <c r="F19" s="13">
        <f>E19*25</f>
        <v>24157030.873757619</v>
      </c>
      <c r="H19" s="11"/>
      <c r="I19" s="14">
        <f>(I48/10)*3000*((0.05*((1.05)^20))/((1.05^20)-1))</f>
        <v>836528.97146295698</v>
      </c>
      <c r="J19" s="12">
        <v>0</v>
      </c>
      <c r="K19" s="12">
        <f>J19+I19</f>
        <v>836528.97146295698</v>
      </c>
      <c r="L19" s="15">
        <f>K19*25</f>
        <v>20913224.286573924</v>
      </c>
    </row>
    <row r="20" spans="2:14" ht="14.7" customHeight="1" thickBot="1" x14ac:dyDescent="0.55000000000000004">
      <c r="B20" s="24" t="s">
        <v>21</v>
      </c>
      <c r="C20" s="18" t="s">
        <v>4</v>
      </c>
      <c r="D20" s="18" t="s">
        <v>5</v>
      </c>
      <c r="E20" s="18" t="s">
        <v>6</v>
      </c>
      <c r="F20" s="19" t="s">
        <v>7</v>
      </c>
      <c r="H20" s="24" t="s">
        <v>21</v>
      </c>
      <c r="I20" s="18" t="s">
        <v>4</v>
      </c>
      <c r="J20" s="18" t="s">
        <v>5</v>
      </c>
      <c r="K20" s="18" t="s">
        <v>6</v>
      </c>
      <c r="L20" s="19" t="s">
        <v>7</v>
      </c>
    </row>
    <row r="21" spans="2:14" ht="14.7" customHeight="1" thickBot="1" x14ac:dyDescent="0.55000000000000004">
      <c r="B21" s="11"/>
      <c r="C21" s="12">
        <v>0</v>
      </c>
      <c r="D21" s="12">
        <v>0</v>
      </c>
      <c r="E21" s="12">
        <f>C21+D21</f>
        <v>0</v>
      </c>
      <c r="F21" s="13">
        <f>E21*25</f>
        <v>0</v>
      </c>
      <c r="H21" s="11"/>
      <c r="I21" s="12">
        <v>271.70140022768072</v>
      </c>
      <c r="J21" s="12">
        <v>38</v>
      </c>
      <c r="K21" s="12">
        <f>J21+I21</f>
        <v>309.70140022768072</v>
      </c>
      <c r="L21" s="13">
        <f>K21*25</f>
        <v>7742.5350056920179</v>
      </c>
    </row>
    <row r="22" spans="2:14" ht="14.7" customHeight="1" thickBot="1" x14ac:dyDescent="0.55000000000000004">
      <c r="B22" s="17"/>
      <c r="C22" s="18" t="s">
        <v>4</v>
      </c>
      <c r="D22" s="18" t="s">
        <v>5</v>
      </c>
      <c r="E22" s="18" t="s">
        <v>6</v>
      </c>
      <c r="F22" s="19" t="s">
        <v>7</v>
      </c>
      <c r="H22" s="17"/>
      <c r="I22" s="18" t="s">
        <v>4</v>
      </c>
      <c r="J22" s="18" t="s">
        <v>5</v>
      </c>
      <c r="K22" s="18" t="s">
        <v>6</v>
      </c>
      <c r="L22" s="19" t="s">
        <v>7</v>
      </c>
    </row>
    <row r="23" spans="2:14" ht="14.7" customHeight="1" thickBot="1" x14ac:dyDescent="0.55000000000000004">
      <c r="B23" s="24" t="s">
        <v>22</v>
      </c>
      <c r="C23" s="12">
        <v>15896029.794142891</v>
      </c>
      <c r="D23" s="12">
        <v>963185.84</v>
      </c>
      <c r="E23" s="25">
        <v>16859215.634142891</v>
      </c>
      <c r="F23" s="13">
        <f>D23*25</f>
        <v>24079646</v>
      </c>
      <c r="H23" s="24" t="s">
        <v>22</v>
      </c>
      <c r="I23" s="14">
        <v>5900212.6777811153</v>
      </c>
      <c r="J23" s="14">
        <v>969023.84</v>
      </c>
      <c r="K23" s="14">
        <v>4062917.2247025901</v>
      </c>
      <c r="L23" s="15">
        <f>K23*25</f>
        <v>101572930.61756475</v>
      </c>
      <c r="M23" s="6"/>
    </row>
    <row r="24" spans="2:14" ht="14.7" customHeight="1" thickBot="1" x14ac:dyDescent="0.55000000000000004">
      <c r="B24" s="8"/>
      <c r="F24" s="9"/>
      <c r="H24" s="8"/>
      <c r="I24" s="39"/>
      <c r="J24" s="39"/>
      <c r="K24" s="39"/>
      <c r="L24" s="10"/>
      <c r="M24" s="6"/>
      <c r="N24" s="7"/>
    </row>
    <row r="25" spans="2:14" ht="14.7" customHeight="1" thickBot="1" x14ac:dyDescent="0.55000000000000004">
      <c r="B25" s="29" t="s">
        <v>3</v>
      </c>
      <c r="C25" s="30"/>
      <c r="D25" s="31"/>
      <c r="F25" s="9"/>
      <c r="H25" s="29" t="s">
        <v>3</v>
      </c>
      <c r="I25" s="30"/>
      <c r="J25" s="31"/>
      <c r="K25" s="38"/>
      <c r="L25" s="10"/>
      <c r="M25" s="6"/>
    </row>
    <row r="26" spans="2:14" ht="14.7" customHeight="1" thickBot="1" x14ac:dyDescent="0.55000000000000004">
      <c r="B26" s="17" t="s">
        <v>23</v>
      </c>
      <c r="C26" s="18" t="s">
        <v>24</v>
      </c>
      <c r="D26" s="19" t="s">
        <v>25</v>
      </c>
      <c r="F26" s="9"/>
      <c r="H26" s="17" t="s">
        <v>23</v>
      </c>
      <c r="I26" s="18" t="s">
        <v>24</v>
      </c>
      <c r="J26" s="19" t="s">
        <v>25</v>
      </c>
      <c r="K26" s="38"/>
      <c r="L26" s="10"/>
      <c r="M26" s="6"/>
    </row>
    <row r="27" spans="2:14" x14ac:dyDescent="0.5">
      <c r="B27" s="23" t="s">
        <v>9</v>
      </c>
      <c r="C27">
        <v>0</v>
      </c>
      <c r="D27" s="9">
        <v>0</v>
      </c>
      <c r="F27" s="9"/>
      <c r="H27" s="8" t="s">
        <v>9</v>
      </c>
      <c r="I27" s="38">
        <v>2</v>
      </c>
      <c r="J27" s="9">
        <v>200</v>
      </c>
      <c r="K27" s="38"/>
      <c r="L27" s="9"/>
    </row>
    <row r="28" spans="2:14" x14ac:dyDescent="0.5">
      <c r="B28" s="3" t="s">
        <v>10</v>
      </c>
      <c r="C28">
        <v>23</v>
      </c>
      <c r="D28" s="9">
        <v>11500</v>
      </c>
      <c r="F28" s="9"/>
      <c r="H28" s="8" t="s">
        <v>10</v>
      </c>
      <c r="I28" s="38">
        <v>23</v>
      </c>
      <c r="J28" s="9">
        <v>11500</v>
      </c>
      <c r="K28" s="38"/>
      <c r="L28" s="9"/>
    </row>
    <row r="29" spans="2:14" x14ac:dyDescent="0.5">
      <c r="B29" s="3" t="s">
        <v>11</v>
      </c>
      <c r="C29">
        <v>0</v>
      </c>
      <c r="D29" s="9">
        <v>0</v>
      </c>
      <c r="F29" s="9"/>
      <c r="H29" s="8" t="s">
        <v>11</v>
      </c>
      <c r="I29" s="38">
        <v>0</v>
      </c>
      <c r="J29" s="9">
        <v>0</v>
      </c>
      <c r="K29" s="38"/>
      <c r="L29" s="9"/>
    </row>
    <row r="30" spans="2:14" x14ac:dyDescent="0.5">
      <c r="B30" s="3" t="s">
        <v>12</v>
      </c>
      <c r="C30">
        <v>0</v>
      </c>
      <c r="D30" s="9">
        <v>0</v>
      </c>
      <c r="F30" s="9"/>
      <c r="H30" s="8" t="s">
        <v>12</v>
      </c>
      <c r="I30" s="38">
        <v>0</v>
      </c>
      <c r="J30" s="9">
        <v>0</v>
      </c>
      <c r="K30" s="38"/>
      <c r="L30" s="9"/>
    </row>
    <row r="31" spans="2:14" ht="14.7" customHeight="1" thickBot="1" x14ac:dyDescent="0.55000000000000004">
      <c r="B31" s="16" t="s">
        <v>26</v>
      </c>
      <c r="C31" s="12">
        <v>23</v>
      </c>
      <c r="D31" s="13">
        <v>11500</v>
      </c>
      <c r="F31" s="9"/>
      <c r="H31" s="11" t="s">
        <v>26</v>
      </c>
      <c r="I31" s="12">
        <v>25</v>
      </c>
      <c r="J31" s="13">
        <v>11700</v>
      </c>
      <c r="K31" s="38"/>
      <c r="L31" s="9"/>
    </row>
    <row r="32" spans="2:14" ht="14.7" customHeight="1" thickBot="1" x14ac:dyDescent="0.55000000000000004">
      <c r="B32" s="8"/>
      <c r="F32" s="9"/>
      <c r="H32" s="8"/>
      <c r="I32" s="38"/>
      <c r="J32" s="38"/>
      <c r="K32" s="38"/>
      <c r="L32" s="9"/>
    </row>
    <row r="33" spans="2:12" ht="14.7" customHeight="1" thickBot="1" x14ac:dyDescent="0.55000000000000004">
      <c r="B33" s="29" t="s">
        <v>21</v>
      </c>
      <c r="C33" s="31"/>
      <c r="F33" s="9"/>
      <c r="H33" s="29" t="s">
        <v>21</v>
      </c>
      <c r="I33" s="31"/>
      <c r="J33" s="38"/>
      <c r="K33" s="38"/>
      <c r="L33" s="9"/>
    </row>
    <row r="34" spans="2:12" ht="14.7" customHeight="1" thickBot="1" x14ac:dyDescent="0.55000000000000004">
      <c r="B34" s="24" t="s">
        <v>25</v>
      </c>
      <c r="C34" s="13">
        <v>0</v>
      </c>
      <c r="F34" s="9"/>
      <c r="H34" s="24" t="s">
        <v>25</v>
      </c>
      <c r="I34" s="13">
        <v>2</v>
      </c>
      <c r="J34" s="38"/>
      <c r="K34" s="38"/>
      <c r="L34" s="9"/>
    </row>
    <row r="35" spans="2:12" ht="14.7" customHeight="1" thickBot="1" x14ac:dyDescent="0.55000000000000004">
      <c r="B35" s="8"/>
      <c r="F35" s="9"/>
      <c r="H35" s="8"/>
      <c r="I35" s="38"/>
      <c r="J35" s="38"/>
      <c r="K35" s="38"/>
      <c r="L35" s="9"/>
    </row>
    <row r="36" spans="2:12" ht="14.7" customHeight="1" thickBot="1" x14ac:dyDescent="0.55000000000000004">
      <c r="B36" s="29" t="s">
        <v>13</v>
      </c>
      <c r="C36" s="30"/>
      <c r="D36" s="31"/>
      <c r="F36" s="9"/>
      <c r="H36" s="29" t="s">
        <v>13</v>
      </c>
      <c r="I36" s="30"/>
      <c r="J36" s="31"/>
      <c r="K36" s="38"/>
      <c r="L36" s="9"/>
    </row>
    <row r="37" spans="2:12" ht="14.7" customHeight="1" thickBot="1" x14ac:dyDescent="0.55000000000000004">
      <c r="B37" s="24" t="s">
        <v>23</v>
      </c>
      <c r="C37" s="18" t="s">
        <v>24</v>
      </c>
      <c r="D37" s="19" t="s">
        <v>25</v>
      </c>
      <c r="F37" s="9"/>
      <c r="H37" s="17" t="s">
        <v>23</v>
      </c>
      <c r="I37" s="18" t="s">
        <v>24</v>
      </c>
      <c r="J37" s="19" t="s">
        <v>25</v>
      </c>
      <c r="K37" s="38"/>
      <c r="L37" s="9"/>
    </row>
    <row r="38" spans="2:12" x14ac:dyDescent="0.5">
      <c r="B38" s="23" t="s">
        <v>14</v>
      </c>
      <c r="C38">
        <v>11</v>
      </c>
      <c r="D38" s="9">
        <v>11000</v>
      </c>
      <c r="F38" s="9"/>
      <c r="H38" s="23" t="s">
        <v>14</v>
      </c>
      <c r="I38" s="38">
        <v>11</v>
      </c>
      <c r="J38" s="9">
        <v>11000</v>
      </c>
      <c r="K38" s="38"/>
      <c r="L38" s="9"/>
    </row>
    <row r="39" spans="2:12" x14ac:dyDescent="0.5">
      <c r="B39" s="3" t="s">
        <v>15</v>
      </c>
      <c r="C39">
        <v>0</v>
      </c>
      <c r="D39" s="9">
        <v>0</v>
      </c>
      <c r="F39" s="9"/>
      <c r="H39" s="3" t="s">
        <v>15</v>
      </c>
      <c r="I39" s="38">
        <v>0</v>
      </c>
      <c r="J39" s="9">
        <v>0</v>
      </c>
      <c r="K39" s="38"/>
      <c r="L39" s="9"/>
    </row>
    <row r="40" spans="2:12" x14ac:dyDescent="0.5">
      <c r="B40" s="3" t="s">
        <v>16</v>
      </c>
      <c r="C40">
        <v>0</v>
      </c>
      <c r="D40" s="9">
        <v>0</v>
      </c>
      <c r="F40" s="9"/>
      <c r="H40" s="3" t="s">
        <v>16</v>
      </c>
      <c r="I40" s="38">
        <v>0</v>
      </c>
      <c r="J40" s="9">
        <v>0</v>
      </c>
      <c r="K40" s="38"/>
      <c r="L40" s="9"/>
    </row>
    <row r="41" spans="2:12" ht="14.7" customHeight="1" thickBot="1" x14ac:dyDescent="0.55000000000000004">
      <c r="B41" s="16" t="s">
        <v>26</v>
      </c>
      <c r="C41" s="12">
        <v>11</v>
      </c>
      <c r="D41" s="13">
        <v>11000</v>
      </c>
      <c r="F41" s="9"/>
      <c r="H41" s="16" t="s">
        <v>26</v>
      </c>
      <c r="I41" s="12">
        <v>11</v>
      </c>
      <c r="J41" s="13">
        <v>11000</v>
      </c>
      <c r="K41" s="38"/>
      <c r="L41" s="9"/>
    </row>
    <row r="42" spans="2:12" ht="14.7" customHeight="1" thickBot="1" x14ac:dyDescent="0.55000000000000004">
      <c r="B42" s="8"/>
      <c r="F42" s="9"/>
      <c r="H42" s="8"/>
      <c r="I42" s="38"/>
      <c r="J42" s="38"/>
      <c r="K42" s="38"/>
      <c r="L42" s="9"/>
    </row>
    <row r="43" spans="2:12" ht="14.7" customHeight="1" thickBot="1" x14ac:dyDescent="0.55000000000000004">
      <c r="B43" s="29" t="s">
        <v>27</v>
      </c>
      <c r="C43" s="30"/>
      <c r="D43" s="31"/>
      <c r="F43" s="9"/>
      <c r="H43" s="29" t="s">
        <v>27</v>
      </c>
      <c r="I43" s="30"/>
      <c r="J43" s="31"/>
      <c r="K43" s="38"/>
      <c r="L43" s="9"/>
    </row>
    <row r="44" spans="2:12" ht="14.7" customHeight="1" thickBot="1" x14ac:dyDescent="0.55000000000000004">
      <c r="B44" s="24" t="s">
        <v>23</v>
      </c>
      <c r="C44" s="18" t="s">
        <v>24</v>
      </c>
      <c r="D44" s="19" t="s">
        <v>25</v>
      </c>
      <c r="F44" s="9"/>
      <c r="H44" s="17" t="s">
        <v>23</v>
      </c>
      <c r="I44" s="18" t="s">
        <v>24</v>
      </c>
      <c r="J44" s="19" t="s">
        <v>25</v>
      </c>
      <c r="K44" s="38"/>
      <c r="L44" s="9"/>
    </row>
    <row r="45" spans="2:12" ht="14.7" customHeight="1" thickBot="1" x14ac:dyDescent="0.55000000000000004">
      <c r="B45" s="24" t="s">
        <v>18</v>
      </c>
      <c r="C45" s="12">
        <v>778</v>
      </c>
      <c r="D45" s="13">
        <v>13677.24</v>
      </c>
      <c r="F45" s="9"/>
      <c r="H45" s="24" t="s">
        <v>18</v>
      </c>
      <c r="I45" s="12">
        <v>778</v>
      </c>
      <c r="J45" s="13">
        <v>13677.24</v>
      </c>
      <c r="K45" s="38"/>
      <c r="L45" s="9"/>
    </row>
    <row r="46" spans="2:12" ht="14.7" customHeight="1" thickBot="1" x14ac:dyDescent="0.55000000000000004">
      <c r="B46" s="8"/>
      <c r="F46" s="9"/>
      <c r="H46" s="8"/>
      <c r="I46" s="38"/>
      <c r="J46" s="38"/>
      <c r="K46" s="38"/>
      <c r="L46" s="9"/>
    </row>
    <row r="47" spans="2:12" ht="14.7" customHeight="1" thickBot="1" x14ac:dyDescent="0.55000000000000004">
      <c r="B47" s="29" t="s">
        <v>28</v>
      </c>
      <c r="C47" s="31"/>
      <c r="F47" s="9"/>
      <c r="H47" s="29" t="s">
        <v>28</v>
      </c>
      <c r="I47" s="31"/>
      <c r="J47" s="38"/>
      <c r="K47" s="38"/>
      <c r="L47" s="9"/>
    </row>
    <row r="48" spans="2:12" ht="14.7" customHeight="1" thickBot="1" x14ac:dyDescent="0.55000000000000004">
      <c r="B48" s="11" t="s">
        <v>29</v>
      </c>
      <c r="C48" s="13">
        <v>40140</v>
      </c>
      <c r="F48" s="9"/>
      <c r="H48" s="24" t="s">
        <v>29</v>
      </c>
      <c r="I48" s="13">
        <v>34750</v>
      </c>
      <c r="J48" s="38"/>
      <c r="K48" s="38"/>
      <c r="L48" s="9"/>
    </row>
    <row r="49" spans="2:12" ht="14.7" customHeight="1" thickBot="1" x14ac:dyDescent="0.55000000000000004">
      <c r="B49" s="8"/>
      <c r="F49" s="9"/>
      <c r="H49" s="8"/>
      <c r="I49" s="38"/>
      <c r="J49" s="38"/>
      <c r="K49" s="38"/>
      <c r="L49" s="9"/>
    </row>
    <row r="50" spans="2:12" ht="14.7" customHeight="1" thickBot="1" x14ac:dyDescent="0.55000000000000004">
      <c r="B50" s="29" t="s">
        <v>30</v>
      </c>
      <c r="C50" s="30"/>
      <c r="D50" s="31"/>
      <c r="F50" s="9"/>
      <c r="H50" s="35" t="s">
        <v>30</v>
      </c>
      <c r="I50" s="36"/>
      <c r="J50" s="37"/>
      <c r="K50" s="38"/>
      <c r="L50" s="9"/>
    </row>
    <row r="51" spans="2:12" ht="14.7" customHeight="1" thickBot="1" x14ac:dyDescent="0.55000000000000004">
      <c r="B51" s="11" t="s">
        <v>31</v>
      </c>
      <c r="C51" s="12" t="s">
        <v>32</v>
      </c>
      <c r="D51" s="13" t="s">
        <v>33</v>
      </c>
      <c r="F51" s="9"/>
      <c r="H51" s="24" t="s">
        <v>31</v>
      </c>
      <c r="I51" s="18" t="s">
        <v>61</v>
      </c>
      <c r="J51" s="21" t="s">
        <v>33</v>
      </c>
      <c r="K51" s="38"/>
      <c r="L51" s="9"/>
    </row>
    <row r="52" spans="2:12" ht="14.7" customHeight="1" x14ac:dyDescent="0.5">
      <c r="B52" s="23" t="s">
        <v>34</v>
      </c>
      <c r="C52" s="26">
        <v>10430769.1950411</v>
      </c>
      <c r="D52" s="27">
        <f>C52*25</f>
        <v>260769229.87602749</v>
      </c>
      <c r="F52" s="9"/>
      <c r="H52" s="3" t="s">
        <v>34</v>
      </c>
      <c r="I52" s="40">
        <v>10701006.104540899</v>
      </c>
      <c r="J52" s="27">
        <f>I52*25</f>
        <v>267525152.61352247</v>
      </c>
      <c r="K52" s="38"/>
      <c r="L52" s="9"/>
    </row>
    <row r="53" spans="2:12" ht="14.7" customHeight="1" thickBot="1" x14ac:dyDescent="0.55000000000000004">
      <c r="B53" s="16" t="s">
        <v>35</v>
      </c>
      <c r="C53" s="25">
        <v>2074723.8867285999</v>
      </c>
      <c r="D53" s="28">
        <f>C53*25</f>
        <v>51868097.168214999</v>
      </c>
      <c r="F53" s="9"/>
      <c r="H53" s="16" t="s">
        <v>35</v>
      </c>
      <c r="I53" s="25">
        <v>1261324.4842368381</v>
      </c>
      <c r="J53" s="28">
        <f>I53*25</f>
        <v>31533112.105920952</v>
      </c>
      <c r="K53" s="38"/>
      <c r="L53" s="9"/>
    </row>
    <row r="54" spans="2:12" ht="14.7" customHeight="1" thickBot="1" x14ac:dyDescent="0.55000000000000004">
      <c r="B54" s="8"/>
      <c r="F54" s="9"/>
      <c r="H54" s="8"/>
      <c r="I54" s="39"/>
      <c r="J54" s="10"/>
      <c r="K54" s="38"/>
      <c r="L54" s="9"/>
    </row>
    <row r="55" spans="2:12" ht="14.7" customHeight="1" thickBot="1" x14ac:dyDescent="0.55000000000000004">
      <c r="B55" s="29" t="s">
        <v>36</v>
      </c>
      <c r="C55" s="30"/>
      <c r="D55" s="31"/>
      <c r="F55" s="9"/>
      <c r="H55" s="35" t="s">
        <v>36</v>
      </c>
      <c r="I55" s="36"/>
      <c r="J55" s="37"/>
      <c r="K55" s="38"/>
      <c r="L55" s="9"/>
    </row>
    <row r="56" spans="2:12" ht="14.7" customHeight="1" thickBot="1" x14ac:dyDescent="0.55000000000000004">
      <c r="B56" s="11" t="s">
        <v>31</v>
      </c>
      <c r="C56" s="12" t="s">
        <v>32</v>
      </c>
      <c r="D56" s="13" t="s">
        <v>33</v>
      </c>
      <c r="F56" s="9"/>
      <c r="H56" s="24" t="s">
        <v>31</v>
      </c>
      <c r="I56" s="20">
        <v>2906446.1024679099</v>
      </c>
      <c r="J56" s="21" t="s">
        <v>33</v>
      </c>
      <c r="K56" s="38"/>
      <c r="L56" s="9"/>
    </row>
    <row r="57" spans="2:12" ht="14.7" customHeight="1" thickBot="1" x14ac:dyDescent="0.55000000000000004">
      <c r="B57" s="23" t="s">
        <v>34</v>
      </c>
      <c r="C57">
        <v>2833048.4233445101</v>
      </c>
      <c r="D57" s="9">
        <f>C57*25</f>
        <v>70826210.583612755</v>
      </c>
      <c r="F57" s="9"/>
      <c r="H57" s="16" t="s">
        <v>34</v>
      </c>
      <c r="I57" s="14">
        <v>570387.19514940295</v>
      </c>
      <c r="J57" s="15">
        <f>I57*25</f>
        <v>14259679.878735073</v>
      </c>
      <c r="K57" s="38"/>
      <c r="L57" s="9"/>
    </row>
    <row r="58" spans="2:12" ht="14.7" customHeight="1" thickBot="1" x14ac:dyDescent="0.55000000000000004">
      <c r="B58" s="16" t="s">
        <v>35</v>
      </c>
      <c r="C58" s="12">
        <v>834802.29581075197</v>
      </c>
      <c r="D58" s="13">
        <f>C58*25</f>
        <v>20870057.395268798</v>
      </c>
      <c r="F58" s="9"/>
      <c r="H58" s="8" t="s">
        <v>35</v>
      </c>
      <c r="I58" s="12">
        <v>1261324.4842368381</v>
      </c>
      <c r="J58" s="38">
        <f>I58*25</f>
        <v>31533112.105920952</v>
      </c>
      <c r="K58" s="38"/>
      <c r="L58" s="9"/>
    </row>
    <row r="59" spans="2:12" ht="14.7" customHeight="1" thickBot="1" x14ac:dyDescent="0.55000000000000004">
      <c r="B59" s="8"/>
      <c r="F59" s="9"/>
      <c r="H59" s="8"/>
      <c r="I59" s="38"/>
      <c r="J59" s="38"/>
      <c r="K59" s="38"/>
      <c r="L59" s="9"/>
    </row>
    <row r="60" spans="2:12" ht="14.7" customHeight="1" thickBot="1" x14ac:dyDescent="0.55000000000000004">
      <c r="B60" s="29" t="s">
        <v>37</v>
      </c>
      <c r="C60" s="31"/>
      <c r="F60" s="9"/>
      <c r="H60" s="29" t="s">
        <v>38</v>
      </c>
      <c r="I60" s="31"/>
      <c r="J60" s="38"/>
      <c r="K60" s="38"/>
      <c r="L60" s="9"/>
    </row>
    <row r="61" spans="2:12" ht="14.7" customHeight="1" thickBot="1" x14ac:dyDescent="0.55000000000000004">
      <c r="B61" s="24" t="s">
        <v>39</v>
      </c>
      <c r="C61" s="13">
        <v>372458.65173968999</v>
      </c>
      <c r="F61" s="9"/>
      <c r="H61" s="24" t="s">
        <v>39</v>
      </c>
      <c r="I61" s="13">
        <v>312749.56193036097</v>
      </c>
      <c r="J61" s="38"/>
      <c r="K61" s="38"/>
      <c r="L61" s="9"/>
    </row>
    <row r="62" spans="2:12" ht="14.7" customHeight="1" thickBot="1" x14ac:dyDescent="0.55000000000000004">
      <c r="B62" s="8"/>
      <c r="F62" s="9"/>
      <c r="H62" s="8"/>
      <c r="I62" s="38"/>
      <c r="J62" s="38"/>
      <c r="K62" s="38"/>
      <c r="L62" s="9"/>
    </row>
    <row r="63" spans="2:12" ht="14.7" customHeight="1" thickBot="1" x14ac:dyDescent="0.55000000000000004">
      <c r="B63" s="29" t="s">
        <v>40</v>
      </c>
      <c r="C63" s="31"/>
      <c r="F63" s="9"/>
      <c r="H63" s="29" t="s">
        <v>40</v>
      </c>
      <c r="I63" s="31"/>
      <c r="J63" s="38"/>
      <c r="K63" s="38"/>
      <c r="L63" s="9"/>
    </row>
    <row r="64" spans="2:12" ht="14.7" customHeight="1" thickBot="1" x14ac:dyDescent="0.55000000000000004">
      <c r="B64" s="29">
        <f>E23/B70</f>
        <v>1.1207433920745327</v>
      </c>
      <c r="C64" s="31"/>
      <c r="F64" s="9"/>
      <c r="H64" s="29">
        <f>K23/B70</f>
        <v>0.27008893716915339</v>
      </c>
      <c r="I64" s="31"/>
      <c r="J64" s="38"/>
      <c r="K64" s="38"/>
      <c r="L64" s="9"/>
    </row>
    <row r="65" spans="2:12" x14ac:dyDescent="0.5">
      <c r="B65" s="8"/>
      <c r="F65" s="9"/>
      <c r="H65" s="8"/>
      <c r="I65" s="38"/>
      <c r="J65" s="38"/>
      <c r="K65" s="38"/>
      <c r="L65" s="9"/>
    </row>
    <row r="66" spans="2:12" ht="14.7" customHeight="1" thickBot="1" x14ac:dyDescent="0.55000000000000004">
      <c r="B66" s="11"/>
      <c r="C66" s="12"/>
      <c r="D66" s="12"/>
      <c r="E66" s="12"/>
      <c r="F66" s="13"/>
      <c r="G66" s="12"/>
      <c r="H66" s="11"/>
      <c r="I66" s="12"/>
      <c r="J66" s="12"/>
      <c r="K66" s="12"/>
      <c r="L66" s="13"/>
    </row>
    <row r="67" spans="2:12" ht="14.7" customHeight="1" thickBot="1" x14ac:dyDescent="0.55000000000000004">
      <c r="B67" s="11"/>
      <c r="C67" s="12"/>
      <c r="L67" s="9"/>
    </row>
    <row r="68" spans="2:12" ht="14.7" customHeight="1" thickBot="1" x14ac:dyDescent="0.55000000000000004">
      <c r="B68" s="32" t="s">
        <v>41</v>
      </c>
      <c r="C68" s="33"/>
      <c r="L68" s="9"/>
    </row>
    <row r="69" spans="2:12" ht="14.7" customHeight="1" thickBot="1" x14ac:dyDescent="0.55000000000000004">
      <c r="B69" s="17" t="s">
        <v>42</v>
      </c>
      <c r="C69" s="19" t="s">
        <v>43</v>
      </c>
      <c r="L69" s="9"/>
    </row>
    <row r="70" spans="2:12" ht="14.7" customHeight="1" thickBot="1" x14ac:dyDescent="0.55000000000000004">
      <c r="B70" s="11">
        <f>C108</f>
        <v>15042886.492452059</v>
      </c>
      <c r="C70" s="13">
        <f>D108</f>
        <v>376072162.31130147</v>
      </c>
      <c r="D70" s="12"/>
      <c r="E70" s="12"/>
      <c r="F70" s="12"/>
      <c r="G70" s="12"/>
      <c r="H70" s="12"/>
      <c r="I70" s="12"/>
      <c r="J70" s="12"/>
      <c r="K70" s="12"/>
      <c r="L70" s="13"/>
    </row>
    <row r="71" spans="2:12" ht="14.7" customHeight="1" thickBot="1" x14ac:dyDescent="0.55000000000000004"/>
    <row r="72" spans="2:12" ht="14.7" customHeight="1" thickBot="1" x14ac:dyDescent="0.55000000000000004">
      <c r="B72" s="29" t="s">
        <v>44</v>
      </c>
      <c r="C72" s="30"/>
      <c r="D72" s="30"/>
      <c r="E72" s="30"/>
      <c r="F72" s="31"/>
    </row>
    <row r="73" spans="2:12" ht="14.7" customHeight="1" thickBot="1" x14ac:dyDescent="0.55000000000000004">
      <c r="B73" s="29" t="s">
        <v>45</v>
      </c>
      <c r="C73" s="30"/>
      <c r="D73" s="30"/>
      <c r="E73" s="30"/>
      <c r="F73" s="31"/>
    </row>
    <row r="74" spans="2:12" ht="14.7" customHeight="1" thickBot="1" x14ac:dyDescent="0.55000000000000004">
      <c r="B74" s="24" t="s">
        <v>46</v>
      </c>
      <c r="C74" s="18" t="s">
        <v>4</v>
      </c>
      <c r="D74" s="18" t="s">
        <v>5</v>
      </c>
      <c r="E74" s="18" t="s">
        <v>6</v>
      </c>
      <c r="F74" s="19" t="s">
        <v>7</v>
      </c>
    </row>
    <row r="75" spans="2:12" x14ac:dyDescent="0.5">
      <c r="B75" s="23" t="s">
        <v>9</v>
      </c>
      <c r="C75">
        <v>19157.163470791991</v>
      </c>
      <c r="D75">
        <v>44700</v>
      </c>
      <c r="E75">
        <f>C75+D75</f>
        <v>63857.163470791987</v>
      </c>
      <c r="F75" s="9">
        <f>E75*25</f>
        <v>1596429.0867697997</v>
      </c>
    </row>
    <row r="76" spans="2:12" x14ac:dyDescent="0.5">
      <c r="B76" s="3" t="s">
        <v>10</v>
      </c>
      <c r="C76">
        <v>31928.605784653319</v>
      </c>
      <c r="D76">
        <v>74500</v>
      </c>
      <c r="E76">
        <f>C76+D76</f>
        <v>106428.60578465332</v>
      </c>
      <c r="F76" s="9">
        <f>E76*25</f>
        <v>2660715.1446163328</v>
      </c>
    </row>
    <row r="77" spans="2:12" x14ac:dyDescent="0.5">
      <c r="B77" s="3" t="s">
        <v>14</v>
      </c>
      <c r="C77">
        <v>0</v>
      </c>
      <c r="D77">
        <v>0</v>
      </c>
      <c r="E77">
        <f>C77+D77</f>
        <v>0</v>
      </c>
      <c r="F77" s="9">
        <f>E77*25</f>
        <v>0</v>
      </c>
    </row>
    <row r="78" spans="2:12" x14ac:dyDescent="0.5">
      <c r="B78" s="3" t="s">
        <v>47</v>
      </c>
      <c r="C78">
        <v>0</v>
      </c>
      <c r="D78">
        <v>0</v>
      </c>
      <c r="E78">
        <f>C78+D78</f>
        <v>0</v>
      </c>
      <c r="F78" s="9">
        <f>E78*25</f>
        <v>0</v>
      </c>
    </row>
    <row r="79" spans="2:12" ht="14.7" customHeight="1" thickBot="1" x14ac:dyDescent="0.55000000000000004">
      <c r="B79" s="16" t="s">
        <v>48</v>
      </c>
      <c r="C79" s="12"/>
      <c r="D79" s="12"/>
      <c r="E79">
        <f>C79+D79</f>
        <v>0</v>
      </c>
      <c r="F79" s="9">
        <f>E79*25</f>
        <v>0</v>
      </c>
    </row>
    <row r="80" spans="2:12" ht="14.7" customHeight="1" thickBot="1" x14ac:dyDescent="0.55000000000000004">
      <c r="B80" s="17" t="s">
        <v>49</v>
      </c>
      <c r="C80" s="18" t="s">
        <v>4</v>
      </c>
      <c r="D80" s="18" t="s">
        <v>5</v>
      </c>
      <c r="E80" s="18" t="s">
        <v>6</v>
      </c>
      <c r="F80" s="19" t="s">
        <v>7</v>
      </c>
    </row>
    <row r="81" spans="2:6" x14ac:dyDescent="0.5">
      <c r="B81" s="23" t="s">
        <v>18</v>
      </c>
      <c r="C81">
        <v>175599.53971648161</v>
      </c>
      <c r="D81">
        <v>218835.84</v>
      </c>
      <c r="E81">
        <f>C81+D81</f>
        <v>394435.37971648161</v>
      </c>
      <c r="F81" s="9">
        <f>E81*25</f>
        <v>9860884.492912041</v>
      </c>
    </row>
    <row r="82" spans="2:6" ht="14.7" customHeight="1" thickBot="1" x14ac:dyDescent="0.55000000000000004">
      <c r="B82" s="16" t="s">
        <v>50</v>
      </c>
      <c r="C82" s="12"/>
      <c r="D82" s="12"/>
      <c r="E82">
        <f>C82+D82</f>
        <v>0</v>
      </c>
      <c r="F82" s="9">
        <f>E82*25</f>
        <v>0</v>
      </c>
    </row>
    <row r="83" spans="2:6" ht="14.7" customHeight="1" thickBot="1" x14ac:dyDescent="0.55000000000000004">
      <c r="B83" s="17"/>
      <c r="C83" s="18" t="s">
        <v>4</v>
      </c>
      <c r="D83" s="18" t="s">
        <v>5</v>
      </c>
      <c r="E83" s="18" t="s">
        <v>6</v>
      </c>
      <c r="F83" s="19" t="s">
        <v>7</v>
      </c>
    </row>
    <row r="84" spans="2:6" ht="14.7" customHeight="1" thickBot="1" x14ac:dyDescent="0.55000000000000004">
      <c r="B84" s="24" t="s">
        <v>22</v>
      </c>
      <c r="C84" s="12">
        <v>226685.30897192689</v>
      </c>
      <c r="D84" s="12">
        <v>12370614.972260389</v>
      </c>
      <c r="E84" s="12">
        <v>12597300.28123232</v>
      </c>
      <c r="F84" s="13">
        <f>E84*25</f>
        <v>314932507.03080797</v>
      </c>
    </row>
    <row r="85" spans="2:6" ht="14.7" customHeight="1" thickBot="1" x14ac:dyDescent="0.55000000000000004">
      <c r="B85" s="8"/>
      <c r="F85" s="9"/>
    </row>
    <row r="86" spans="2:6" ht="14.7" customHeight="1" thickBot="1" x14ac:dyDescent="0.55000000000000004">
      <c r="B86" s="29" t="s">
        <v>46</v>
      </c>
      <c r="C86" s="30"/>
      <c r="D86" s="31"/>
      <c r="F86" s="9"/>
    </row>
    <row r="87" spans="2:6" ht="14.7" customHeight="1" thickBot="1" x14ac:dyDescent="0.55000000000000004">
      <c r="B87" s="24" t="s">
        <v>23</v>
      </c>
      <c r="C87" s="18" t="s">
        <v>24</v>
      </c>
      <c r="D87" s="19" t="s">
        <v>25</v>
      </c>
      <c r="F87" s="9"/>
    </row>
    <row r="88" spans="2:6" x14ac:dyDescent="0.5">
      <c r="B88" s="23" t="s">
        <v>9</v>
      </c>
      <c r="C88">
        <v>3</v>
      </c>
      <c r="D88" s="9">
        <v>300</v>
      </c>
      <c r="F88" s="9"/>
    </row>
    <row r="89" spans="2:6" x14ac:dyDescent="0.5">
      <c r="B89" s="3" t="s">
        <v>10</v>
      </c>
      <c r="C89">
        <v>1</v>
      </c>
      <c r="D89" s="9">
        <v>500</v>
      </c>
      <c r="F89" s="9"/>
    </row>
    <row r="90" spans="2:6" x14ac:dyDescent="0.5">
      <c r="B90" s="3" t="s">
        <v>14</v>
      </c>
      <c r="C90">
        <v>0</v>
      </c>
      <c r="D90" s="9">
        <v>0</v>
      </c>
      <c r="F90" s="9"/>
    </row>
    <row r="91" spans="2:6" x14ac:dyDescent="0.5">
      <c r="B91" s="3" t="s">
        <v>47</v>
      </c>
      <c r="C91">
        <v>0</v>
      </c>
      <c r="D91" s="9">
        <v>0</v>
      </c>
      <c r="F91" s="9"/>
    </row>
    <row r="92" spans="2:6" ht="14.7" customHeight="1" thickBot="1" x14ac:dyDescent="0.55000000000000004">
      <c r="B92" s="16" t="s">
        <v>26</v>
      </c>
      <c r="C92" s="12">
        <v>4</v>
      </c>
      <c r="D92" s="13">
        <v>800</v>
      </c>
      <c r="F92" s="9"/>
    </row>
    <row r="93" spans="2:6" ht="14.7" customHeight="1" thickBot="1" x14ac:dyDescent="0.55000000000000004">
      <c r="B93" s="8"/>
      <c r="F93" s="9"/>
    </row>
    <row r="94" spans="2:6" ht="14.7" customHeight="1" thickBot="1" x14ac:dyDescent="0.55000000000000004">
      <c r="B94" s="29" t="s">
        <v>51</v>
      </c>
      <c r="C94" s="30"/>
      <c r="D94" s="31"/>
      <c r="F94" s="9"/>
    </row>
    <row r="95" spans="2:6" ht="14.7" customHeight="1" thickBot="1" x14ac:dyDescent="0.55000000000000004">
      <c r="B95" s="17" t="s">
        <v>23</v>
      </c>
      <c r="C95" s="18" t="s">
        <v>24</v>
      </c>
      <c r="D95" s="19" t="s">
        <v>25</v>
      </c>
      <c r="F95" s="9"/>
    </row>
    <row r="96" spans="2:6" ht="14.7" customHeight="1" thickBot="1" x14ac:dyDescent="0.55000000000000004">
      <c r="B96" s="24" t="s">
        <v>18</v>
      </c>
      <c r="C96" s="12">
        <v>778</v>
      </c>
      <c r="D96" s="13">
        <v>13677.24</v>
      </c>
      <c r="F96" s="9"/>
    </row>
    <row r="97" spans="2:6" ht="14.7" customHeight="1" thickBot="1" x14ac:dyDescent="0.55000000000000004">
      <c r="B97" s="8"/>
      <c r="F97" s="9"/>
    </row>
    <row r="98" spans="2:6" ht="14.7" customHeight="1" thickBot="1" x14ac:dyDescent="0.55000000000000004">
      <c r="B98" s="29" t="s">
        <v>52</v>
      </c>
      <c r="C98" s="30"/>
      <c r="D98" s="31"/>
      <c r="F98" s="9"/>
    </row>
    <row r="99" spans="2:6" ht="14.7" customHeight="1" thickBot="1" x14ac:dyDescent="0.55000000000000004">
      <c r="B99" s="17" t="s">
        <v>53</v>
      </c>
      <c r="C99" s="18" t="s">
        <v>54</v>
      </c>
      <c r="D99" s="19" t="s">
        <v>55</v>
      </c>
      <c r="F99" s="9"/>
    </row>
    <row r="100" spans="2:6" x14ac:dyDescent="0.5">
      <c r="B100" s="23" t="s">
        <v>56</v>
      </c>
      <c r="C100">
        <v>1230263.157894725</v>
      </c>
      <c r="D100" s="9">
        <f>C100*25</f>
        <v>30756578.947368123</v>
      </c>
      <c r="F100" s="9"/>
    </row>
    <row r="101" spans="2:6" x14ac:dyDescent="0.5">
      <c r="B101" s="3" t="s">
        <v>57</v>
      </c>
      <c r="C101">
        <v>4536609.1796372132</v>
      </c>
      <c r="D101" s="9">
        <f>C101*25</f>
        <v>113415229.49093033</v>
      </c>
      <c r="F101" s="9"/>
    </row>
    <row r="102" spans="2:6" ht="14.7" customHeight="1" thickBot="1" x14ac:dyDescent="0.55000000000000004">
      <c r="B102" s="16" t="s">
        <v>26</v>
      </c>
      <c r="C102" s="12">
        <f>C100+C101</f>
        <v>5766872.3375319382</v>
      </c>
      <c r="D102" s="13">
        <f>C102*25</f>
        <v>144171808.43829846</v>
      </c>
      <c r="F102" s="9"/>
    </row>
    <row r="103" spans="2:6" ht="14.7" customHeight="1" thickBot="1" x14ac:dyDescent="0.55000000000000004">
      <c r="B103" s="8"/>
      <c r="F103" s="9"/>
    </row>
    <row r="104" spans="2:6" ht="14.7" customHeight="1" thickBot="1" x14ac:dyDescent="0.55000000000000004">
      <c r="B104" s="29" t="s">
        <v>58</v>
      </c>
      <c r="C104" s="30"/>
      <c r="D104" s="31"/>
      <c r="F104" s="9"/>
    </row>
    <row r="105" spans="2:6" ht="14.7" customHeight="1" thickBot="1" x14ac:dyDescent="0.55000000000000004">
      <c r="B105" s="17" t="s">
        <v>53</v>
      </c>
      <c r="C105" s="18" t="s">
        <v>59</v>
      </c>
      <c r="D105" s="22" t="s">
        <v>60</v>
      </c>
      <c r="F105" s="9"/>
    </row>
    <row r="106" spans="2:6" x14ac:dyDescent="0.5">
      <c r="B106" s="23" t="s">
        <v>56</v>
      </c>
      <c r="C106">
        <f>2.6085*C100</f>
        <v>3209141.4473683899</v>
      </c>
      <c r="D106" s="9">
        <f>C106*25</f>
        <v>80228536.184209749</v>
      </c>
      <c r="F106" s="9"/>
    </row>
    <row r="107" spans="2:6" x14ac:dyDescent="0.5">
      <c r="B107" s="3" t="s">
        <v>57</v>
      </c>
      <c r="C107">
        <f>2.6085*C101</f>
        <v>11833745.04508367</v>
      </c>
      <c r="D107" s="9">
        <f>C107*25</f>
        <v>295843626.12709177</v>
      </c>
      <c r="F107" s="9"/>
    </row>
    <row r="108" spans="2:6" ht="14.7" customHeight="1" thickBot="1" x14ac:dyDescent="0.55000000000000004">
      <c r="B108" s="16" t="s">
        <v>26</v>
      </c>
      <c r="C108" s="12">
        <f>2.6085*C102</f>
        <v>15042886.492452059</v>
      </c>
      <c r="D108" s="13">
        <f>C108*25</f>
        <v>376072162.31130147</v>
      </c>
      <c r="E108" s="12"/>
      <c r="F108" s="13"/>
    </row>
  </sheetData>
  <mergeCells count="30">
    <mergeCell ref="H64:I64"/>
    <mergeCell ref="H50:J50"/>
    <mergeCell ref="H55:J55"/>
    <mergeCell ref="B86:D86"/>
    <mergeCell ref="B104:D104"/>
    <mergeCell ref="B73:F73"/>
    <mergeCell ref="B36:D36"/>
    <mergeCell ref="B94:D94"/>
    <mergeCell ref="B50:D50"/>
    <mergeCell ref="B68:C68"/>
    <mergeCell ref="B64:C64"/>
    <mergeCell ref="B47:C47"/>
    <mergeCell ref="B98:D98"/>
    <mergeCell ref="B72:F72"/>
    <mergeCell ref="H33:I33"/>
    <mergeCell ref="B5:L5"/>
    <mergeCell ref="B63:C63"/>
    <mergeCell ref="B43:D43"/>
    <mergeCell ref="H25:J25"/>
    <mergeCell ref="H6:L6"/>
    <mergeCell ref="H60:I60"/>
    <mergeCell ref="B60:C60"/>
    <mergeCell ref="B55:D55"/>
    <mergeCell ref="H47:I47"/>
    <mergeCell ref="B25:D25"/>
    <mergeCell ref="H43:J43"/>
    <mergeCell ref="B6:F6"/>
    <mergeCell ref="B33:C33"/>
    <mergeCell ref="H36:J36"/>
    <mergeCell ref="H63:I6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B4:N108"/>
  <sheetViews>
    <sheetView tabSelected="1" topLeftCell="A15" zoomScale="70" zoomScaleNormal="70" workbookViewId="0">
      <selection activeCell="M29" sqref="M29"/>
    </sheetView>
  </sheetViews>
  <sheetFormatPr defaultColWidth="39.234375" defaultRowHeight="14.35" x14ac:dyDescent="0.5"/>
  <cols>
    <col min="1" max="1" width="13.52734375" customWidth="1"/>
    <col min="2" max="2" width="15.234375" bestFit="1" customWidth="1"/>
    <col min="3" max="3" width="17.64453125" bestFit="1" customWidth="1"/>
    <col min="4" max="4" width="18.64453125" bestFit="1" customWidth="1"/>
    <col min="5" max="5" width="12.46875" bestFit="1" customWidth="1"/>
    <col min="6" max="6" width="14.5859375" bestFit="1" customWidth="1"/>
    <col min="7" max="7" width="12.46875" customWidth="1"/>
    <col min="8" max="8" width="15.234375" bestFit="1" customWidth="1"/>
    <col min="9" max="9" width="15.703125" bestFit="1" customWidth="1"/>
    <col min="10" max="10" width="18" bestFit="1" customWidth="1"/>
    <col min="11" max="11" width="12.46875" bestFit="1" customWidth="1"/>
    <col min="12" max="12" width="14.5859375" bestFit="1" customWidth="1"/>
    <col min="13" max="14" width="13.41015625" bestFit="1" customWidth="1"/>
    <col min="15" max="15" width="11.76171875" bestFit="1" customWidth="1"/>
  </cols>
  <sheetData>
    <row r="4" spans="2:14" ht="14.7" customHeight="1" thickBot="1" x14ac:dyDescent="0.55000000000000004"/>
    <row r="5" spans="2:14" ht="14.7" customHeight="1" thickBot="1" x14ac:dyDescent="0.55000000000000004">
      <c r="B5" s="29" t="s">
        <v>0</v>
      </c>
      <c r="C5" s="30"/>
      <c r="D5" s="30"/>
      <c r="E5" s="30"/>
      <c r="F5" s="30"/>
      <c r="G5" s="30"/>
      <c r="H5" s="30"/>
      <c r="I5" s="30"/>
      <c r="J5" s="30"/>
      <c r="K5" s="30"/>
      <c r="L5" s="31"/>
    </row>
    <row r="6" spans="2:14" ht="14.7" customHeight="1" thickBot="1" x14ac:dyDescent="0.55000000000000004">
      <c r="B6" s="29" t="s">
        <v>1</v>
      </c>
      <c r="C6" s="30"/>
      <c r="D6" s="30"/>
      <c r="E6" s="30"/>
      <c r="F6" s="31"/>
      <c r="H6" s="29" t="s">
        <v>2</v>
      </c>
      <c r="I6" s="30"/>
      <c r="J6" s="30"/>
      <c r="K6" s="30"/>
      <c r="L6" s="31"/>
    </row>
    <row r="7" spans="2:14" ht="14.7" customHeight="1" thickBot="1" x14ac:dyDescent="0.55000000000000004">
      <c r="B7" s="24" t="s">
        <v>3</v>
      </c>
      <c r="C7" s="18" t="s">
        <v>4</v>
      </c>
      <c r="D7" s="18" t="s">
        <v>5</v>
      </c>
      <c r="E7" s="18" t="s">
        <v>6</v>
      </c>
      <c r="F7" s="19" t="s">
        <v>7</v>
      </c>
      <c r="H7" s="24" t="s">
        <v>3</v>
      </c>
      <c r="I7" s="18" t="s">
        <v>4</v>
      </c>
      <c r="J7" s="18" t="s">
        <v>5</v>
      </c>
      <c r="K7" s="18" t="s">
        <v>6</v>
      </c>
      <c r="L7" s="19" t="s">
        <v>7</v>
      </c>
    </row>
    <row r="8" spans="2:14" x14ac:dyDescent="0.5">
      <c r="B8" s="3" t="s">
        <v>8</v>
      </c>
      <c r="C8" s="6">
        <f>13698 * D27*((0.05*((1.05)^25))/((1.05^25)-1))</f>
        <v>194381.35201696947</v>
      </c>
      <c r="D8" s="6">
        <f>29*D27</f>
        <v>5800</v>
      </c>
      <c r="E8" s="6">
        <f>C8+D8</f>
        <v>200181.35201696947</v>
      </c>
      <c r="F8" s="10">
        <f>E8*25</f>
        <v>5004533.8004242368</v>
      </c>
      <c r="H8" s="3" t="s">
        <v>9</v>
      </c>
      <c r="I8" s="39">
        <f>1615 * J27*((0.05*((1.05)^25))/((1.05^25)-1))</f>
        <v>126047.04039208143</v>
      </c>
      <c r="J8" s="39">
        <f>29*J27</f>
        <v>31900</v>
      </c>
      <c r="K8" s="39">
        <f>I8+J8</f>
        <v>157947.04039208143</v>
      </c>
      <c r="L8" s="10">
        <f>K8*25</f>
        <v>3948676.0098020355</v>
      </c>
    </row>
    <row r="9" spans="2:14" x14ac:dyDescent="0.5">
      <c r="B9" s="3" t="s">
        <v>10</v>
      </c>
      <c r="C9" s="6">
        <f>13698 * D28*((0.05*((1.05)^25))/((1.05^25)-1))</f>
        <v>5345487.1804666603</v>
      </c>
      <c r="D9" s="6">
        <f>29*D28</f>
        <v>159500</v>
      </c>
      <c r="E9" s="6">
        <f>C9+D9</f>
        <v>5504987.1804666603</v>
      </c>
      <c r="F9" s="10">
        <f>E9*25</f>
        <v>137624679.51166651</v>
      </c>
      <c r="H9" s="3" t="s">
        <v>10</v>
      </c>
      <c r="I9" s="39">
        <f>1615 * J28*((0.05*((1.05)^25))/((1.05^25)-1))</f>
        <v>630235.20196040708</v>
      </c>
      <c r="J9" s="39">
        <f>29*J28</f>
        <v>159500</v>
      </c>
      <c r="K9" s="39">
        <f>I9+J9</f>
        <v>789735.20196040708</v>
      </c>
      <c r="L9" s="10">
        <f>K9*25</f>
        <v>19743380.049010176</v>
      </c>
      <c r="M9" s="7"/>
      <c r="N9" s="6"/>
    </row>
    <row r="10" spans="2:14" x14ac:dyDescent="0.5">
      <c r="B10" s="3" t="s">
        <v>11</v>
      </c>
      <c r="C10" s="6">
        <f>13698 * D29*((0.05*((1.05)^25))/((1.05^25)-1))</f>
        <v>0</v>
      </c>
      <c r="D10" s="6">
        <f>29*D29</f>
        <v>0</v>
      </c>
      <c r="E10" s="6">
        <f>C10+D10</f>
        <v>0</v>
      </c>
      <c r="F10" s="10">
        <f>E10*25</f>
        <v>0</v>
      </c>
      <c r="H10" s="3" t="s">
        <v>11</v>
      </c>
      <c r="I10" s="39">
        <f>1615 * J29*((0.05*((1.05)^25))/((1.05^25)-1))</f>
        <v>0</v>
      </c>
      <c r="J10" s="39">
        <f>29*J29</f>
        <v>0</v>
      </c>
      <c r="K10" s="39">
        <f>I10+J10</f>
        <v>0</v>
      </c>
      <c r="L10" s="10">
        <f>K10*25</f>
        <v>0</v>
      </c>
      <c r="M10" s="7"/>
    </row>
    <row r="11" spans="2:14" ht="14.7" customHeight="1" thickBot="1" x14ac:dyDescent="0.55000000000000004">
      <c r="B11" s="16" t="s">
        <v>12</v>
      </c>
      <c r="C11" s="14">
        <f>13698 * D30*((0.05*((1.05)^25))/((1.05^25)-1))</f>
        <v>0</v>
      </c>
      <c r="D11" s="14">
        <f>29*D30</f>
        <v>0</v>
      </c>
      <c r="E11" s="14">
        <f>C11+D11</f>
        <v>0</v>
      </c>
      <c r="F11" s="15">
        <f>E11*25</f>
        <v>0</v>
      </c>
      <c r="H11" s="16" t="s">
        <v>12</v>
      </c>
      <c r="I11" s="14">
        <f>1615 * J30*((0.05*((1.05)^25))/((1.05^25)-1))</f>
        <v>0</v>
      </c>
      <c r="J11" s="14">
        <f>29*J30</f>
        <v>0</v>
      </c>
      <c r="K11" s="14">
        <f>I11+J11</f>
        <v>0</v>
      </c>
      <c r="L11" s="13">
        <f>K11*25</f>
        <v>0</v>
      </c>
    </row>
    <row r="12" spans="2:14" ht="14.7" customHeight="1" thickBot="1" x14ac:dyDescent="0.55000000000000004">
      <c r="B12" s="24" t="s">
        <v>13</v>
      </c>
      <c r="C12" s="18" t="s">
        <v>4</v>
      </c>
      <c r="D12" s="18" t="s">
        <v>5</v>
      </c>
      <c r="E12" s="18" t="s">
        <v>6</v>
      </c>
      <c r="F12" s="19" t="s">
        <v>7</v>
      </c>
      <c r="H12" s="24" t="s">
        <v>13</v>
      </c>
      <c r="I12" s="18" t="s">
        <v>4</v>
      </c>
      <c r="J12" s="18" t="s">
        <v>5</v>
      </c>
      <c r="K12" s="18" t="s">
        <v>6</v>
      </c>
      <c r="L12" s="19" t="s">
        <v>7</v>
      </c>
    </row>
    <row r="13" spans="2:14" x14ac:dyDescent="0.5">
      <c r="B13" s="3" t="s">
        <v>14</v>
      </c>
      <c r="C13" s="4">
        <f>2490 * D38*((0.05*((1.05)^10))/((1.05^10)-1))</f>
        <v>1612331.9583199359</v>
      </c>
      <c r="D13" s="1">
        <f>37.35*D38</f>
        <v>186750</v>
      </c>
      <c r="E13">
        <f>C13+D13</f>
        <v>1799081.9583199359</v>
      </c>
      <c r="F13" s="9">
        <f>E13*25</f>
        <v>44977048.957998395</v>
      </c>
      <c r="H13" s="3" t="s">
        <v>14</v>
      </c>
      <c r="I13" s="4">
        <f>2490 * J38*((0.05*((1.05)^10))/((1.05^10)-1))</f>
        <v>1934798.3499839231</v>
      </c>
      <c r="J13" s="1">
        <f>37.35*J38</f>
        <v>224100</v>
      </c>
      <c r="K13" s="39">
        <f>I13+J13</f>
        <v>2158898.3499839231</v>
      </c>
      <c r="L13" s="10">
        <f>K13*25</f>
        <v>53972458.749598078</v>
      </c>
    </row>
    <row r="14" spans="2:14" x14ac:dyDescent="0.5">
      <c r="B14" s="3" t="s">
        <v>15</v>
      </c>
      <c r="C14" s="4">
        <f>1570 * D39*((0.05*((1.05)^10))/((1.05^10)-1))</f>
        <v>0</v>
      </c>
      <c r="D14" s="1">
        <f>23.55*D39</f>
        <v>0</v>
      </c>
      <c r="E14">
        <f>C14+D14</f>
        <v>0</v>
      </c>
      <c r="F14" s="9">
        <f>E14*25</f>
        <v>0</v>
      </c>
      <c r="H14" s="3" t="s">
        <v>15</v>
      </c>
      <c r="I14" s="4">
        <f>1570 * J39*((0.05*((1.05)^10))/((1.05^10)-1))</f>
        <v>0</v>
      </c>
      <c r="J14" s="1">
        <f>23.55*J39</f>
        <v>0</v>
      </c>
      <c r="K14" s="38">
        <f>I14+J14</f>
        <v>0</v>
      </c>
      <c r="L14" s="10">
        <f>K14*25</f>
        <v>0</v>
      </c>
    </row>
    <row r="15" spans="2:14" ht="14.7" customHeight="1" thickBot="1" x14ac:dyDescent="0.55000000000000004">
      <c r="B15" s="16" t="s">
        <v>16</v>
      </c>
      <c r="C15" s="5">
        <f>1190 * D40*((0.05*((1.05)^10))/((1.05^10)-1))</f>
        <v>0</v>
      </c>
      <c r="D15" s="2">
        <f>17.85*D40</f>
        <v>0</v>
      </c>
      <c r="E15" s="12">
        <f>C15+D15</f>
        <v>0</v>
      </c>
      <c r="F15" s="13">
        <f>E15*25</f>
        <v>0</v>
      </c>
      <c r="H15" s="16" t="s">
        <v>16</v>
      </c>
      <c r="I15" s="5">
        <f>1190 * J40*((0.05*((1.05)^10))/((1.05^10)-1))</f>
        <v>0</v>
      </c>
      <c r="J15" s="2">
        <f>17.85*J40</f>
        <v>0</v>
      </c>
      <c r="K15" s="12">
        <f>I15+J15</f>
        <v>0</v>
      </c>
      <c r="L15" s="15">
        <f>K15*25</f>
        <v>0</v>
      </c>
    </row>
    <row r="16" spans="2:14" ht="14.7" customHeight="1" thickBot="1" x14ac:dyDescent="0.55000000000000004">
      <c r="B16" s="24" t="s">
        <v>17</v>
      </c>
      <c r="C16" s="18" t="s">
        <v>4</v>
      </c>
      <c r="D16" s="18" t="s">
        <v>5</v>
      </c>
      <c r="E16" s="18" t="s">
        <v>6</v>
      </c>
      <c r="F16" s="19" t="s">
        <v>7</v>
      </c>
      <c r="H16" s="24" t="s">
        <v>17</v>
      </c>
      <c r="I16" s="18" t="s">
        <v>4</v>
      </c>
      <c r="J16" s="18" t="s">
        <v>5</v>
      </c>
      <c r="K16" s="18" t="s">
        <v>6</v>
      </c>
      <c r="L16" s="19" t="s">
        <v>7</v>
      </c>
    </row>
    <row r="17" spans="2:14" ht="14.7" customHeight="1" thickBot="1" x14ac:dyDescent="0.55000000000000004">
      <c r="B17" s="16" t="s">
        <v>18</v>
      </c>
      <c r="C17" s="12">
        <v>72677.444458492406</v>
      </c>
      <c r="D17" s="12">
        <v>90572.159999999989</v>
      </c>
      <c r="E17" s="12">
        <f>D17+C17</f>
        <v>163249.60445849239</v>
      </c>
      <c r="F17" s="13">
        <f>E17*25</f>
        <v>4081240.11146231</v>
      </c>
      <c r="H17" s="16" t="s">
        <v>18</v>
      </c>
      <c r="I17" s="12">
        <v>72677.444458492406</v>
      </c>
      <c r="J17" s="12">
        <v>90572.159999999989</v>
      </c>
      <c r="K17" s="12">
        <f>J17+I17</f>
        <v>163249.60445849239</v>
      </c>
      <c r="L17" s="15">
        <f>K17*25</f>
        <v>4081240.11146231</v>
      </c>
    </row>
    <row r="18" spans="2:14" ht="14.7" customHeight="1" thickBot="1" x14ac:dyDescent="0.55000000000000004">
      <c r="B18" s="24" t="s">
        <v>19</v>
      </c>
      <c r="C18" s="18" t="s">
        <v>4</v>
      </c>
      <c r="D18" s="18" t="s">
        <v>5</v>
      </c>
      <c r="E18" s="18" t="s">
        <v>6</v>
      </c>
      <c r="F18" s="19" t="s">
        <v>7</v>
      </c>
      <c r="H18" s="24" t="s">
        <v>20</v>
      </c>
      <c r="I18" s="18" t="s">
        <v>4</v>
      </c>
      <c r="J18" s="18" t="s">
        <v>5</v>
      </c>
      <c r="K18" s="18" t="s">
        <v>6</v>
      </c>
      <c r="L18" s="19" t="s">
        <v>7</v>
      </c>
    </row>
    <row r="19" spans="2:14" ht="14.7" customHeight="1" thickBot="1" x14ac:dyDescent="0.55000000000000004">
      <c r="B19" s="11"/>
      <c r="C19" s="12">
        <f>C48*300*((0.05*((1.05)^20))/((1.05^20)-1))</f>
        <v>716887.27396163624</v>
      </c>
      <c r="D19" s="12">
        <v>0</v>
      </c>
      <c r="E19" s="12">
        <f>D19+C19</f>
        <v>716887.27396163624</v>
      </c>
      <c r="F19" s="13">
        <f>E19*25</f>
        <v>17922181.849040907</v>
      </c>
      <c r="H19" s="11"/>
      <c r="I19" s="14">
        <f>(I48/10)*3000*((0.05*((1.05)^20))/((1.05^20)-1))</f>
        <v>51756.4687379959</v>
      </c>
      <c r="J19" s="12">
        <v>0</v>
      </c>
      <c r="K19" s="12">
        <f>J19+I19</f>
        <v>51756.4687379959</v>
      </c>
      <c r="L19" s="15">
        <f>K19*25</f>
        <v>1293911.7184498976</v>
      </c>
    </row>
    <row r="20" spans="2:14" ht="14.7" customHeight="1" thickBot="1" x14ac:dyDescent="0.55000000000000004">
      <c r="B20" s="24" t="s">
        <v>21</v>
      </c>
      <c r="C20" s="18" t="s">
        <v>4</v>
      </c>
      <c r="D20" s="18" t="s">
        <v>5</v>
      </c>
      <c r="E20" s="18" t="s">
        <v>6</v>
      </c>
      <c r="F20" s="19" t="s">
        <v>7</v>
      </c>
      <c r="H20" s="24" t="s">
        <v>21</v>
      </c>
      <c r="I20" s="18" t="s">
        <v>4</v>
      </c>
      <c r="J20" s="18" t="s">
        <v>5</v>
      </c>
      <c r="K20" s="18" t="s">
        <v>6</v>
      </c>
      <c r="L20" s="19" t="s">
        <v>7</v>
      </c>
    </row>
    <row r="21" spans="2:14" ht="14.7" customHeight="1" thickBot="1" x14ac:dyDescent="0.55000000000000004">
      <c r="B21" s="11"/>
      <c r="C21" s="12">
        <v>0</v>
      </c>
      <c r="D21" s="12">
        <v>0</v>
      </c>
      <c r="E21" s="12">
        <f>C21+D21</f>
        <v>0</v>
      </c>
      <c r="F21" s="13">
        <f>E21*25</f>
        <v>0</v>
      </c>
      <c r="H21" s="11"/>
      <c r="I21" s="12">
        <v>271.70140022768072</v>
      </c>
      <c r="J21" s="12">
        <v>38</v>
      </c>
      <c r="K21" s="12">
        <f>J21+I21</f>
        <v>309.70140022768072</v>
      </c>
      <c r="L21" s="13">
        <f>K21*25</f>
        <v>7742.5350056920179</v>
      </c>
    </row>
    <row r="22" spans="2:14" ht="14.7" customHeight="1" thickBot="1" x14ac:dyDescent="0.55000000000000004">
      <c r="B22" s="17"/>
      <c r="C22" s="18" t="s">
        <v>4</v>
      </c>
      <c r="D22" s="18" t="s">
        <v>5</v>
      </c>
      <c r="E22" s="18" t="s">
        <v>6</v>
      </c>
      <c r="F22" s="19" t="s">
        <v>7</v>
      </c>
      <c r="H22" s="17"/>
      <c r="I22" s="18" t="s">
        <v>4</v>
      </c>
      <c r="J22" s="18" t="s">
        <v>5</v>
      </c>
      <c r="K22" s="18" t="s">
        <v>6</v>
      </c>
      <c r="L22" s="19" t="s">
        <v>7</v>
      </c>
    </row>
    <row r="23" spans="2:14" ht="14.7" customHeight="1" thickBot="1" x14ac:dyDescent="0.55000000000000004">
      <c r="B23" s="24" t="s">
        <v>22</v>
      </c>
      <c r="C23" s="12">
        <v>7866417.4198516319</v>
      </c>
      <c r="D23" s="12">
        <v>442622.16</v>
      </c>
      <c r="E23" s="25">
        <v>8309039.579851632</v>
      </c>
      <c r="F23" s="13">
        <f>D23*25</f>
        <v>11065554</v>
      </c>
      <c r="H23" s="24" t="s">
        <v>22</v>
      </c>
      <c r="I23" s="14">
        <v>2815786.2069331259</v>
      </c>
      <c r="J23" s="14">
        <v>506110.16</v>
      </c>
      <c r="K23" s="14">
        <v>4062917.2247025901</v>
      </c>
      <c r="L23" s="15">
        <f>K23*25</f>
        <v>101572930.61756475</v>
      </c>
      <c r="M23" s="6"/>
    </row>
    <row r="24" spans="2:14" ht="14.7" customHeight="1" thickBot="1" x14ac:dyDescent="0.55000000000000004">
      <c r="B24" s="8"/>
      <c r="F24" s="9"/>
      <c r="H24" s="8"/>
      <c r="I24" s="39"/>
      <c r="J24" s="39"/>
      <c r="K24" s="39"/>
      <c r="L24" s="10"/>
      <c r="M24" s="6"/>
      <c r="N24" s="7"/>
    </row>
    <row r="25" spans="2:14" ht="14.7" customHeight="1" thickBot="1" x14ac:dyDescent="0.55000000000000004">
      <c r="B25" s="29" t="s">
        <v>3</v>
      </c>
      <c r="C25" s="30"/>
      <c r="D25" s="31"/>
      <c r="F25" s="9"/>
      <c r="H25" s="29" t="s">
        <v>3</v>
      </c>
      <c r="I25" s="30"/>
      <c r="J25" s="31"/>
      <c r="K25" s="38"/>
      <c r="L25" s="10"/>
      <c r="M25" s="6"/>
    </row>
    <row r="26" spans="2:14" ht="14.7" customHeight="1" thickBot="1" x14ac:dyDescent="0.55000000000000004">
      <c r="B26" s="17" t="s">
        <v>23</v>
      </c>
      <c r="C26" s="18" t="s">
        <v>24</v>
      </c>
      <c r="D26" s="19" t="s">
        <v>25</v>
      </c>
      <c r="F26" s="9"/>
      <c r="H26" s="17" t="s">
        <v>23</v>
      </c>
      <c r="I26" s="18" t="s">
        <v>24</v>
      </c>
      <c r="J26" s="19" t="s">
        <v>25</v>
      </c>
      <c r="K26" s="38"/>
      <c r="L26" s="10"/>
      <c r="M26" s="6"/>
    </row>
    <row r="27" spans="2:14" x14ac:dyDescent="0.5">
      <c r="B27" s="23" t="s">
        <v>9</v>
      </c>
      <c r="C27">
        <v>2</v>
      </c>
      <c r="D27" s="9">
        <v>200</v>
      </c>
      <c r="F27" s="9"/>
      <c r="H27" s="8" t="s">
        <v>9</v>
      </c>
      <c r="I27" s="38">
        <v>11</v>
      </c>
      <c r="J27" s="9">
        <v>1100</v>
      </c>
      <c r="K27" s="38"/>
      <c r="L27" s="9"/>
    </row>
    <row r="28" spans="2:14" x14ac:dyDescent="0.5">
      <c r="B28" s="3" t="s">
        <v>10</v>
      </c>
      <c r="C28">
        <v>11</v>
      </c>
      <c r="D28" s="9">
        <v>5500</v>
      </c>
      <c r="F28" s="9"/>
      <c r="H28" s="8" t="s">
        <v>10</v>
      </c>
      <c r="I28" s="38">
        <v>11</v>
      </c>
      <c r="J28" s="9">
        <v>5500</v>
      </c>
      <c r="K28" s="38"/>
      <c r="L28" s="9"/>
    </row>
    <row r="29" spans="2:14" x14ac:dyDescent="0.5">
      <c r="B29" s="3" t="s">
        <v>11</v>
      </c>
      <c r="C29">
        <v>0</v>
      </c>
      <c r="D29" s="9">
        <v>0</v>
      </c>
      <c r="F29" s="9"/>
      <c r="H29" s="8" t="s">
        <v>11</v>
      </c>
      <c r="I29" s="38">
        <v>0</v>
      </c>
      <c r="J29" s="9">
        <v>0</v>
      </c>
      <c r="K29" s="38"/>
      <c r="L29" s="9"/>
    </row>
    <row r="30" spans="2:14" x14ac:dyDescent="0.5">
      <c r="B30" s="3" t="s">
        <v>12</v>
      </c>
      <c r="C30">
        <v>0</v>
      </c>
      <c r="D30" s="9">
        <v>0</v>
      </c>
      <c r="F30" s="9"/>
      <c r="H30" s="8" t="s">
        <v>12</v>
      </c>
      <c r="I30" s="38">
        <v>0</v>
      </c>
      <c r="J30" s="9">
        <v>0</v>
      </c>
      <c r="K30" s="38"/>
      <c r="L30" s="9"/>
    </row>
    <row r="31" spans="2:14" ht="14.7" customHeight="1" thickBot="1" x14ac:dyDescent="0.55000000000000004">
      <c r="B31" s="16" t="s">
        <v>26</v>
      </c>
      <c r="C31" s="12">
        <v>13</v>
      </c>
      <c r="D31" s="13">
        <v>5700</v>
      </c>
      <c r="F31" s="9"/>
      <c r="H31" s="11" t="s">
        <v>26</v>
      </c>
      <c r="I31" s="12">
        <v>22</v>
      </c>
      <c r="J31" s="13">
        <v>6600</v>
      </c>
      <c r="K31" s="38"/>
      <c r="L31" s="9"/>
    </row>
    <row r="32" spans="2:14" ht="14.7" customHeight="1" thickBot="1" x14ac:dyDescent="0.55000000000000004">
      <c r="B32" s="8"/>
      <c r="F32" s="9"/>
      <c r="H32" s="8"/>
      <c r="I32" s="38"/>
      <c r="J32" s="38"/>
      <c r="K32" s="38"/>
      <c r="L32" s="9"/>
    </row>
    <row r="33" spans="2:12" ht="14.7" customHeight="1" thickBot="1" x14ac:dyDescent="0.55000000000000004">
      <c r="B33" s="29" t="s">
        <v>21</v>
      </c>
      <c r="C33" s="31"/>
      <c r="F33" s="9"/>
      <c r="H33" s="29" t="s">
        <v>21</v>
      </c>
      <c r="I33" s="31"/>
      <c r="J33" s="38"/>
      <c r="K33" s="38"/>
      <c r="L33" s="9"/>
    </row>
    <row r="34" spans="2:12" ht="14.7" customHeight="1" thickBot="1" x14ac:dyDescent="0.55000000000000004">
      <c r="B34" s="24" t="s">
        <v>25</v>
      </c>
      <c r="C34" s="13">
        <v>0</v>
      </c>
      <c r="F34" s="9"/>
      <c r="H34" s="24" t="s">
        <v>25</v>
      </c>
      <c r="I34" s="13">
        <v>2</v>
      </c>
      <c r="J34" s="38"/>
      <c r="K34" s="38"/>
      <c r="L34" s="9"/>
    </row>
    <row r="35" spans="2:12" ht="14.7" customHeight="1" thickBot="1" x14ac:dyDescent="0.55000000000000004">
      <c r="B35" s="8"/>
      <c r="F35" s="9"/>
      <c r="H35" s="8"/>
      <c r="I35" s="38"/>
      <c r="J35" s="38"/>
      <c r="K35" s="38"/>
      <c r="L35" s="9"/>
    </row>
    <row r="36" spans="2:12" ht="14.7" customHeight="1" thickBot="1" x14ac:dyDescent="0.55000000000000004">
      <c r="B36" s="29" t="s">
        <v>13</v>
      </c>
      <c r="C36" s="30"/>
      <c r="D36" s="31"/>
      <c r="F36" s="9"/>
      <c r="H36" s="29" t="s">
        <v>13</v>
      </c>
      <c r="I36" s="30"/>
      <c r="J36" s="31"/>
      <c r="K36" s="38"/>
      <c r="L36" s="9"/>
    </row>
    <row r="37" spans="2:12" ht="14.7" customHeight="1" thickBot="1" x14ac:dyDescent="0.55000000000000004">
      <c r="B37" s="24" t="s">
        <v>23</v>
      </c>
      <c r="C37" s="18" t="s">
        <v>24</v>
      </c>
      <c r="D37" s="19" t="s">
        <v>25</v>
      </c>
      <c r="F37" s="9"/>
      <c r="H37" s="17" t="s">
        <v>23</v>
      </c>
      <c r="I37" s="18" t="s">
        <v>24</v>
      </c>
      <c r="J37" s="19" t="s">
        <v>25</v>
      </c>
      <c r="K37" s="38"/>
      <c r="L37" s="9"/>
    </row>
    <row r="38" spans="2:12" x14ac:dyDescent="0.5">
      <c r="B38" s="23" t="s">
        <v>14</v>
      </c>
      <c r="C38">
        <v>5</v>
      </c>
      <c r="D38" s="9">
        <v>5000</v>
      </c>
      <c r="F38" s="9"/>
      <c r="H38" s="23" t="s">
        <v>14</v>
      </c>
      <c r="I38" s="38">
        <v>6</v>
      </c>
      <c r="J38" s="9">
        <v>6000</v>
      </c>
      <c r="K38" s="38"/>
      <c r="L38" s="9"/>
    </row>
    <row r="39" spans="2:12" x14ac:dyDescent="0.5">
      <c r="B39" s="3" t="s">
        <v>15</v>
      </c>
      <c r="C39">
        <v>0</v>
      </c>
      <c r="D39" s="9">
        <v>0</v>
      </c>
      <c r="F39" s="9"/>
      <c r="H39" s="3" t="s">
        <v>15</v>
      </c>
      <c r="I39" s="38">
        <v>0</v>
      </c>
      <c r="J39" s="9">
        <v>0</v>
      </c>
      <c r="K39" s="38"/>
      <c r="L39" s="9"/>
    </row>
    <row r="40" spans="2:12" x14ac:dyDescent="0.5">
      <c r="B40" s="3" t="s">
        <v>16</v>
      </c>
      <c r="C40">
        <v>0</v>
      </c>
      <c r="D40" s="9">
        <v>0</v>
      </c>
      <c r="F40" s="9"/>
      <c r="H40" s="3" t="s">
        <v>16</v>
      </c>
      <c r="I40" s="38">
        <v>0</v>
      </c>
      <c r="J40" s="9">
        <v>0</v>
      </c>
      <c r="K40" s="38"/>
      <c r="L40" s="9"/>
    </row>
    <row r="41" spans="2:12" ht="14.7" customHeight="1" thickBot="1" x14ac:dyDescent="0.55000000000000004">
      <c r="B41" s="16" t="s">
        <v>26</v>
      </c>
      <c r="C41" s="12">
        <v>5</v>
      </c>
      <c r="D41" s="13">
        <v>5000</v>
      </c>
      <c r="F41" s="9"/>
      <c r="H41" s="16" t="s">
        <v>26</v>
      </c>
      <c r="I41" s="12">
        <v>6</v>
      </c>
      <c r="J41" s="13">
        <v>6000</v>
      </c>
      <c r="K41" s="38"/>
      <c r="L41" s="9"/>
    </row>
    <row r="42" spans="2:12" ht="14.7" customHeight="1" thickBot="1" x14ac:dyDescent="0.55000000000000004">
      <c r="B42" s="8"/>
      <c r="F42" s="9"/>
      <c r="H42" s="8"/>
      <c r="I42" s="38"/>
      <c r="J42" s="38"/>
      <c r="K42" s="38"/>
      <c r="L42" s="9"/>
    </row>
    <row r="43" spans="2:12" ht="14.7" customHeight="1" thickBot="1" x14ac:dyDescent="0.55000000000000004">
      <c r="B43" s="29" t="s">
        <v>27</v>
      </c>
      <c r="C43" s="30"/>
      <c r="D43" s="31"/>
      <c r="F43" s="9"/>
      <c r="H43" s="29" t="s">
        <v>27</v>
      </c>
      <c r="I43" s="30"/>
      <c r="J43" s="31"/>
      <c r="K43" s="38"/>
      <c r="L43" s="9"/>
    </row>
    <row r="44" spans="2:12" ht="14.7" customHeight="1" thickBot="1" x14ac:dyDescent="0.55000000000000004">
      <c r="B44" s="24" t="s">
        <v>23</v>
      </c>
      <c r="C44" s="18" t="s">
        <v>24</v>
      </c>
      <c r="D44" s="19" t="s">
        <v>25</v>
      </c>
      <c r="F44" s="9"/>
      <c r="H44" s="17" t="s">
        <v>23</v>
      </c>
      <c r="I44" s="18" t="s">
        <v>24</v>
      </c>
      <c r="J44" s="19" t="s">
        <v>25</v>
      </c>
      <c r="K44" s="38"/>
      <c r="L44" s="9"/>
    </row>
    <row r="45" spans="2:12" ht="14.7" customHeight="1" thickBot="1" x14ac:dyDescent="0.55000000000000004">
      <c r="B45" s="24" t="s">
        <v>18</v>
      </c>
      <c r="C45" s="12">
        <v>322</v>
      </c>
      <c r="D45" s="13">
        <v>5660.7599999999993</v>
      </c>
      <c r="F45" s="9"/>
      <c r="H45" s="24" t="s">
        <v>18</v>
      </c>
      <c r="I45" s="12">
        <v>322</v>
      </c>
      <c r="J45" s="13">
        <v>5660.7599999999993</v>
      </c>
      <c r="K45" s="38"/>
      <c r="L45" s="9"/>
    </row>
    <row r="46" spans="2:12" ht="14.7" customHeight="1" thickBot="1" x14ac:dyDescent="0.55000000000000004">
      <c r="B46" s="8"/>
      <c r="F46" s="9"/>
      <c r="H46" s="8"/>
      <c r="I46" s="38"/>
      <c r="J46" s="38"/>
      <c r="K46" s="38"/>
      <c r="L46" s="9"/>
    </row>
    <row r="47" spans="2:12" ht="14.7" customHeight="1" thickBot="1" x14ac:dyDescent="0.55000000000000004">
      <c r="B47" s="29" t="s">
        <v>28</v>
      </c>
      <c r="C47" s="31"/>
      <c r="F47" s="9"/>
      <c r="H47" s="29" t="s">
        <v>28</v>
      </c>
      <c r="I47" s="31"/>
      <c r="J47" s="38"/>
      <c r="K47" s="38"/>
      <c r="L47" s="9"/>
    </row>
    <row r="48" spans="2:12" ht="14.7" customHeight="1" thickBot="1" x14ac:dyDescent="0.55000000000000004">
      <c r="B48" s="11" t="s">
        <v>29</v>
      </c>
      <c r="C48" s="13">
        <v>29780</v>
      </c>
      <c r="F48" s="9"/>
      <c r="H48" s="24" t="s">
        <v>29</v>
      </c>
      <c r="I48" s="13">
        <v>2150</v>
      </c>
      <c r="J48" s="38"/>
      <c r="K48" s="38"/>
      <c r="L48" s="9"/>
    </row>
    <row r="49" spans="2:12" ht="14.7" customHeight="1" thickBot="1" x14ac:dyDescent="0.55000000000000004">
      <c r="B49" s="8"/>
      <c r="F49" s="9"/>
      <c r="H49" s="8"/>
      <c r="I49" s="38"/>
      <c r="J49" s="38"/>
      <c r="K49" s="38"/>
      <c r="L49" s="9"/>
    </row>
    <row r="50" spans="2:12" ht="14.7" customHeight="1" thickBot="1" x14ac:dyDescent="0.55000000000000004">
      <c r="B50" s="29" t="s">
        <v>30</v>
      </c>
      <c r="C50" s="30"/>
      <c r="D50" s="31"/>
      <c r="F50" s="9"/>
      <c r="H50" s="35" t="s">
        <v>30</v>
      </c>
      <c r="I50" s="36"/>
      <c r="J50" s="37"/>
      <c r="K50" s="38"/>
      <c r="L50" s="9"/>
    </row>
    <row r="51" spans="2:12" ht="14.7" customHeight="1" thickBot="1" x14ac:dyDescent="0.55000000000000004">
      <c r="B51" s="11" t="s">
        <v>31</v>
      </c>
      <c r="C51" s="12" t="s">
        <v>32</v>
      </c>
      <c r="D51" s="13" t="s">
        <v>33</v>
      </c>
      <c r="F51" s="9"/>
      <c r="H51" s="24" t="s">
        <v>31</v>
      </c>
      <c r="I51" s="18" t="s">
        <v>61</v>
      </c>
      <c r="J51" s="21" t="s">
        <v>33</v>
      </c>
      <c r="K51" s="38"/>
      <c r="L51" s="9"/>
    </row>
    <row r="52" spans="2:12" ht="14.7" customHeight="1" x14ac:dyDescent="0.5">
      <c r="B52" s="23" t="s">
        <v>34</v>
      </c>
      <c r="C52" s="26">
        <v>5224682.2561650798</v>
      </c>
      <c r="D52" s="27">
        <f>C52*25</f>
        <v>130617056.404127</v>
      </c>
      <c r="F52" s="9"/>
      <c r="H52" s="3" t="s">
        <v>34</v>
      </c>
      <c r="I52" s="40">
        <v>5819999.2956816303</v>
      </c>
      <c r="J52" s="27">
        <f>I52*25</f>
        <v>145499982.39204076</v>
      </c>
      <c r="K52" s="38"/>
      <c r="L52" s="9"/>
    </row>
    <row r="53" spans="2:12" ht="14.7" customHeight="1" thickBot="1" x14ac:dyDescent="0.55000000000000004">
      <c r="B53" s="16" t="s">
        <v>35</v>
      </c>
      <c r="C53" s="25">
        <v>904914.21061725297</v>
      </c>
      <c r="D53" s="28">
        <f>C53*25</f>
        <v>22622855.265431326</v>
      </c>
      <c r="F53" s="9"/>
      <c r="H53" s="16" t="s">
        <v>35</v>
      </c>
      <c r="I53" s="25">
        <v>68351.997784052102</v>
      </c>
      <c r="J53" s="28">
        <f>I53*25</f>
        <v>1708799.9446013025</v>
      </c>
      <c r="K53" s="38"/>
      <c r="L53" s="9"/>
    </row>
    <row r="54" spans="2:12" ht="14.7" customHeight="1" thickBot="1" x14ac:dyDescent="0.55000000000000004">
      <c r="B54" s="8"/>
      <c r="F54" s="9"/>
      <c r="H54" s="8"/>
      <c r="I54" s="39"/>
      <c r="J54" s="10"/>
      <c r="K54" s="38"/>
      <c r="L54" s="9"/>
    </row>
    <row r="55" spans="2:12" ht="14.7" customHeight="1" thickBot="1" x14ac:dyDescent="0.55000000000000004">
      <c r="B55" s="29" t="s">
        <v>36</v>
      </c>
      <c r="C55" s="30"/>
      <c r="D55" s="31"/>
      <c r="F55" s="9"/>
      <c r="H55" s="35" t="s">
        <v>36</v>
      </c>
      <c r="I55" s="36"/>
      <c r="J55" s="37"/>
      <c r="K55" s="38"/>
      <c r="L55" s="9"/>
    </row>
    <row r="56" spans="2:12" ht="14.7" customHeight="1" thickBot="1" x14ac:dyDescent="0.55000000000000004">
      <c r="B56" s="11" t="s">
        <v>31</v>
      </c>
      <c r="C56" s="12" t="s">
        <v>32</v>
      </c>
      <c r="D56" s="13" t="s">
        <v>33</v>
      </c>
      <c r="F56" s="9"/>
      <c r="H56" s="24" t="s">
        <v>31</v>
      </c>
      <c r="I56" s="20">
        <v>1580740.54944439</v>
      </c>
      <c r="J56" s="21" t="s">
        <v>33</v>
      </c>
      <c r="K56" s="38"/>
      <c r="L56" s="9"/>
    </row>
    <row r="57" spans="2:12" ht="14.7" customHeight="1" thickBot="1" x14ac:dyDescent="0.55000000000000004">
      <c r="B57" s="23" t="s">
        <v>34</v>
      </c>
      <c r="C57">
        <v>1419049.50167446</v>
      </c>
      <c r="D57" s="9">
        <f>C57*25</f>
        <v>35476237.541861497</v>
      </c>
      <c r="F57" s="9"/>
      <c r="H57" s="16" t="s">
        <v>34</v>
      </c>
      <c r="I57" s="14">
        <v>32657.9517857436</v>
      </c>
      <c r="J57" s="15">
        <f>I57*25</f>
        <v>816448.79464358999</v>
      </c>
      <c r="K57" s="38"/>
      <c r="L57" s="9"/>
    </row>
    <row r="58" spans="2:12" ht="14.7" customHeight="1" thickBot="1" x14ac:dyDescent="0.55000000000000004">
      <c r="B58" s="16" t="s">
        <v>35</v>
      </c>
      <c r="C58" s="12">
        <v>420484.51506276301</v>
      </c>
      <c r="D58" s="13">
        <f>C58*25</f>
        <v>10512112.876569076</v>
      </c>
      <c r="F58" s="9"/>
      <c r="H58" s="8" t="s">
        <v>35</v>
      </c>
      <c r="I58" s="12">
        <v>68351.997784052102</v>
      </c>
      <c r="J58" s="38">
        <f>I58*25</f>
        <v>1708799.9446013025</v>
      </c>
      <c r="K58" s="38"/>
      <c r="L58" s="9"/>
    </row>
    <row r="59" spans="2:12" ht="14.7" customHeight="1" thickBot="1" x14ac:dyDescent="0.55000000000000004">
      <c r="B59" s="8"/>
      <c r="F59" s="9"/>
      <c r="H59" s="8"/>
      <c r="I59" s="38"/>
      <c r="J59" s="38"/>
      <c r="K59" s="38"/>
      <c r="L59" s="9"/>
    </row>
    <row r="60" spans="2:12" ht="14.7" customHeight="1" thickBot="1" x14ac:dyDescent="0.55000000000000004">
      <c r="B60" s="29" t="s">
        <v>37</v>
      </c>
      <c r="C60" s="31"/>
      <c r="F60" s="9"/>
      <c r="H60" s="29" t="s">
        <v>38</v>
      </c>
      <c r="I60" s="31"/>
      <c r="J60" s="38"/>
      <c r="K60" s="38"/>
      <c r="L60" s="9"/>
    </row>
    <row r="61" spans="2:12" ht="14.7" customHeight="1" thickBot="1" x14ac:dyDescent="0.55000000000000004">
      <c r="B61" s="24" t="s">
        <v>39</v>
      </c>
      <c r="C61" s="13">
        <v>239849.713330581</v>
      </c>
      <c r="F61" s="9"/>
      <c r="H61" s="24" t="s">
        <v>39</v>
      </c>
      <c r="I61" s="13">
        <v>19348.307515187898</v>
      </c>
      <c r="J61" s="38"/>
      <c r="K61" s="38"/>
      <c r="L61" s="9"/>
    </row>
    <row r="62" spans="2:12" ht="14.7" customHeight="1" thickBot="1" x14ac:dyDescent="0.55000000000000004">
      <c r="B62" s="8"/>
      <c r="F62" s="9"/>
      <c r="H62" s="8"/>
      <c r="I62" s="38"/>
      <c r="J62" s="38"/>
      <c r="K62" s="38"/>
      <c r="L62" s="9"/>
    </row>
    <row r="63" spans="2:12" ht="14.7" customHeight="1" thickBot="1" x14ac:dyDescent="0.55000000000000004">
      <c r="B63" s="29" t="s">
        <v>40</v>
      </c>
      <c r="C63" s="31"/>
      <c r="F63" s="9"/>
      <c r="H63" s="29" t="s">
        <v>40</v>
      </c>
      <c r="I63" s="31"/>
      <c r="J63" s="38"/>
      <c r="K63" s="38"/>
      <c r="L63" s="9"/>
    </row>
    <row r="64" spans="2:12" ht="14.7" customHeight="1" thickBot="1" x14ac:dyDescent="0.55000000000000004">
      <c r="B64" s="29">
        <f>E23/B70</f>
        <v>0.94942952683336634</v>
      </c>
      <c r="C64" s="31"/>
      <c r="F64" s="9"/>
      <c r="H64" s="29">
        <f>K23/B70</f>
        <v>0.46424782806021891</v>
      </c>
      <c r="I64" s="31"/>
      <c r="J64" s="38"/>
      <c r="K64" s="38"/>
      <c r="L64" s="9"/>
    </row>
    <row r="65" spans="2:12" x14ac:dyDescent="0.5">
      <c r="B65" s="8"/>
      <c r="F65" s="9"/>
      <c r="H65" s="8"/>
      <c r="I65" s="38"/>
      <c r="J65" s="38"/>
      <c r="K65" s="38"/>
      <c r="L65" s="9"/>
    </row>
    <row r="66" spans="2:12" ht="14.7" customHeight="1" thickBot="1" x14ac:dyDescent="0.55000000000000004">
      <c r="B66" s="11"/>
      <c r="C66" s="12"/>
      <c r="D66" s="12"/>
      <c r="E66" s="12"/>
      <c r="F66" s="13"/>
      <c r="G66" s="12"/>
      <c r="H66" s="11"/>
      <c r="I66" s="12"/>
      <c r="J66" s="12"/>
      <c r="K66" s="12"/>
      <c r="L66" s="13"/>
    </row>
    <row r="67" spans="2:12" ht="14.7" customHeight="1" thickBot="1" x14ac:dyDescent="0.55000000000000004">
      <c r="B67" s="11"/>
      <c r="C67" s="12"/>
      <c r="L67" s="9"/>
    </row>
    <row r="68" spans="2:12" ht="14.7" customHeight="1" thickBot="1" x14ac:dyDescent="0.55000000000000004">
      <c r="B68" s="32" t="s">
        <v>41</v>
      </c>
      <c r="C68" s="33"/>
      <c r="L68" s="9"/>
    </row>
    <row r="69" spans="2:12" ht="14.7" customHeight="1" thickBot="1" x14ac:dyDescent="0.55000000000000004">
      <c r="B69" s="17" t="s">
        <v>42</v>
      </c>
      <c r="C69" s="19" t="s">
        <v>43</v>
      </c>
      <c r="L69" s="9"/>
    </row>
    <row r="70" spans="2:12" ht="14.7" customHeight="1" thickBot="1" x14ac:dyDescent="0.55000000000000004">
      <c r="B70" s="11">
        <f>C108</f>
        <v>8751612.779059846</v>
      </c>
      <c r="C70" s="13">
        <f>D108</f>
        <v>218790319.47649616</v>
      </c>
      <c r="D70" s="12"/>
      <c r="E70" s="12"/>
      <c r="F70" s="12"/>
      <c r="G70" s="12"/>
      <c r="H70" s="12"/>
      <c r="I70" s="12"/>
      <c r="J70" s="12"/>
      <c r="K70" s="12"/>
      <c r="L70" s="13"/>
    </row>
    <row r="71" spans="2:12" ht="14.7" customHeight="1" thickBot="1" x14ac:dyDescent="0.55000000000000004"/>
    <row r="72" spans="2:12" ht="14.7" customHeight="1" thickBot="1" x14ac:dyDescent="0.55000000000000004">
      <c r="B72" s="29" t="s">
        <v>44</v>
      </c>
      <c r="C72" s="30"/>
      <c r="D72" s="30"/>
      <c r="E72" s="30"/>
      <c r="F72" s="31"/>
    </row>
    <row r="73" spans="2:12" ht="14.7" customHeight="1" thickBot="1" x14ac:dyDescent="0.55000000000000004">
      <c r="B73" s="29" t="s">
        <v>45</v>
      </c>
      <c r="C73" s="30"/>
      <c r="D73" s="30"/>
      <c r="E73" s="30"/>
      <c r="F73" s="31"/>
    </row>
    <row r="74" spans="2:12" ht="14.7" customHeight="1" thickBot="1" x14ac:dyDescent="0.55000000000000004">
      <c r="B74" s="24" t="s">
        <v>46</v>
      </c>
      <c r="C74" s="18" t="s">
        <v>4</v>
      </c>
      <c r="D74" s="18" t="s">
        <v>5</v>
      </c>
      <c r="E74" s="18" t="s">
        <v>6</v>
      </c>
      <c r="F74" s="19" t="s">
        <v>7</v>
      </c>
    </row>
    <row r="75" spans="2:12" x14ac:dyDescent="0.5">
      <c r="B75" s="23" t="s">
        <v>9</v>
      </c>
      <c r="C75">
        <v>19157.163470791991</v>
      </c>
      <c r="D75">
        <v>44700</v>
      </c>
      <c r="E75">
        <f>C75+D75</f>
        <v>63857.163470791987</v>
      </c>
      <c r="F75" s="9">
        <f>E75*25</f>
        <v>1596429.0867697997</v>
      </c>
    </row>
    <row r="76" spans="2:12" x14ac:dyDescent="0.5">
      <c r="B76" s="3" t="s">
        <v>10</v>
      </c>
      <c r="C76">
        <v>31928.605784653319</v>
      </c>
      <c r="D76">
        <v>74500</v>
      </c>
      <c r="E76">
        <f>C76+D76</f>
        <v>106428.60578465332</v>
      </c>
      <c r="F76" s="9">
        <f>E76*25</f>
        <v>2660715.1446163328</v>
      </c>
    </row>
    <row r="77" spans="2:12" x14ac:dyDescent="0.5">
      <c r="B77" s="3" t="s">
        <v>14</v>
      </c>
      <c r="C77">
        <v>0</v>
      </c>
      <c r="D77">
        <v>0</v>
      </c>
      <c r="E77">
        <f>C77+D77</f>
        <v>0</v>
      </c>
      <c r="F77" s="9">
        <f>E77*25</f>
        <v>0</v>
      </c>
    </row>
    <row r="78" spans="2:12" x14ac:dyDescent="0.5">
      <c r="B78" s="3" t="s">
        <v>47</v>
      </c>
      <c r="C78">
        <v>0</v>
      </c>
      <c r="D78">
        <v>0</v>
      </c>
      <c r="E78">
        <f>C78+D78</f>
        <v>0</v>
      </c>
      <c r="F78" s="9">
        <f>E78*25</f>
        <v>0</v>
      </c>
    </row>
    <row r="79" spans="2:12" ht="14.7" customHeight="1" thickBot="1" x14ac:dyDescent="0.55000000000000004">
      <c r="B79" s="16" t="s">
        <v>48</v>
      </c>
      <c r="C79" s="12"/>
      <c r="D79" s="12"/>
      <c r="E79">
        <f>C79+D79</f>
        <v>0</v>
      </c>
      <c r="F79" s="9">
        <f>E79*25</f>
        <v>0</v>
      </c>
    </row>
    <row r="80" spans="2:12" ht="14.7" customHeight="1" thickBot="1" x14ac:dyDescent="0.55000000000000004">
      <c r="B80" s="17" t="s">
        <v>49</v>
      </c>
      <c r="C80" s="18" t="s">
        <v>4</v>
      </c>
      <c r="D80" s="18" t="s">
        <v>5</v>
      </c>
      <c r="E80" s="18" t="s">
        <v>6</v>
      </c>
      <c r="F80" s="19" t="s">
        <v>7</v>
      </c>
    </row>
    <row r="81" spans="2:6" x14ac:dyDescent="0.5">
      <c r="B81" s="23" t="s">
        <v>18</v>
      </c>
      <c r="C81">
        <v>72677.444458492406</v>
      </c>
      <c r="D81">
        <v>90572.159999999989</v>
      </c>
      <c r="E81">
        <f>C81+D81</f>
        <v>163249.60445849239</v>
      </c>
      <c r="F81" s="9">
        <f>E81*25</f>
        <v>4081240.11146231</v>
      </c>
    </row>
    <row r="82" spans="2:6" ht="14.7" customHeight="1" thickBot="1" x14ac:dyDescent="0.55000000000000004">
      <c r="B82" s="16" t="s">
        <v>50</v>
      </c>
      <c r="C82" s="12"/>
      <c r="D82" s="12"/>
      <c r="E82">
        <f>C82+D82</f>
        <v>0</v>
      </c>
      <c r="F82" s="9">
        <f>E82*25</f>
        <v>0</v>
      </c>
    </row>
    <row r="83" spans="2:6" ht="14.7" customHeight="1" thickBot="1" x14ac:dyDescent="0.55000000000000004">
      <c r="B83" s="17"/>
      <c r="C83" s="18" t="s">
        <v>4</v>
      </c>
      <c r="D83" s="18" t="s">
        <v>5</v>
      </c>
      <c r="E83" s="18" t="s">
        <v>6</v>
      </c>
      <c r="F83" s="19" t="s">
        <v>7</v>
      </c>
    </row>
    <row r="84" spans="2:6" ht="14.7" customHeight="1" thickBot="1" x14ac:dyDescent="0.55000000000000004">
      <c r="B84" s="24" t="s">
        <v>22</v>
      </c>
      <c r="C84" s="12">
        <v>123763.2137139377</v>
      </c>
      <c r="D84" s="12">
        <v>7210055.8722899631</v>
      </c>
      <c r="E84" s="12">
        <v>7333819.0860039014</v>
      </c>
      <c r="F84" s="13">
        <f>E84*25</f>
        <v>183345477.15009755</v>
      </c>
    </row>
    <row r="85" spans="2:6" ht="14.7" customHeight="1" thickBot="1" x14ac:dyDescent="0.55000000000000004">
      <c r="B85" s="8"/>
      <c r="F85" s="9"/>
    </row>
    <row r="86" spans="2:6" ht="14.7" customHeight="1" thickBot="1" x14ac:dyDescent="0.55000000000000004">
      <c r="B86" s="29" t="s">
        <v>46</v>
      </c>
      <c r="C86" s="30"/>
      <c r="D86" s="31"/>
      <c r="F86" s="9"/>
    </row>
    <row r="87" spans="2:6" ht="14.7" customHeight="1" thickBot="1" x14ac:dyDescent="0.55000000000000004">
      <c r="B87" s="24" t="s">
        <v>23</v>
      </c>
      <c r="C87" s="18" t="s">
        <v>24</v>
      </c>
      <c r="D87" s="19" t="s">
        <v>25</v>
      </c>
      <c r="F87" s="9"/>
    </row>
    <row r="88" spans="2:6" x14ac:dyDescent="0.5">
      <c r="B88" s="23" t="s">
        <v>9</v>
      </c>
      <c r="C88">
        <v>3</v>
      </c>
      <c r="D88" s="9">
        <v>300</v>
      </c>
      <c r="F88" s="9"/>
    </row>
    <row r="89" spans="2:6" x14ac:dyDescent="0.5">
      <c r="B89" s="3" t="s">
        <v>10</v>
      </c>
      <c r="C89">
        <v>1</v>
      </c>
      <c r="D89" s="9">
        <v>500</v>
      </c>
      <c r="F89" s="9"/>
    </row>
    <row r="90" spans="2:6" x14ac:dyDescent="0.5">
      <c r="B90" s="3" t="s">
        <v>14</v>
      </c>
      <c r="C90">
        <v>0</v>
      </c>
      <c r="D90" s="9">
        <v>0</v>
      </c>
      <c r="F90" s="9"/>
    </row>
    <row r="91" spans="2:6" x14ac:dyDescent="0.5">
      <c r="B91" s="3" t="s">
        <v>47</v>
      </c>
      <c r="C91">
        <v>0</v>
      </c>
      <c r="D91" s="9">
        <v>0</v>
      </c>
      <c r="F91" s="9"/>
    </row>
    <row r="92" spans="2:6" ht="14.7" customHeight="1" thickBot="1" x14ac:dyDescent="0.55000000000000004">
      <c r="B92" s="16" t="s">
        <v>26</v>
      </c>
      <c r="C92" s="12">
        <v>4</v>
      </c>
      <c r="D92" s="13">
        <v>800</v>
      </c>
      <c r="F92" s="9"/>
    </row>
    <row r="93" spans="2:6" ht="14.7" customHeight="1" thickBot="1" x14ac:dyDescent="0.55000000000000004">
      <c r="B93" s="8"/>
      <c r="F93" s="9"/>
    </row>
    <row r="94" spans="2:6" ht="14.7" customHeight="1" thickBot="1" x14ac:dyDescent="0.55000000000000004">
      <c r="B94" s="29" t="s">
        <v>51</v>
      </c>
      <c r="C94" s="30"/>
      <c r="D94" s="31"/>
      <c r="F94" s="9"/>
    </row>
    <row r="95" spans="2:6" ht="14.7" customHeight="1" thickBot="1" x14ac:dyDescent="0.55000000000000004">
      <c r="B95" s="17" t="s">
        <v>23</v>
      </c>
      <c r="C95" s="18" t="s">
        <v>24</v>
      </c>
      <c r="D95" s="19" t="s">
        <v>25</v>
      </c>
      <c r="F95" s="9"/>
    </row>
    <row r="96" spans="2:6" ht="14.7" customHeight="1" thickBot="1" x14ac:dyDescent="0.55000000000000004">
      <c r="B96" s="24" t="s">
        <v>18</v>
      </c>
      <c r="C96" s="12">
        <v>322</v>
      </c>
      <c r="D96" s="13">
        <v>5660.7599999999993</v>
      </c>
      <c r="F96" s="9"/>
    </row>
    <row r="97" spans="2:6" ht="14.7" customHeight="1" thickBot="1" x14ac:dyDescent="0.55000000000000004">
      <c r="B97" s="8"/>
      <c r="F97" s="9"/>
    </row>
    <row r="98" spans="2:6" ht="14.7" customHeight="1" thickBot="1" x14ac:dyDescent="0.55000000000000004">
      <c r="B98" s="29" t="s">
        <v>52</v>
      </c>
      <c r="C98" s="30"/>
      <c r="D98" s="31"/>
      <c r="F98" s="9"/>
    </row>
    <row r="99" spans="2:6" ht="14.7" customHeight="1" thickBot="1" x14ac:dyDescent="0.55000000000000004">
      <c r="B99" s="17" t="s">
        <v>53</v>
      </c>
      <c r="C99" s="18" t="s">
        <v>54</v>
      </c>
      <c r="D99" s="19" t="s">
        <v>55</v>
      </c>
      <c r="F99" s="9"/>
    </row>
    <row r="100" spans="2:6" x14ac:dyDescent="0.5">
      <c r="B100" s="23" t="s">
        <v>56</v>
      </c>
      <c r="C100">
        <v>1267105.263157883</v>
      </c>
      <c r="D100" s="9">
        <f>C100*25</f>
        <v>31677631.578947075</v>
      </c>
      <c r="F100" s="9"/>
    </row>
    <row r="101" spans="2:6" x14ac:dyDescent="0.5">
      <c r="B101" s="3" t="s">
        <v>57</v>
      </c>
      <c r="C101">
        <v>2087931.2632212029</v>
      </c>
      <c r="D101" s="9">
        <f>C101*25</f>
        <v>52198281.58053007</v>
      </c>
      <c r="F101" s="9"/>
    </row>
    <row r="102" spans="2:6" ht="14.7" customHeight="1" thickBot="1" x14ac:dyDescent="0.55000000000000004">
      <c r="B102" s="16" t="s">
        <v>26</v>
      </c>
      <c r="C102" s="12">
        <f>C100+C101</f>
        <v>3355036.5263790861</v>
      </c>
      <c r="D102" s="13">
        <f>C102*25</f>
        <v>83875913.159477144</v>
      </c>
      <c r="F102" s="9"/>
    </row>
    <row r="103" spans="2:6" ht="14.7" customHeight="1" thickBot="1" x14ac:dyDescent="0.55000000000000004">
      <c r="B103" s="8"/>
      <c r="F103" s="9"/>
    </row>
    <row r="104" spans="2:6" ht="14.7" customHeight="1" thickBot="1" x14ac:dyDescent="0.55000000000000004">
      <c r="B104" s="29" t="s">
        <v>58</v>
      </c>
      <c r="C104" s="30"/>
      <c r="D104" s="31"/>
      <c r="F104" s="9"/>
    </row>
    <row r="105" spans="2:6" ht="14.7" customHeight="1" thickBot="1" x14ac:dyDescent="0.55000000000000004">
      <c r="B105" s="17" t="s">
        <v>53</v>
      </c>
      <c r="C105" s="18" t="s">
        <v>59</v>
      </c>
      <c r="D105" s="22" t="s">
        <v>60</v>
      </c>
      <c r="F105" s="9"/>
    </row>
    <row r="106" spans="2:6" x14ac:dyDescent="0.5">
      <c r="B106" s="23" t="s">
        <v>56</v>
      </c>
      <c r="C106">
        <f>2.6085*C100</f>
        <v>3305244.0789473373</v>
      </c>
      <c r="D106" s="9">
        <f>C106*25</f>
        <v>82631101.973683432</v>
      </c>
      <c r="F106" s="9"/>
    </row>
    <row r="107" spans="2:6" x14ac:dyDescent="0.5">
      <c r="B107" s="3" t="s">
        <v>57</v>
      </c>
      <c r="C107">
        <f>2.6085*C101</f>
        <v>5446368.7001125077</v>
      </c>
      <c r="D107" s="9">
        <f>C107*25</f>
        <v>136159217.50281268</v>
      </c>
      <c r="F107" s="9"/>
    </row>
    <row r="108" spans="2:6" ht="14.7" customHeight="1" thickBot="1" x14ac:dyDescent="0.55000000000000004">
      <c r="B108" s="16" t="s">
        <v>26</v>
      </c>
      <c r="C108" s="12">
        <f>2.6085*C102</f>
        <v>8751612.779059846</v>
      </c>
      <c r="D108" s="13">
        <f>C108*25</f>
        <v>218790319.47649616</v>
      </c>
      <c r="E108" s="12"/>
      <c r="F108" s="13"/>
    </row>
  </sheetData>
  <mergeCells count="30">
    <mergeCell ref="H64:I64"/>
    <mergeCell ref="H50:J50"/>
    <mergeCell ref="H55:J55"/>
    <mergeCell ref="B86:D86"/>
    <mergeCell ref="B104:D104"/>
    <mergeCell ref="B73:F73"/>
    <mergeCell ref="B36:D36"/>
    <mergeCell ref="B94:D94"/>
    <mergeCell ref="B50:D50"/>
    <mergeCell ref="B68:C68"/>
    <mergeCell ref="B64:C64"/>
    <mergeCell ref="B47:C47"/>
    <mergeCell ref="B98:D98"/>
    <mergeCell ref="B72:F72"/>
    <mergeCell ref="H33:I33"/>
    <mergeCell ref="B5:L5"/>
    <mergeCell ref="B63:C63"/>
    <mergeCell ref="B43:D43"/>
    <mergeCell ref="H25:J25"/>
    <mergeCell ref="H6:L6"/>
    <mergeCell ref="H60:I60"/>
    <mergeCell ref="B60:C60"/>
    <mergeCell ref="B55:D55"/>
    <mergeCell ref="H47:I47"/>
    <mergeCell ref="B25:D25"/>
    <mergeCell ref="H43:J43"/>
    <mergeCell ref="B6:F6"/>
    <mergeCell ref="B33:C33"/>
    <mergeCell ref="H36:J36"/>
    <mergeCell ref="H63:I6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B4:N108"/>
  <sheetViews>
    <sheetView tabSelected="1" topLeftCell="A15" zoomScale="70" zoomScaleNormal="70" workbookViewId="0">
      <selection activeCell="M29" sqref="M29"/>
    </sheetView>
  </sheetViews>
  <sheetFormatPr defaultColWidth="39.234375" defaultRowHeight="14.35" x14ac:dyDescent="0.5"/>
  <cols>
    <col min="1" max="1" width="13.52734375" customWidth="1"/>
    <col min="2" max="2" width="15.234375" bestFit="1" customWidth="1"/>
    <col min="3" max="3" width="17.64453125" bestFit="1" customWidth="1"/>
    <col min="4" max="4" width="18.64453125" bestFit="1" customWidth="1"/>
    <col min="5" max="5" width="12.46875" bestFit="1" customWidth="1"/>
    <col min="6" max="6" width="13.5859375" bestFit="1" customWidth="1"/>
    <col min="7" max="7" width="12.46875" customWidth="1"/>
    <col min="8" max="8" width="15.234375" bestFit="1" customWidth="1"/>
    <col min="9" max="9" width="15.703125" bestFit="1" customWidth="1"/>
    <col min="10" max="10" width="18" bestFit="1" customWidth="1"/>
    <col min="11" max="11" width="12.46875" bestFit="1" customWidth="1"/>
    <col min="12" max="12" width="14.5859375" bestFit="1" customWidth="1"/>
    <col min="13" max="14" width="13.41015625" bestFit="1" customWidth="1"/>
    <col min="15" max="15" width="11.76171875" bestFit="1" customWidth="1"/>
  </cols>
  <sheetData>
    <row r="4" spans="2:14" ht="14.7" customHeight="1" thickBot="1" x14ac:dyDescent="0.55000000000000004"/>
    <row r="5" spans="2:14" ht="14.7" customHeight="1" thickBot="1" x14ac:dyDescent="0.55000000000000004">
      <c r="B5" s="29" t="s">
        <v>0</v>
      </c>
      <c r="C5" s="30"/>
      <c r="D5" s="30"/>
      <c r="E5" s="30"/>
      <c r="F5" s="30"/>
      <c r="G5" s="30"/>
      <c r="H5" s="30"/>
      <c r="I5" s="30"/>
      <c r="J5" s="30"/>
      <c r="K5" s="30"/>
      <c r="L5" s="31"/>
    </row>
    <row r="6" spans="2:14" ht="14.7" customHeight="1" thickBot="1" x14ac:dyDescent="0.55000000000000004">
      <c r="B6" s="29" t="s">
        <v>1</v>
      </c>
      <c r="C6" s="30"/>
      <c r="D6" s="30"/>
      <c r="E6" s="30"/>
      <c r="F6" s="31"/>
      <c r="H6" s="29" t="s">
        <v>2</v>
      </c>
      <c r="I6" s="30"/>
      <c r="J6" s="30"/>
      <c r="K6" s="30"/>
      <c r="L6" s="31"/>
    </row>
    <row r="7" spans="2:14" ht="14.7" customHeight="1" thickBot="1" x14ac:dyDescent="0.55000000000000004">
      <c r="B7" s="24" t="s">
        <v>3</v>
      </c>
      <c r="C7" s="18" t="s">
        <v>4</v>
      </c>
      <c r="D7" s="18" t="s">
        <v>5</v>
      </c>
      <c r="E7" s="18" t="s">
        <v>6</v>
      </c>
      <c r="F7" s="19" t="s">
        <v>7</v>
      </c>
      <c r="H7" s="24" t="s">
        <v>3</v>
      </c>
      <c r="I7" s="18" t="s">
        <v>4</v>
      </c>
      <c r="J7" s="18" t="s">
        <v>5</v>
      </c>
      <c r="K7" s="18" t="s">
        <v>6</v>
      </c>
      <c r="L7" s="19" t="s">
        <v>7</v>
      </c>
    </row>
    <row r="8" spans="2:14" x14ac:dyDescent="0.5">
      <c r="B8" s="3" t="s">
        <v>8</v>
      </c>
      <c r="C8" s="6">
        <f>13698 * D27*((0.05*((1.05)^25))/((1.05^25)-1))</f>
        <v>1069097.436093332</v>
      </c>
      <c r="D8" s="6">
        <f>29*D27</f>
        <v>31900</v>
      </c>
      <c r="E8" s="6">
        <f>C8+D8</f>
        <v>1100997.436093332</v>
      </c>
      <c r="F8" s="10">
        <f>E8*25</f>
        <v>27524935.902333301</v>
      </c>
      <c r="H8" s="3" t="s">
        <v>9</v>
      </c>
      <c r="I8" s="39">
        <f>1615 * J27*((0.05*((1.05)^25))/((1.05^25)-1))</f>
        <v>194799.97151503494</v>
      </c>
      <c r="J8" s="39">
        <f>29*J27</f>
        <v>49300</v>
      </c>
      <c r="K8" s="39">
        <f>I8+J8</f>
        <v>244099.97151503494</v>
      </c>
      <c r="L8" s="10">
        <f>K8*25</f>
        <v>6102499.287875873</v>
      </c>
    </row>
    <row r="9" spans="2:14" x14ac:dyDescent="0.5">
      <c r="B9" s="3" t="s">
        <v>10</v>
      </c>
      <c r="C9" s="6">
        <f>13698 * D28*((0.05*((1.05)^25))/((1.05^25)-1))</f>
        <v>485953.38004242367</v>
      </c>
      <c r="D9" s="6">
        <f>29*D28</f>
        <v>14500</v>
      </c>
      <c r="E9" s="6">
        <f>C9+D9</f>
        <v>500453.38004242367</v>
      </c>
      <c r="F9" s="10">
        <f>E9*25</f>
        <v>12511334.501060592</v>
      </c>
      <c r="H9" s="3" t="s">
        <v>10</v>
      </c>
      <c r="I9" s="39">
        <f>1615 * J28*((0.05*((1.05)^25))/((1.05^25)-1))</f>
        <v>0</v>
      </c>
      <c r="J9" s="39">
        <f>29*J28</f>
        <v>0</v>
      </c>
      <c r="K9" s="39">
        <f>I9+J9</f>
        <v>0</v>
      </c>
      <c r="L9" s="10">
        <f>K9*25</f>
        <v>0</v>
      </c>
      <c r="M9" s="7"/>
      <c r="N9" s="6"/>
    </row>
    <row r="10" spans="2:14" x14ac:dyDescent="0.5">
      <c r="B10" s="3" t="s">
        <v>11</v>
      </c>
      <c r="C10" s="6">
        <f>13698 * D29*((0.05*((1.05)^25))/((1.05^25)-1))</f>
        <v>0</v>
      </c>
      <c r="D10" s="6">
        <f>29*D29</f>
        <v>0</v>
      </c>
      <c r="E10" s="6">
        <f>C10+D10</f>
        <v>0</v>
      </c>
      <c r="F10" s="10">
        <f>E10*25</f>
        <v>0</v>
      </c>
      <c r="H10" s="3" t="s">
        <v>11</v>
      </c>
      <c r="I10" s="39">
        <f>1615 * J29*((0.05*((1.05)^25))/((1.05^25)-1))</f>
        <v>0</v>
      </c>
      <c r="J10" s="39">
        <f>29*J29</f>
        <v>0</v>
      </c>
      <c r="K10" s="39">
        <f>I10+J10</f>
        <v>0</v>
      </c>
      <c r="L10" s="10">
        <f>K10*25</f>
        <v>0</v>
      </c>
      <c r="M10" s="7"/>
    </row>
    <row r="11" spans="2:14" ht="14.7" customHeight="1" thickBot="1" x14ac:dyDescent="0.55000000000000004">
      <c r="B11" s="16" t="s">
        <v>12</v>
      </c>
      <c r="C11" s="14">
        <f>13698 * D30*((0.05*((1.05)^25))/((1.05^25)-1))</f>
        <v>0</v>
      </c>
      <c r="D11" s="14">
        <f>29*D30</f>
        <v>0</v>
      </c>
      <c r="E11" s="14">
        <f>C11+D11</f>
        <v>0</v>
      </c>
      <c r="F11" s="15">
        <f>E11*25</f>
        <v>0</v>
      </c>
      <c r="H11" s="16" t="s">
        <v>12</v>
      </c>
      <c r="I11" s="14">
        <f>1615 * J30*((0.05*((1.05)^25))/((1.05^25)-1))</f>
        <v>0</v>
      </c>
      <c r="J11" s="14">
        <f>29*J30</f>
        <v>0</v>
      </c>
      <c r="K11" s="14">
        <f>I11+J11</f>
        <v>0</v>
      </c>
      <c r="L11" s="13">
        <f>K11*25</f>
        <v>0</v>
      </c>
    </row>
    <row r="12" spans="2:14" ht="14.7" customHeight="1" thickBot="1" x14ac:dyDescent="0.55000000000000004">
      <c r="B12" s="24" t="s">
        <v>13</v>
      </c>
      <c r="C12" s="18" t="s">
        <v>4</v>
      </c>
      <c r="D12" s="18" t="s">
        <v>5</v>
      </c>
      <c r="E12" s="18" t="s">
        <v>6</v>
      </c>
      <c r="F12" s="19" t="s">
        <v>7</v>
      </c>
      <c r="H12" s="24" t="s">
        <v>13</v>
      </c>
      <c r="I12" s="18" t="s">
        <v>4</v>
      </c>
      <c r="J12" s="18" t="s">
        <v>5</v>
      </c>
      <c r="K12" s="18" t="s">
        <v>6</v>
      </c>
      <c r="L12" s="19" t="s">
        <v>7</v>
      </c>
    </row>
    <row r="13" spans="2:14" x14ac:dyDescent="0.5">
      <c r="B13" s="3" t="s">
        <v>14</v>
      </c>
      <c r="C13" s="4">
        <f>2490 * D38*((0.05*((1.05)^10))/((1.05^10)-1))</f>
        <v>322466.39166398719</v>
      </c>
      <c r="D13" s="1">
        <f>37.35*D38</f>
        <v>37350</v>
      </c>
      <c r="E13">
        <f>C13+D13</f>
        <v>359816.39166398719</v>
      </c>
      <c r="F13" s="9">
        <f>E13*25</f>
        <v>8995409.7915996797</v>
      </c>
      <c r="H13" s="3" t="s">
        <v>14</v>
      </c>
      <c r="I13" s="4">
        <f>2490 * J38*((0.05*((1.05)^10))/((1.05^10)-1))</f>
        <v>322466.39166398719</v>
      </c>
      <c r="J13" s="1">
        <f>37.35*J38</f>
        <v>37350</v>
      </c>
      <c r="K13" s="39">
        <f>I13+J13</f>
        <v>359816.39166398719</v>
      </c>
      <c r="L13" s="10">
        <f>K13*25</f>
        <v>8995409.7915996797</v>
      </c>
    </row>
    <row r="14" spans="2:14" x14ac:dyDescent="0.5">
      <c r="B14" s="3" t="s">
        <v>15</v>
      </c>
      <c r="C14" s="4">
        <f>1570 * D39*((0.05*((1.05)^10))/((1.05^10)-1))</f>
        <v>0</v>
      </c>
      <c r="D14" s="1">
        <f>23.55*D39</f>
        <v>0</v>
      </c>
      <c r="E14">
        <f>C14+D14</f>
        <v>0</v>
      </c>
      <c r="F14" s="9">
        <f>E14*25</f>
        <v>0</v>
      </c>
      <c r="H14" s="3" t="s">
        <v>15</v>
      </c>
      <c r="I14" s="4">
        <f>1570 * J39*((0.05*((1.05)^10))/((1.05^10)-1))</f>
        <v>0</v>
      </c>
      <c r="J14" s="1">
        <f>23.55*J39</f>
        <v>0</v>
      </c>
      <c r="K14" s="38">
        <f>I14+J14</f>
        <v>0</v>
      </c>
      <c r="L14" s="10">
        <f>K14*25</f>
        <v>0</v>
      </c>
    </row>
    <row r="15" spans="2:14" ht="14.7" customHeight="1" thickBot="1" x14ac:dyDescent="0.55000000000000004">
      <c r="B15" s="16" t="s">
        <v>16</v>
      </c>
      <c r="C15" s="5">
        <f>1190 * D40*((0.05*((1.05)^10))/((1.05^10)-1))</f>
        <v>0</v>
      </c>
      <c r="D15" s="2">
        <f>17.85*D40</f>
        <v>0</v>
      </c>
      <c r="E15" s="12">
        <f>C15+D15</f>
        <v>0</v>
      </c>
      <c r="F15" s="13">
        <f>E15*25</f>
        <v>0</v>
      </c>
      <c r="H15" s="16" t="s">
        <v>16</v>
      </c>
      <c r="I15" s="5">
        <f>1190 * J40*((0.05*((1.05)^10))/((1.05^10)-1))</f>
        <v>0</v>
      </c>
      <c r="J15" s="2">
        <f>17.85*J40</f>
        <v>0</v>
      </c>
      <c r="K15" s="12">
        <f>I15+J15</f>
        <v>0</v>
      </c>
      <c r="L15" s="15">
        <f>K15*25</f>
        <v>0</v>
      </c>
    </row>
    <row r="16" spans="2:14" ht="14.7" customHeight="1" thickBot="1" x14ac:dyDescent="0.55000000000000004">
      <c r="B16" s="24" t="s">
        <v>17</v>
      </c>
      <c r="C16" s="18" t="s">
        <v>4</v>
      </c>
      <c r="D16" s="18" t="s">
        <v>5</v>
      </c>
      <c r="E16" s="18" t="s">
        <v>6</v>
      </c>
      <c r="F16" s="19" t="s">
        <v>7</v>
      </c>
      <c r="H16" s="24" t="s">
        <v>17</v>
      </c>
      <c r="I16" s="18" t="s">
        <v>4</v>
      </c>
      <c r="J16" s="18" t="s">
        <v>5</v>
      </c>
      <c r="K16" s="18" t="s">
        <v>6</v>
      </c>
      <c r="L16" s="19" t="s">
        <v>7</v>
      </c>
    </row>
    <row r="17" spans="2:14" ht="14.7" customHeight="1" thickBot="1" x14ac:dyDescent="0.55000000000000004">
      <c r="B17" s="16" t="s">
        <v>18</v>
      </c>
      <c r="C17" s="12">
        <v>18959.333336998021</v>
      </c>
      <c r="D17" s="12">
        <v>23627.52</v>
      </c>
      <c r="E17" s="12">
        <f>D17+C17</f>
        <v>42586.853336998021</v>
      </c>
      <c r="F17" s="13">
        <f>E17*25</f>
        <v>1064671.3334249505</v>
      </c>
      <c r="H17" s="16" t="s">
        <v>18</v>
      </c>
      <c r="I17" s="12">
        <v>18959.333336998021</v>
      </c>
      <c r="J17" s="12">
        <v>23627.52</v>
      </c>
      <c r="K17" s="12">
        <f>J17+I17</f>
        <v>42586.853336998021</v>
      </c>
      <c r="L17" s="15">
        <f>K17*25</f>
        <v>1064671.3334249505</v>
      </c>
    </row>
    <row r="18" spans="2:14" ht="14.7" customHeight="1" thickBot="1" x14ac:dyDescent="0.55000000000000004">
      <c r="B18" s="24" t="s">
        <v>19</v>
      </c>
      <c r="C18" s="18" t="s">
        <v>4</v>
      </c>
      <c r="D18" s="18" t="s">
        <v>5</v>
      </c>
      <c r="E18" s="18" t="s">
        <v>6</v>
      </c>
      <c r="F18" s="19" t="s">
        <v>7</v>
      </c>
      <c r="H18" s="24" t="s">
        <v>20</v>
      </c>
      <c r="I18" s="18" t="s">
        <v>4</v>
      </c>
      <c r="J18" s="18" t="s">
        <v>5</v>
      </c>
      <c r="K18" s="18" t="s">
        <v>6</v>
      </c>
      <c r="L18" s="19" t="s">
        <v>7</v>
      </c>
    </row>
    <row r="19" spans="2:14" ht="14.7" customHeight="1" thickBot="1" x14ac:dyDescent="0.55000000000000004">
      <c r="B19" s="11"/>
      <c r="C19" s="12">
        <f>C48*300*((0.05*((1.05)^20))/((1.05^20)-1))</f>
        <v>428976.87112143578</v>
      </c>
      <c r="D19" s="12">
        <v>0</v>
      </c>
      <c r="E19" s="12">
        <f>D19+C19</f>
        <v>428976.87112143578</v>
      </c>
      <c r="F19" s="13">
        <f>E19*25</f>
        <v>10724421.778035894</v>
      </c>
      <c r="H19" s="11"/>
      <c r="I19" s="14">
        <f>(I48/10)*3000*((0.05*((1.05)^20))/((1.05^20)-1))</f>
        <v>402737.54511007969</v>
      </c>
      <c r="J19" s="12">
        <v>0</v>
      </c>
      <c r="K19" s="12">
        <f>J19+I19</f>
        <v>402737.54511007969</v>
      </c>
      <c r="L19" s="15">
        <f>K19*25</f>
        <v>10068438.627751993</v>
      </c>
    </row>
    <row r="20" spans="2:14" ht="14.7" customHeight="1" thickBot="1" x14ac:dyDescent="0.55000000000000004">
      <c r="B20" s="24" t="s">
        <v>21</v>
      </c>
      <c r="C20" s="18" t="s">
        <v>4</v>
      </c>
      <c r="D20" s="18" t="s">
        <v>5</v>
      </c>
      <c r="E20" s="18" t="s">
        <v>6</v>
      </c>
      <c r="F20" s="19" t="s">
        <v>7</v>
      </c>
      <c r="H20" s="24" t="s">
        <v>21</v>
      </c>
      <c r="I20" s="18" t="s">
        <v>4</v>
      </c>
      <c r="J20" s="18" t="s">
        <v>5</v>
      </c>
      <c r="K20" s="18" t="s">
        <v>6</v>
      </c>
      <c r="L20" s="19" t="s">
        <v>7</v>
      </c>
    </row>
    <row r="21" spans="2:14" ht="14.7" customHeight="1" thickBot="1" x14ac:dyDescent="0.55000000000000004">
      <c r="B21" s="11"/>
      <c r="C21" s="12">
        <v>0</v>
      </c>
      <c r="D21" s="12">
        <v>0</v>
      </c>
      <c r="E21" s="12">
        <f>C21+D21</f>
        <v>0</v>
      </c>
      <c r="F21" s="13">
        <f>E21*25</f>
        <v>0</v>
      </c>
      <c r="H21" s="11"/>
      <c r="I21" s="12">
        <v>271.70140022768072</v>
      </c>
      <c r="J21" s="12">
        <v>38</v>
      </c>
      <c r="K21" s="12">
        <f>J21+I21</f>
        <v>309.70140022768072</v>
      </c>
      <c r="L21" s="13">
        <f>K21*25</f>
        <v>7742.5350056920179</v>
      </c>
    </row>
    <row r="22" spans="2:14" ht="14.7" customHeight="1" thickBot="1" x14ac:dyDescent="0.55000000000000004">
      <c r="B22" s="17"/>
      <c r="C22" s="18" t="s">
        <v>4</v>
      </c>
      <c r="D22" s="18" t="s">
        <v>5</v>
      </c>
      <c r="E22" s="18" t="s">
        <v>6</v>
      </c>
      <c r="F22" s="19" t="s">
        <v>7</v>
      </c>
      <c r="H22" s="17"/>
      <c r="I22" s="18" t="s">
        <v>4</v>
      </c>
      <c r="J22" s="18" t="s">
        <v>5</v>
      </c>
      <c r="K22" s="18" t="s">
        <v>6</v>
      </c>
      <c r="L22" s="19" t="s">
        <v>7</v>
      </c>
    </row>
    <row r="23" spans="2:14" ht="14.7" customHeight="1" thickBot="1" x14ac:dyDescent="0.55000000000000004">
      <c r="B23" s="24" t="s">
        <v>22</v>
      </c>
      <c r="C23" s="12">
        <v>2325694.1400197479</v>
      </c>
      <c r="D23" s="12">
        <v>107377.52</v>
      </c>
      <c r="E23" s="25">
        <v>2433071.6600197479</v>
      </c>
      <c r="F23" s="13">
        <f>D23*25</f>
        <v>2684438</v>
      </c>
      <c r="H23" s="24" t="s">
        <v>22</v>
      </c>
      <c r="I23" s="14">
        <v>939234.94302632718</v>
      </c>
      <c r="J23" s="14">
        <v>110315.52</v>
      </c>
      <c r="K23" s="14">
        <v>4062917.2247025901</v>
      </c>
      <c r="L23" s="15">
        <f>K23*25</f>
        <v>101572930.61756475</v>
      </c>
      <c r="M23" s="6"/>
    </row>
    <row r="24" spans="2:14" ht="14.7" customHeight="1" thickBot="1" x14ac:dyDescent="0.55000000000000004">
      <c r="B24" s="8"/>
      <c r="F24" s="9"/>
      <c r="H24" s="8"/>
      <c r="I24" s="39"/>
      <c r="J24" s="39"/>
      <c r="K24" s="39"/>
      <c r="L24" s="10"/>
      <c r="M24" s="6"/>
      <c r="N24" s="7"/>
    </row>
    <row r="25" spans="2:14" ht="14.7" customHeight="1" thickBot="1" x14ac:dyDescent="0.55000000000000004">
      <c r="B25" s="29" t="s">
        <v>3</v>
      </c>
      <c r="C25" s="30"/>
      <c r="D25" s="31"/>
      <c r="F25" s="9"/>
      <c r="H25" s="29" t="s">
        <v>3</v>
      </c>
      <c r="I25" s="30"/>
      <c r="J25" s="31"/>
      <c r="K25" s="38"/>
      <c r="L25" s="10"/>
      <c r="M25" s="6"/>
    </row>
    <row r="26" spans="2:14" ht="14.7" customHeight="1" thickBot="1" x14ac:dyDescent="0.55000000000000004">
      <c r="B26" s="17" t="s">
        <v>23</v>
      </c>
      <c r="C26" s="18" t="s">
        <v>24</v>
      </c>
      <c r="D26" s="19" t="s">
        <v>25</v>
      </c>
      <c r="F26" s="9"/>
      <c r="H26" s="17" t="s">
        <v>23</v>
      </c>
      <c r="I26" s="18" t="s">
        <v>24</v>
      </c>
      <c r="J26" s="19" t="s">
        <v>25</v>
      </c>
      <c r="K26" s="38"/>
      <c r="L26" s="10"/>
      <c r="M26" s="6"/>
    </row>
    <row r="27" spans="2:14" x14ac:dyDescent="0.5">
      <c r="B27" s="23" t="s">
        <v>9</v>
      </c>
      <c r="C27">
        <v>11</v>
      </c>
      <c r="D27" s="9">
        <v>1100</v>
      </c>
      <c r="F27" s="9"/>
      <c r="H27" s="8" t="s">
        <v>9</v>
      </c>
      <c r="I27" s="38">
        <v>17</v>
      </c>
      <c r="J27" s="9">
        <v>1700</v>
      </c>
      <c r="K27" s="38"/>
      <c r="L27" s="9"/>
    </row>
    <row r="28" spans="2:14" x14ac:dyDescent="0.5">
      <c r="B28" s="3" t="s">
        <v>10</v>
      </c>
      <c r="C28">
        <v>1</v>
      </c>
      <c r="D28" s="9">
        <v>500</v>
      </c>
      <c r="F28" s="9"/>
      <c r="H28" s="8" t="s">
        <v>10</v>
      </c>
      <c r="I28" s="38">
        <v>0</v>
      </c>
      <c r="J28" s="9">
        <v>0</v>
      </c>
      <c r="K28" s="38"/>
      <c r="L28" s="9"/>
    </row>
    <row r="29" spans="2:14" x14ac:dyDescent="0.5">
      <c r="B29" s="3" t="s">
        <v>11</v>
      </c>
      <c r="C29">
        <v>0</v>
      </c>
      <c r="D29" s="9">
        <v>0</v>
      </c>
      <c r="F29" s="9"/>
      <c r="H29" s="8" t="s">
        <v>11</v>
      </c>
      <c r="I29" s="38">
        <v>0</v>
      </c>
      <c r="J29" s="9">
        <v>0</v>
      </c>
      <c r="K29" s="38"/>
      <c r="L29" s="9"/>
    </row>
    <row r="30" spans="2:14" x14ac:dyDescent="0.5">
      <c r="B30" s="3" t="s">
        <v>12</v>
      </c>
      <c r="C30">
        <v>0</v>
      </c>
      <c r="D30" s="9">
        <v>0</v>
      </c>
      <c r="F30" s="9"/>
      <c r="H30" s="8" t="s">
        <v>12</v>
      </c>
      <c r="I30" s="38">
        <v>0</v>
      </c>
      <c r="J30" s="9">
        <v>0</v>
      </c>
      <c r="K30" s="38"/>
      <c r="L30" s="9"/>
    </row>
    <row r="31" spans="2:14" ht="14.7" customHeight="1" thickBot="1" x14ac:dyDescent="0.55000000000000004">
      <c r="B31" s="16" t="s">
        <v>26</v>
      </c>
      <c r="C31" s="12">
        <v>12</v>
      </c>
      <c r="D31" s="13">
        <v>1600</v>
      </c>
      <c r="F31" s="9"/>
      <c r="H31" s="11" t="s">
        <v>26</v>
      </c>
      <c r="I31" s="12">
        <v>17</v>
      </c>
      <c r="J31" s="13">
        <v>1700</v>
      </c>
      <c r="K31" s="38"/>
      <c r="L31" s="9"/>
    </row>
    <row r="32" spans="2:14" ht="14.7" customHeight="1" thickBot="1" x14ac:dyDescent="0.55000000000000004">
      <c r="B32" s="8"/>
      <c r="F32" s="9"/>
      <c r="H32" s="8"/>
      <c r="I32" s="38"/>
      <c r="J32" s="38"/>
      <c r="K32" s="38"/>
      <c r="L32" s="9"/>
    </row>
    <row r="33" spans="2:12" ht="14.7" customHeight="1" thickBot="1" x14ac:dyDescent="0.55000000000000004">
      <c r="B33" s="29" t="s">
        <v>21</v>
      </c>
      <c r="C33" s="31"/>
      <c r="F33" s="9"/>
      <c r="H33" s="29" t="s">
        <v>21</v>
      </c>
      <c r="I33" s="31"/>
      <c r="J33" s="38"/>
      <c r="K33" s="38"/>
      <c r="L33" s="9"/>
    </row>
    <row r="34" spans="2:12" ht="14.7" customHeight="1" thickBot="1" x14ac:dyDescent="0.55000000000000004">
      <c r="B34" s="24" t="s">
        <v>25</v>
      </c>
      <c r="C34" s="13">
        <v>0</v>
      </c>
      <c r="F34" s="9"/>
      <c r="H34" s="24" t="s">
        <v>25</v>
      </c>
      <c r="I34" s="13">
        <v>2</v>
      </c>
      <c r="J34" s="38"/>
      <c r="K34" s="38"/>
      <c r="L34" s="9"/>
    </row>
    <row r="35" spans="2:12" ht="14.7" customHeight="1" thickBot="1" x14ac:dyDescent="0.55000000000000004">
      <c r="B35" s="8"/>
      <c r="F35" s="9"/>
      <c r="H35" s="8"/>
      <c r="I35" s="38"/>
      <c r="J35" s="38"/>
      <c r="K35" s="38"/>
      <c r="L35" s="9"/>
    </row>
    <row r="36" spans="2:12" ht="14.7" customHeight="1" thickBot="1" x14ac:dyDescent="0.55000000000000004">
      <c r="B36" s="29" t="s">
        <v>13</v>
      </c>
      <c r="C36" s="30"/>
      <c r="D36" s="31"/>
      <c r="F36" s="9"/>
      <c r="H36" s="29" t="s">
        <v>13</v>
      </c>
      <c r="I36" s="30"/>
      <c r="J36" s="31"/>
      <c r="K36" s="38"/>
      <c r="L36" s="9"/>
    </row>
    <row r="37" spans="2:12" ht="14.7" customHeight="1" thickBot="1" x14ac:dyDescent="0.55000000000000004">
      <c r="B37" s="24" t="s">
        <v>23</v>
      </c>
      <c r="C37" s="18" t="s">
        <v>24</v>
      </c>
      <c r="D37" s="19" t="s">
        <v>25</v>
      </c>
      <c r="F37" s="9"/>
      <c r="H37" s="17" t="s">
        <v>23</v>
      </c>
      <c r="I37" s="18" t="s">
        <v>24</v>
      </c>
      <c r="J37" s="19" t="s">
        <v>25</v>
      </c>
      <c r="K37" s="38"/>
      <c r="L37" s="9"/>
    </row>
    <row r="38" spans="2:12" x14ac:dyDescent="0.5">
      <c r="B38" s="23" t="s">
        <v>14</v>
      </c>
      <c r="C38">
        <v>1</v>
      </c>
      <c r="D38" s="9">
        <v>1000</v>
      </c>
      <c r="F38" s="9"/>
      <c r="H38" s="23" t="s">
        <v>14</v>
      </c>
      <c r="I38" s="38">
        <v>1</v>
      </c>
      <c r="J38" s="9">
        <v>1000</v>
      </c>
      <c r="K38" s="38"/>
      <c r="L38" s="9"/>
    </row>
    <row r="39" spans="2:12" x14ac:dyDescent="0.5">
      <c r="B39" s="3" t="s">
        <v>15</v>
      </c>
      <c r="C39">
        <v>0</v>
      </c>
      <c r="D39" s="9">
        <v>0</v>
      </c>
      <c r="F39" s="9"/>
      <c r="H39" s="3" t="s">
        <v>15</v>
      </c>
      <c r="I39" s="38">
        <v>0</v>
      </c>
      <c r="J39" s="9">
        <v>0</v>
      </c>
      <c r="K39" s="38"/>
      <c r="L39" s="9"/>
    </row>
    <row r="40" spans="2:12" x14ac:dyDescent="0.5">
      <c r="B40" s="3" t="s">
        <v>16</v>
      </c>
      <c r="C40">
        <v>0</v>
      </c>
      <c r="D40" s="9">
        <v>0</v>
      </c>
      <c r="F40" s="9"/>
      <c r="H40" s="3" t="s">
        <v>16</v>
      </c>
      <c r="I40" s="38">
        <v>0</v>
      </c>
      <c r="J40" s="9">
        <v>0</v>
      </c>
      <c r="K40" s="38"/>
      <c r="L40" s="9"/>
    </row>
    <row r="41" spans="2:12" ht="14.7" customHeight="1" thickBot="1" x14ac:dyDescent="0.55000000000000004">
      <c r="B41" s="16" t="s">
        <v>26</v>
      </c>
      <c r="C41" s="12">
        <v>1</v>
      </c>
      <c r="D41" s="13">
        <v>1000</v>
      </c>
      <c r="F41" s="9"/>
      <c r="H41" s="16" t="s">
        <v>26</v>
      </c>
      <c r="I41" s="12">
        <v>1</v>
      </c>
      <c r="J41" s="13">
        <v>1000</v>
      </c>
      <c r="K41" s="38"/>
      <c r="L41" s="9"/>
    </row>
    <row r="42" spans="2:12" ht="14.7" customHeight="1" thickBot="1" x14ac:dyDescent="0.55000000000000004">
      <c r="B42" s="8"/>
      <c r="F42" s="9"/>
      <c r="H42" s="8"/>
      <c r="I42" s="38"/>
      <c r="J42" s="38"/>
      <c r="K42" s="38"/>
      <c r="L42" s="9"/>
    </row>
    <row r="43" spans="2:12" ht="14.7" customHeight="1" thickBot="1" x14ac:dyDescent="0.55000000000000004">
      <c r="B43" s="29" t="s">
        <v>27</v>
      </c>
      <c r="C43" s="30"/>
      <c r="D43" s="31"/>
      <c r="F43" s="9"/>
      <c r="H43" s="29" t="s">
        <v>27</v>
      </c>
      <c r="I43" s="30"/>
      <c r="J43" s="31"/>
      <c r="K43" s="38"/>
      <c r="L43" s="9"/>
    </row>
    <row r="44" spans="2:12" ht="14.7" customHeight="1" thickBot="1" x14ac:dyDescent="0.55000000000000004">
      <c r="B44" s="24" t="s">
        <v>23</v>
      </c>
      <c r="C44" s="18" t="s">
        <v>24</v>
      </c>
      <c r="D44" s="19" t="s">
        <v>25</v>
      </c>
      <c r="F44" s="9"/>
      <c r="H44" s="17" t="s">
        <v>23</v>
      </c>
      <c r="I44" s="18" t="s">
        <v>24</v>
      </c>
      <c r="J44" s="19" t="s">
        <v>25</v>
      </c>
      <c r="K44" s="38"/>
      <c r="L44" s="9"/>
    </row>
    <row r="45" spans="2:12" ht="14.7" customHeight="1" thickBot="1" x14ac:dyDescent="0.55000000000000004">
      <c r="B45" s="24" t="s">
        <v>18</v>
      </c>
      <c r="C45" s="12">
        <v>84</v>
      </c>
      <c r="D45" s="13">
        <v>1476.72</v>
      </c>
      <c r="F45" s="9"/>
      <c r="H45" s="24" t="s">
        <v>18</v>
      </c>
      <c r="I45" s="12">
        <v>84</v>
      </c>
      <c r="J45" s="13">
        <v>1476.72</v>
      </c>
      <c r="K45" s="38"/>
      <c r="L45" s="9"/>
    </row>
    <row r="46" spans="2:12" ht="14.7" customHeight="1" thickBot="1" x14ac:dyDescent="0.55000000000000004">
      <c r="B46" s="8"/>
      <c r="F46" s="9"/>
      <c r="H46" s="8"/>
      <c r="I46" s="38"/>
      <c r="J46" s="38"/>
      <c r="K46" s="38"/>
      <c r="L46" s="9"/>
    </row>
    <row r="47" spans="2:12" ht="14.7" customHeight="1" thickBot="1" x14ac:dyDescent="0.55000000000000004">
      <c r="B47" s="29" t="s">
        <v>28</v>
      </c>
      <c r="C47" s="31"/>
      <c r="F47" s="9"/>
      <c r="H47" s="29" t="s">
        <v>28</v>
      </c>
      <c r="I47" s="31"/>
      <c r="J47" s="38"/>
      <c r="K47" s="38"/>
      <c r="L47" s="9"/>
    </row>
    <row r="48" spans="2:12" ht="14.7" customHeight="1" thickBot="1" x14ac:dyDescent="0.55000000000000004">
      <c r="B48" s="11" t="s">
        <v>29</v>
      </c>
      <c r="C48" s="13">
        <v>17820</v>
      </c>
      <c r="F48" s="9"/>
      <c r="H48" s="24" t="s">
        <v>29</v>
      </c>
      <c r="I48" s="13">
        <v>16730</v>
      </c>
      <c r="J48" s="38"/>
      <c r="K48" s="38"/>
      <c r="L48" s="9"/>
    </row>
    <row r="49" spans="2:12" ht="14.7" customHeight="1" thickBot="1" x14ac:dyDescent="0.55000000000000004">
      <c r="B49" s="8"/>
      <c r="F49" s="9"/>
      <c r="H49" s="8"/>
      <c r="I49" s="38"/>
      <c r="J49" s="38"/>
      <c r="K49" s="38"/>
      <c r="L49" s="9"/>
    </row>
    <row r="50" spans="2:12" ht="14.7" customHeight="1" thickBot="1" x14ac:dyDescent="0.55000000000000004">
      <c r="B50" s="29" t="s">
        <v>30</v>
      </c>
      <c r="C50" s="30"/>
      <c r="D50" s="31"/>
      <c r="F50" s="9"/>
      <c r="H50" s="35" t="s">
        <v>30</v>
      </c>
      <c r="I50" s="36"/>
      <c r="J50" s="37"/>
      <c r="K50" s="38"/>
      <c r="L50" s="9"/>
    </row>
    <row r="51" spans="2:12" ht="14.7" customHeight="1" thickBot="1" x14ac:dyDescent="0.55000000000000004">
      <c r="B51" s="11" t="s">
        <v>31</v>
      </c>
      <c r="C51" s="12" t="s">
        <v>32</v>
      </c>
      <c r="D51" s="13" t="s">
        <v>33</v>
      </c>
      <c r="F51" s="9"/>
      <c r="H51" s="24" t="s">
        <v>31</v>
      </c>
      <c r="I51" s="18" t="s">
        <v>61</v>
      </c>
      <c r="J51" s="21" t="s">
        <v>33</v>
      </c>
      <c r="K51" s="38"/>
      <c r="L51" s="9"/>
    </row>
    <row r="52" spans="2:12" ht="14.7" customHeight="1" x14ac:dyDescent="0.5">
      <c r="B52" s="23" t="s">
        <v>34</v>
      </c>
      <c r="C52" s="26">
        <v>1794514.1522552699</v>
      </c>
      <c r="D52" s="27">
        <f>C52*25</f>
        <v>44862853.806381747</v>
      </c>
      <c r="F52" s="9"/>
      <c r="H52" s="3" t="s">
        <v>34</v>
      </c>
      <c r="I52" s="40">
        <v>1929239.53157229</v>
      </c>
      <c r="J52" s="27">
        <f>I52*25</f>
        <v>48230988.289307252</v>
      </c>
      <c r="K52" s="38"/>
      <c r="L52" s="9"/>
    </row>
    <row r="53" spans="2:12" ht="14.7" customHeight="1" thickBot="1" x14ac:dyDescent="0.55000000000000004">
      <c r="B53" s="16" t="s">
        <v>35</v>
      </c>
      <c r="C53" s="25">
        <v>653762.79161778302</v>
      </c>
      <c r="D53" s="28">
        <f>C53*25</f>
        <v>16344069.790444575</v>
      </c>
      <c r="F53" s="9"/>
      <c r="H53" s="16" t="s">
        <v>35</v>
      </c>
      <c r="I53" s="25">
        <v>670113.89643398102</v>
      </c>
      <c r="J53" s="28">
        <f>I53*25</f>
        <v>16752847.410849525</v>
      </c>
      <c r="K53" s="38"/>
      <c r="L53" s="9"/>
    </row>
    <row r="54" spans="2:12" ht="14.7" customHeight="1" thickBot="1" x14ac:dyDescent="0.55000000000000004">
      <c r="B54" s="8"/>
      <c r="F54" s="9"/>
      <c r="H54" s="8"/>
      <c r="I54" s="39"/>
      <c r="J54" s="10"/>
      <c r="K54" s="38"/>
      <c r="L54" s="9"/>
    </row>
    <row r="55" spans="2:12" ht="14.7" customHeight="1" thickBot="1" x14ac:dyDescent="0.55000000000000004">
      <c r="B55" s="29" t="s">
        <v>36</v>
      </c>
      <c r="C55" s="30"/>
      <c r="D55" s="31"/>
      <c r="F55" s="9"/>
      <c r="H55" s="35" t="s">
        <v>36</v>
      </c>
      <c r="I55" s="36"/>
      <c r="J55" s="37"/>
      <c r="K55" s="38"/>
      <c r="L55" s="9"/>
    </row>
    <row r="56" spans="2:12" ht="14.7" customHeight="1" thickBot="1" x14ac:dyDescent="0.55000000000000004">
      <c r="B56" s="11" t="s">
        <v>31</v>
      </c>
      <c r="C56" s="12" t="s">
        <v>32</v>
      </c>
      <c r="D56" s="13" t="s">
        <v>33</v>
      </c>
      <c r="F56" s="9"/>
      <c r="H56" s="24" t="s">
        <v>31</v>
      </c>
      <c r="I56" s="20">
        <v>523990.98388383398</v>
      </c>
      <c r="J56" s="21" t="s">
        <v>33</v>
      </c>
      <c r="K56" s="38"/>
      <c r="L56" s="9"/>
    </row>
    <row r="57" spans="2:12" ht="14.7" customHeight="1" thickBot="1" x14ac:dyDescent="0.55000000000000004">
      <c r="B57" s="23" t="s">
        <v>34</v>
      </c>
      <c r="C57">
        <v>487398.90555081499</v>
      </c>
      <c r="D57" s="9">
        <f>C57*25</f>
        <v>12184972.638770375</v>
      </c>
      <c r="F57" s="9"/>
      <c r="H57" s="16" t="s">
        <v>34</v>
      </c>
      <c r="I57" s="14">
        <v>291678.604744407</v>
      </c>
      <c r="J57" s="15">
        <f>I57*25</f>
        <v>7291965.1186101753</v>
      </c>
      <c r="K57" s="38"/>
      <c r="L57" s="9"/>
    </row>
    <row r="58" spans="2:12" ht="14.7" customHeight="1" thickBot="1" x14ac:dyDescent="0.55000000000000004">
      <c r="B58" s="16" t="s">
        <v>35</v>
      </c>
      <c r="C58" s="12">
        <v>294450.41512227</v>
      </c>
      <c r="D58" s="13">
        <f>C58*25</f>
        <v>7361260.3780567497</v>
      </c>
      <c r="F58" s="9"/>
      <c r="H58" s="8" t="s">
        <v>35</v>
      </c>
      <c r="I58" s="12">
        <v>670113.89643398102</v>
      </c>
      <c r="J58" s="38">
        <f>I58*25</f>
        <v>16752847.410849525</v>
      </c>
      <c r="K58" s="38"/>
      <c r="L58" s="9"/>
    </row>
    <row r="59" spans="2:12" ht="14.7" customHeight="1" thickBot="1" x14ac:dyDescent="0.55000000000000004">
      <c r="B59" s="8"/>
      <c r="F59" s="9"/>
      <c r="H59" s="8"/>
      <c r="I59" s="38"/>
      <c r="J59" s="38"/>
      <c r="K59" s="38"/>
      <c r="L59" s="9"/>
    </row>
    <row r="60" spans="2:12" ht="14.7" customHeight="1" thickBot="1" x14ac:dyDescent="0.55000000000000004">
      <c r="B60" s="29" t="s">
        <v>37</v>
      </c>
      <c r="C60" s="31"/>
      <c r="F60" s="9"/>
      <c r="H60" s="29" t="s">
        <v>38</v>
      </c>
      <c r="I60" s="31"/>
      <c r="J60" s="38"/>
      <c r="K60" s="38"/>
      <c r="L60" s="9"/>
    </row>
    <row r="61" spans="2:12" ht="14.7" customHeight="1" thickBot="1" x14ac:dyDescent="0.55000000000000004">
      <c r="B61" s="24" t="s">
        <v>39</v>
      </c>
      <c r="C61" s="13">
        <v>160469.52897140101</v>
      </c>
      <c r="F61" s="9"/>
      <c r="H61" s="24" t="s">
        <v>39</v>
      </c>
      <c r="I61" s="13">
        <v>150567.14004659999</v>
      </c>
      <c r="J61" s="38"/>
      <c r="K61" s="38"/>
      <c r="L61" s="9"/>
    </row>
    <row r="62" spans="2:12" ht="14.7" customHeight="1" thickBot="1" x14ac:dyDescent="0.55000000000000004">
      <c r="B62" s="8"/>
      <c r="F62" s="9"/>
      <c r="H62" s="8"/>
      <c r="I62" s="38"/>
      <c r="J62" s="38"/>
      <c r="K62" s="38"/>
      <c r="L62" s="9"/>
    </row>
    <row r="63" spans="2:12" ht="14.7" customHeight="1" thickBot="1" x14ac:dyDescent="0.55000000000000004">
      <c r="B63" s="29" t="s">
        <v>40</v>
      </c>
      <c r="C63" s="31"/>
      <c r="F63" s="9"/>
      <c r="H63" s="29" t="s">
        <v>40</v>
      </c>
      <c r="I63" s="31"/>
      <c r="J63" s="38"/>
      <c r="K63" s="38"/>
      <c r="L63" s="9"/>
    </row>
    <row r="64" spans="2:12" ht="14.7" customHeight="1" thickBot="1" x14ac:dyDescent="0.55000000000000004">
      <c r="B64" s="29">
        <f>E23/B70</f>
        <v>0.57532682302482974</v>
      </c>
      <c r="C64" s="31"/>
      <c r="F64" s="9"/>
      <c r="H64" s="29">
        <f>K23/B70</f>
        <v>0.96072191276192298</v>
      </c>
      <c r="I64" s="31"/>
      <c r="J64" s="38"/>
      <c r="K64" s="38"/>
      <c r="L64" s="9"/>
    </row>
    <row r="65" spans="2:12" x14ac:dyDescent="0.5">
      <c r="B65" s="8"/>
      <c r="F65" s="9"/>
      <c r="H65" s="8"/>
      <c r="I65" s="38"/>
      <c r="J65" s="38"/>
      <c r="K65" s="38"/>
      <c r="L65" s="9"/>
    </row>
    <row r="66" spans="2:12" ht="14.7" customHeight="1" thickBot="1" x14ac:dyDescent="0.55000000000000004">
      <c r="B66" s="11"/>
      <c r="C66" s="12"/>
      <c r="D66" s="12"/>
      <c r="E66" s="12"/>
      <c r="F66" s="13"/>
      <c r="G66" s="12"/>
      <c r="H66" s="11"/>
      <c r="I66" s="12"/>
      <c r="J66" s="12"/>
      <c r="K66" s="12"/>
      <c r="L66" s="13"/>
    </row>
    <row r="67" spans="2:12" ht="14.7" customHeight="1" thickBot="1" x14ac:dyDescent="0.55000000000000004">
      <c r="B67" s="11"/>
      <c r="C67" s="12"/>
      <c r="L67" s="9"/>
    </row>
    <row r="68" spans="2:12" ht="14.7" customHeight="1" thickBot="1" x14ac:dyDescent="0.55000000000000004">
      <c r="B68" s="32" t="s">
        <v>41</v>
      </c>
      <c r="C68" s="33"/>
      <c r="L68" s="9"/>
    </row>
    <row r="69" spans="2:12" ht="14.7" customHeight="1" thickBot="1" x14ac:dyDescent="0.55000000000000004">
      <c r="B69" s="17" t="s">
        <v>42</v>
      </c>
      <c r="C69" s="19" t="s">
        <v>43</v>
      </c>
      <c r="L69" s="9"/>
    </row>
    <row r="70" spans="2:12" ht="14.7" customHeight="1" thickBot="1" x14ac:dyDescent="0.55000000000000004">
      <c r="B70" s="11">
        <f>C108</f>
        <v>4229025.2472979911</v>
      </c>
      <c r="C70" s="13">
        <f>D108</f>
        <v>105725631.18244977</v>
      </c>
      <c r="D70" s="12"/>
      <c r="E70" s="12"/>
      <c r="F70" s="12"/>
      <c r="G70" s="12"/>
      <c r="H70" s="12"/>
      <c r="I70" s="12"/>
      <c r="J70" s="12"/>
      <c r="K70" s="12"/>
      <c r="L70" s="13"/>
    </row>
    <row r="71" spans="2:12" ht="14.7" customHeight="1" thickBot="1" x14ac:dyDescent="0.55000000000000004"/>
    <row r="72" spans="2:12" ht="14.7" customHeight="1" thickBot="1" x14ac:dyDescent="0.55000000000000004">
      <c r="B72" s="29" t="s">
        <v>44</v>
      </c>
      <c r="C72" s="30"/>
      <c r="D72" s="30"/>
      <c r="E72" s="30"/>
      <c r="F72" s="31"/>
    </row>
    <row r="73" spans="2:12" ht="14.7" customHeight="1" thickBot="1" x14ac:dyDescent="0.55000000000000004">
      <c r="B73" s="29" t="s">
        <v>45</v>
      </c>
      <c r="C73" s="30"/>
      <c r="D73" s="30"/>
      <c r="E73" s="30"/>
      <c r="F73" s="31"/>
    </row>
    <row r="74" spans="2:12" ht="14.7" customHeight="1" thickBot="1" x14ac:dyDescent="0.55000000000000004">
      <c r="B74" s="24" t="s">
        <v>46</v>
      </c>
      <c r="C74" s="18" t="s">
        <v>4</v>
      </c>
      <c r="D74" s="18" t="s">
        <v>5</v>
      </c>
      <c r="E74" s="18" t="s">
        <v>6</v>
      </c>
      <c r="F74" s="19" t="s">
        <v>7</v>
      </c>
    </row>
    <row r="75" spans="2:12" x14ac:dyDescent="0.5">
      <c r="B75" s="23" t="s">
        <v>9</v>
      </c>
      <c r="C75">
        <v>51085.76925544531</v>
      </c>
      <c r="D75">
        <v>119200</v>
      </c>
      <c r="E75">
        <f>C75+D75</f>
        <v>170285.76925544531</v>
      </c>
      <c r="F75" s="9">
        <f>E75*25</f>
        <v>4257144.2313861325</v>
      </c>
    </row>
    <row r="76" spans="2:12" x14ac:dyDescent="0.5">
      <c r="B76" s="3" t="s">
        <v>10</v>
      </c>
      <c r="C76">
        <v>0</v>
      </c>
      <c r="D76">
        <v>0</v>
      </c>
      <c r="E76">
        <f>C76+D76</f>
        <v>0</v>
      </c>
      <c r="F76" s="9">
        <f>E76*25</f>
        <v>0</v>
      </c>
    </row>
    <row r="77" spans="2:12" x14ac:dyDescent="0.5">
      <c r="B77" s="3" t="s">
        <v>14</v>
      </c>
      <c r="C77">
        <v>0</v>
      </c>
      <c r="D77">
        <v>0</v>
      </c>
      <c r="E77">
        <f>C77+D77</f>
        <v>0</v>
      </c>
      <c r="F77" s="9">
        <f>E77*25</f>
        <v>0</v>
      </c>
    </row>
    <row r="78" spans="2:12" x14ac:dyDescent="0.5">
      <c r="B78" s="3" t="s">
        <v>47</v>
      </c>
      <c r="C78">
        <v>0</v>
      </c>
      <c r="D78">
        <v>0</v>
      </c>
      <c r="E78">
        <f>C78+D78</f>
        <v>0</v>
      </c>
      <c r="F78" s="9">
        <f>E78*25</f>
        <v>0</v>
      </c>
    </row>
    <row r="79" spans="2:12" ht="14.7" customHeight="1" thickBot="1" x14ac:dyDescent="0.55000000000000004">
      <c r="B79" s="16" t="s">
        <v>48</v>
      </c>
      <c r="C79" s="12"/>
      <c r="D79" s="12"/>
      <c r="E79">
        <f>C79+D79</f>
        <v>0</v>
      </c>
      <c r="F79" s="9">
        <f>E79*25</f>
        <v>0</v>
      </c>
    </row>
    <row r="80" spans="2:12" ht="14.7" customHeight="1" thickBot="1" x14ac:dyDescent="0.55000000000000004">
      <c r="B80" s="17" t="s">
        <v>49</v>
      </c>
      <c r="C80" s="18" t="s">
        <v>4</v>
      </c>
      <c r="D80" s="18" t="s">
        <v>5</v>
      </c>
      <c r="E80" s="18" t="s">
        <v>6</v>
      </c>
      <c r="F80" s="19" t="s">
        <v>7</v>
      </c>
    </row>
    <row r="81" spans="2:6" x14ac:dyDescent="0.5">
      <c r="B81" s="23" t="s">
        <v>18</v>
      </c>
      <c r="C81">
        <v>18959.333336998021</v>
      </c>
      <c r="D81">
        <v>23627.52</v>
      </c>
      <c r="E81">
        <f>C81+D81</f>
        <v>42586.853336998021</v>
      </c>
      <c r="F81" s="9">
        <f>E81*25</f>
        <v>1064671.3334249505</v>
      </c>
    </row>
    <row r="82" spans="2:6" ht="14.7" customHeight="1" thickBot="1" x14ac:dyDescent="0.55000000000000004">
      <c r="B82" s="16" t="s">
        <v>50</v>
      </c>
      <c r="C82" s="12"/>
      <c r="D82" s="12"/>
      <c r="E82">
        <f>C82+D82</f>
        <v>0</v>
      </c>
      <c r="F82" s="9">
        <f>E82*25</f>
        <v>0</v>
      </c>
    </row>
    <row r="83" spans="2:6" ht="14.7" customHeight="1" thickBot="1" x14ac:dyDescent="0.55000000000000004">
      <c r="B83" s="17"/>
      <c r="C83" s="18" t="s">
        <v>4</v>
      </c>
      <c r="D83" s="18" t="s">
        <v>5</v>
      </c>
      <c r="E83" s="18" t="s">
        <v>6</v>
      </c>
      <c r="F83" s="19" t="s">
        <v>7</v>
      </c>
    </row>
    <row r="84" spans="2:6" ht="14.7" customHeight="1" thickBot="1" x14ac:dyDescent="0.55000000000000004">
      <c r="B84" s="24" t="s">
        <v>22</v>
      </c>
      <c r="C84" s="12">
        <v>70045.10259244332</v>
      </c>
      <c r="D84" s="12">
        <v>3525561.343456876</v>
      </c>
      <c r="E84" s="12">
        <v>3595606.4460493191</v>
      </c>
      <c r="F84" s="13">
        <f>E84*25</f>
        <v>89890161.151232973</v>
      </c>
    </row>
    <row r="85" spans="2:6" ht="14.7" customHeight="1" thickBot="1" x14ac:dyDescent="0.55000000000000004">
      <c r="B85" s="8"/>
      <c r="F85" s="9"/>
    </row>
    <row r="86" spans="2:6" ht="14.7" customHeight="1" thickBot="1" x14ac:dyDescent="0.55000000000000004">
      <c r="B86" s="29" t="s">
        <v>46</v>
      </c>
      <c r="C86" s="30"/>
      <c r="D86" s="31"/>
      <c r="F86" s="9"/>
    </row>
    <row r="87" spans="2:6" ht="14.7" customHeight="1" thickBot="1" x14ac:dyDescent="0.55000000000000004">
      <c r="B87" s="24" t="s">
        <v>23</v>
      </c>
      <c r="C87" s="18" t="s">
        <v>24</v>
      </c>
      <c r="D87" s="19" t="s">
        <v>25</v>
      </c>
      <c r="F87" s="9"/>
    </row>
    <row r="88" spans="2:6" x14ac:dyDescent="0.5">
      <c r="B88" s="23" t="s">
        <v>9</v>
      </c>
      <c r="C88">
        <v>8</v>
      </c>
      <c r="D88" s="9">
        <v>800</v>
      </c>
      <c r="F88" s="9"/>
    </row>
    <row r="89" spans="2:6" x14ac:dyDescent="0.5">
      <c r="B89" s="3" t="s">
        <v>10</v>
      </c>
      <c r="C89">
        <v>0</v>
      </c>
      <c r="D89" s="9">
        <v>0</v>
      </c>
      <c r="F89" s="9"/>
    </row>
    <row r="90" spans="2:6" x14ac:dyDescent="0.5">
      <c r="B90" s="3" t="s">
        <v>14</v>
      </c>
      <c r="C90">
        <v>0</v>
      </c>
      <c r="D90" s="9">
        <v>0</v>
      </c>
      <c r="F90" s="9"/>
    </row>
    <row r="91" spans="2:6" x14ac:dyDescent="0.5">
      <c r="B91" s="3" t="s">
        <v>47</v>
      </c>
      <c r="C91">
        <v>0</v>
      </c>
      <c r="D91" s="9">
        <v>0</v>
      </c>
      <c r="F91" s="9"/>
    </row>
    <row r="92" spans="2:6" ht="14.7" customHeight="1" thickBot="1" x14ac:dyDescent="0.55000000000000004">
      <c r="B92" s="16" t="s">
        <v>26</v>
      </c>
      <c r="C92" s="12">
        <v>8</v>
      </c>
      <c r="D92" s="13">
        <v>800</v>
      </c>
      <c r="F92" s="9"/>
    </row>
    <row r="93" spans="2:6" ht="14.7" customHeight="1" thickBot="1" x14ac:dyDescent="0.55000000000000004">
      <c r="B93" s="8"/>
      <c r="F93" s="9"/>
    </row>
    <row r="94" spans="2:6" ht="14.7" customHeight="1" thickBot="1" x14ac:dyDescent="0.55000000000000004">
      <c r="B94" s="29" t="s">
        <v>51</v>
      </c>
      <c r="C94" s="30"/>
      <c r="D94" s="31"/>
      <c r="F94" s="9"/>
    </row>
    <row r="95" spans="2:6" ht="14.7" customHeight="1" thickBot="1" x14ac:dyDescent="0.55000000000000004">
      <c r="B95" s="17" t="s">
        <v>23</v>
      </c>
      <c r="C95" s="18" t="s">
        <v>24</v>
      </c>
      <c r="D95" s="19" t="s">
        <v>25</v>
      </c>
      <c r="F95" s="9"/>
    </row>
    <row r="96" spans="2:6" ht="14.7" customHeight="1" thickBot="1" x14ac:dyDescent="0.55000000000000004">
      <c r="B96" s="24" t="s">
        <v>18</v>
      </c>
      <c r="C96" s="12">
        <v>84</v>
      </c>
      <c r="D96" s="13">
        <v>1476.72</v>
      </c>
      <c r="F96" s="9"/>
    </row>
    <row r="97" spans="2:6" ht="14.7" customHeight="1" thickBot="1" x14ac:dyDescent="0.55000000000000004">
      <c r="B97" s="8"/>
      <c r="F97" s="9"/>
    </row>
    <row r="98" spans="2:6" ht="14.7" customHeight="1" thickBot="1" x14ac:dyDescent="0.55000000000000004">
      <c r="B98" s="29" t="s">
        <v>52</v>
      </c>
      <c r="C98" s="30"/>
      <c r="D98" s="31"/>
      <c r="F98" s="9"/>
    </row>
    <row r="99" spans="2:6" ht="14.7" customHeight="1" thickBot="1" x14ac:dyDescent="0.55000000000000004">
      <c r="B99" s="17" t="s">
        <v>53</v>
      </c>
      <c r="C99" s="18" t="s">
        <v>54</v>
      </c>
      <c r="D99" s="19" t="s">
        <v>55</v>
      </c>
      <c r="F99" s="9"/>
    </row>
    <row r="100" spans="2:6" x14ac:dyDescent="0.5">
      <c r="B100" s="23" t="s">
        <v>56</v>
      </c>
      <c r="C100">
        <v>1164739.298715808</v>
      </c>
      <c r="D100" s="9">
        <f>C100*25</f>
        <v>29118482.467895199</v>
      </c>
      <c r="F100" s="9"/>
    </row>
    <row r="101" spans="2:6" x14ac:dyDescent="0.5">
      <c r="B101" s="3" t="s">
        <v>57</v>
      </c>
      <c r="C101">
        <v>456508.63967713481</v>
      </c>
      <c r="D101" s="9">
        <f>C101*25</f>
        <v>11412715.991928371</v>
      </c>
      <c r="F101" s="9"/>
    </row>
    <row r="102" spans="2:6" ht="14.7" customHeight="1" thickBot="1" x14ac:dyDescent="0.55000000000000004">
      <c r="B102" s="16" t="s">
        <v>26</v>
      </c>
      <c r="C102" s="12">
        <f>C100+C101</f>
        <v>1621247.9383929428</v>
      </c>
      <c r="D102" s="13">
        <f>C102*25</f>
        <v>40531198.459823571</v>
      </c>
      <c r="F102" s="9"/>
    </row>
    <row r="103" spans="2:6" ht="14.7" customHeight="1" thickBot="1" x14ac:dyDescent="0.55000000000000004">
      <c r="B103" s="8"/>
      <c r="F103" s="9"/>
    </row>
    <row r="104" spans="2:6" ht="14.7" customHeight="1" thickBot="1" x14ac:dyDescent="0.55000000000000004">
      <c r="B104" s="29" t="s">
        <v>58</v>
      </c>
      <c r="C104" s="30"/>
      <c r="D104" s="31"/>
      <c r="F104" s="9"/>
    </row>
    <row r="105" spans="2:6" ht="14.7" customHeight="1" thickBot="1" x14ac:dyDescent="0.55000000000000004">
      <c r="B105" s="17" t="s">
        <v>53</v>
      </c>
      <c r="C105" s="18" t="s">
        <v>59</v>
      </c>
      <c r="D105" s="22" t="s">
        <v>60</v>
      </c>
      <c r="F105" s="9"/>
    </row>
    <row r="106" spans="2:6" x14ac:dyDescent="0.5">
      <c r="B106" s="23" t="s">
        <v>56</v>
      </c>
      <c r="C106">
        <f>2.6085*C100</f>
        <v>3038222.460700185</v>
      </c>
      <c r="D106" s="9">
        <f>C106*25</f>
        <v>75955561.517504632</v>
      </c>
      <c r="F106" s="9"/>
    </row>
    <row r="107" spans="2:6" x14ac:dyDescent="0.5">
      <c r="B107" s="3" t="s">
        <v>57</v>
      </c>
      <c r="C107">
        <f>2.6085*C101</f>
        <v>1190802.786597806</v>
      </c>
      <c r="D107" s="9">
        <f>C107*25</f>
        <v>29770069.664945152</v>
      </c>
      <c r="F107" s="9"/>
    </row>
    <row r="108" spans="2:6" ht="14.7" customHeight="1" thickBot="1" x14ac:dyDescent="0.55000000000000004">
      <c r="B108" s="16" t="s">
        <v>26</v>
      </c>
      <c r="C108" s="12">
        <f>2.6085*C102</f>
        <v>4229025.2472979911</v>
      </c>
      <c r="D108" s="13">
        <f>C108*25</f>
        <v>105725631.18244977</v>
      </c>
      <c r="E108" s="12"/>
      <c r="F108" s="13"/>
    </row>
  </sheetData>
  <mergeCells count="30">
    <mergeCell ref="H64:I64"/>
    <mergeCell ref="H50:J50"/>
    <mergeCell ref="H55:J55"/>
    <mergeCell ref="B86:D86"/>
    <mergeCell ref="B104:D104"/>
    <mergeCell ref="B73:F73"/>
    <mergeCell ref="B36:D36"/>
    <mergeCell ref="B94:D94"/>
    <mergeCell ref="B50:D50"/>
    <mergeCell ref="B68:C68"/>
    <mergeCell ref="B64:C64"/>
    <mergeCell ref="B47:C47"/>
    <mergeCell ref="B98:D98"/>
    <mergeCell ref="B72:F72"/>
    <mergeCell ref="H33:I33"/>
    <mergeCell ref="B5:L5"/>
    <mergeCell ref="B63:C63"/>
    <mergeCell ref="B43:D43"/>
    <mergeCell ref="H25:J25"/>
    <mergeCell ref="H6:L6"/>
    <mergeCell ref="H60:I60"/>
    <mergeCell ref="B60:C60"/>
    <mergeCell ref="B55:D55"/>
    <mergeCell ref="H47:I47"/>
    <mergeCell ref="B25:D25"/>
    <mergeCell ref="H43:J43"/>
    <mergeCell ref="B6:F6"/>
    <mergeCell ref="B33:C33"/>
    <mergeCell ref="H36:J36"/>
    <mergeCell ref="H63:I6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B4:N108"/>
  <sheetViews>
    <sheetView tabSelected="1" topLeftCell="A15" zoomScale="70" zoomScaleNormal="70" workbookViewId="0">
      <selection activeCell="M29" sqref="M29"/>
    </sheetView>
  </sheetViews>
  <sheetFormatPr defaultColWidth="39.234375" defaultRowHeight="14.35" x14ac:dyDescent="0.5"/>
  <cols>
    <col min="1" max="1" width="13.52734375" customWidth="1"/>
    <col min="2" max="2" width="15.234375" bestFit="1" customWidth="1"/>
    <col min="3" max="3" width="17.64453125" bestFit="1" customWidth="1"/>
    <col min="4" max="4" width="18.64453125" bestFit="1" customWidth="1"/>
    <col min="5" max="5" width="12.46875" bestFit="1" customWidth="1"/>
    <col min="6" max="6" width="13.5859375" bestFit="1" customWidth="1"/>
    <col min="7" max="7" width="12.46875" customWidth="1"/>
    <col min="8" max="8" width="15.234375" bestFit="1" customWidth="1"/>
    <col min="9" max="9" width="15.703125" bestFit="1" customWidth="1"/>
    <col min="10" max="10" width="18" bestFit="1" customWidth="1"/>
    <col min="11" max="11" width="12.46875" bestFit="1" customWidth="1"/>
    <col min="12" max="12" width="14.5859375" bestFit="1" customWidth="1"/>
    <col min="13" max="14" width="13.41015625" bestFit="1" customWidth="1"/>
    <col min="15" max="15" width="11.76171875" bestFit="1" customWidth="1"/>
  </cols>
  <sheetData>
    <row r="4" spans="2:14" ht="14.7" customHeight="1" thickBot="1" x14ac:dyDescent="0.55000000000000004"/>
    <row r="5" spans="2:14" ht="14.7" customHeight="1" thickBot="1" x14ac:dyDescent="0.55000000000000004">
      <c r="B5" s="29" t="s">
        <v>0</v>
      </c>
      <c r="C5" s="30"/>
      <c r="D5" s="30"/>
      <c r="E5" s="30"/>
      <c r="F5" s="30"/>
      <c r="G5" s="30"/>
      <c r="H5" s="30"/>
      <c r="I5" s="30"/>
      <c r="J5" s="30"/>
      <c r="K5" s="30"/>
      <c r="L5" s="31"/>
    </row>
    <row r="6" spans="2:14" ht="14.7" customHeight="1" thickBot="1" x14ac:dyDescent="0.55000000000000004">
      <c r="B6" s="29" t="s">
        <v>1</v>
      </c>
      <c r="C6" s="30"/>
      <c r="D6" s="30"/>
      <c r="E6" s="30"/>
      <c r="F6" s="31"/>
      <c r="H6" s="29" t="s">
        <v>2</v>
      </c>
      <c r="I6" s="30"/>
      <c r="J6" s="30"/>
      <c r="K6" s="30"/>
      <c r="L6" s="31"/>
    </row>
    <row r="7" spans="2:14" ht="14.7" customHeight="1" thickBot="1" x14ac:dyDescent="0.55000000000000004">
      <c r="B7" s="24" t="s">
        <v>3</v>
      </c>
      <c r="C7" s="18" t="s">
        <v>4</v>
      </c>
      <c r="D7" s="18" t="s">
        <v>5</v>
      </c>
      <c r="E7" s="18" t="s">
        <v>6</v>
      </c>
      <c r="F7" s="19" t="s">
        <v>7</v>
      </c>
      <c r="H7" s="24" t="s">
        <v>3</v>
      </c>
      <c r="I7" s="18" t="s">
        <v>4</v>
      </c>
      <c r="J7" s="18" t="s">
        <v>5</v>
      </c>
      <c r="K7" s="18" t="s">
        <v>6</v>
      </c>
      <c r="L7" s="19" t="s">
        <v>7</v>
      </c>
    </row>
    <row r="8" spans="2:14" x14ac:dyDescent="0.5">
      <c r="B8" s="3" t="s">
        <v>8</v>
      </c>
      <c r="C8" s="6">
        <f>13698 * D27*((0.05*((1.05)^25))/((1.05^25)-1))</f>
        <v>2235385.5481951488</v>
      </c>
      <c r="D8" s="6">
        <f>29*D27</f>
        <v>66700</v>
      </c>
      <c r="E8" s="6">
        <f>C8+D8</f>
        <v>2302085.5481951488</v>
      </c>
      <c r="F8" s="10">
        <f>E8*25</f>
        <v>57552138.704878718</v>
      </c>
      <c r="H8" s="3" t="s">
        <v>9</v>
      </c>
      <c r="I8" s="39">
        <f>1615 * J27*((0.05*((1.05)^25))/((1.05^25)-1))</f>
        <v>275011.72449181403</v>
      </c>
      <c r="J8" s="39">
        <f>29*J27</f>
        <v>69600</v>
      </c>
      <c r="K8" s="39">
        <f>I8+J8</f>
        <v>344611.72449181403</v>
      </c>
      <c r="L8" s="10">
        <f>K8*25</f>
        <v>8615293.1122953501</v>
      </c>
    </row>
    <row r="9" spans="2:14" x14ac:dyDescent="0.5">
      <c r="B9" s="3" t="s">
        <v>10</v>
      </c>
      <c r="C9" s="6">
        <f>13698 * D28*((0.05*((1.05)^25))/((1.05^25)-1))</f>
        <v>0</v>
      </c>
      <c r="D9" s="6">
        <f>29*D28</f>
        <v>0</v>
      </c>
      <c r="E9" s="6">
        <f>C9+D9</f>
        <v>0</v>
      </c>
      <c r="F9" s="10">
        <f>E9*25</f>
        <v>0</v>
      </c>
      <c r="H9" s="3" t="s">
        <v>10</v>
      </c>
      <c r="I9" s="39">
        <f>1615 * J28*((0.05*((1.05)^25))/((1.05^25)-1))</f>
        <v>0</v>
      </c>
      <c r="J9" s="39">
        <f>29*J28</f>
        <v>0</v>
      </c>
      <c r="K9" s="39">
        <f>I9+J9</f>
        <v>0</v>
      </c>
      <c r="L9" s="10">
        <f>K9*25</f>
        <v>0</v>
      </c>
      <c r="M9" s="7"/>
      <c r="N9" s="6"/>
    </row>
    <row r="10" spans="2:14" x14ac:dyDescent="0.5">
      <c r="B10" s="3" t="s">
        <v>11</v>
      </c>
      <c r="C10" s="6">
        <f>13698 * D29*((0.05*((1.05)^25))/((1.05^25)-1))</f>
        <v>0</v>
      </c>
      <c r="D10" s="6">
        <f>29*D29</f>
        <v>0</v>
      </c>
      <c r="E10" s="6">
        <f>C10+D10</f>
        <v>0</v>
      </c>
      <c r="F10" s="10">
        <f>E10*25</f>
        <v>0</v>
      </c>
      <c r="H10" s="3" t="s">
        <v>11</v>
      </c>
      <c r="I10" s="39">
        <f>1615 * J29*((0.05*((1.05)^25))/((1.05^25)-1))</f>
        <v>0</v>
      </c>
      <c r="J10" s="39">
        <f>29*J29</f>
        <v>0</v>
      </c>
      <c r="K10" s="39">
        <f>I10+J10</f>
        <v>0</v>
      </c>
      <c r="L10" s="10">
        <f>K10*25</f>
        <v>0</v>
      </c>
      <c r="M10" s="7"/>
    </row>
    <row r="11" spans="2:14" ht="14.7" customHeight="1" thickBot="1" x14ac:dyDescent="0.55000000000000004">
      <c r="B11" s="16" t="s">
        <v>12</v>
      </c>
      <c r="C11" s="14">
        <f>13698 * D30*((0.05*((1.05)^25))/((1.05^25)-1))</f>
        <v>0</v>
      </c>
      <c r="D11" s="14">
        <f>29*D30</f>
        <v>0</v>
      </c>
      <c r="E11" s="14">
        <f>C11+D11</f>
        <v>0</v>
      </c>
      <c r="F11" s="15">
        <f>E11*25</f>
        <v>0</v>
      </c>
      <c r="H11" s="16" t="s">
        <v>12</v>
      </c>
      <c r="I11" s="14">
        <f>1615 * J30*((0.05*((1.05)^25))/((1.05^25)-1))</f>
        <v>0</v>
      </c>
      <c r="J11" s="14">
        <f>29*J30</f>
        <v>0</v>
      </c>
      <c r="K11" s="14">
        <f>I11+J11</f>
        <v>0</v>
      </c>
      <c r="L11" s="13">
        <f>K11*25</f>
        <v>0</v>
      </c>
    </row>
    <row r="12" spans="2:14" ht="14.7" customHeight="1" thickBot="1" x14ac:dyDescent="0.55000000000000004">
      <c r="B12" s="24" t="s">
        <v>13</v>
      </c>
      <c r="C12" s="18" t="s">
        <v>4</v>
      </c>
      <c r="D12" s="18" t="s">
        <v>5</v>
      </c>
      <c r="E12" s="18" t="s">
        <v>6</v>
      </c>
      <c r="F12" s="19" t="s">
        <v>7</v>
      </c>
      <c r="H12" s="24" t="s">
        <v>13</v>
      </c>
      <c r="I12" s="18" t="s">
        <v>4</v>
      </c>
      <c r="J12" s="18" t="s">
        <v>5</v>
      </c>
      <c r="K12" s="18" t="s">
        <v>6</v>
      </c>
      <c r="L12" s="19" t="s">
        <v>7</v>
      </c>
    </row>
    <row r="13" spans="2:14" x14ac:dyDescent="0.5">
      <c r="B13" s="3" t="s">
        <v>14</v>
      </c>
      <c r="C13" s="4">
        <f>2490 * D38*((0.05*((1.05)^10))/((1.05^10)-1))</f>
        <v>644932.78332797438</v>
      </c>
      <c r="D13" s="1">
        <f>37.35*D38</f>
        <v>74700</v>
      </c>
      <c r="E13">
        <f>C13+D13</f>
        <v>719632.78332797438</v>
      </c>
      <c r="F13" s="9">
        <f>E13*25</f>
        <v>17990819.583199359</v>
      </c>
      <c r="H13" s="3" t="s">
        <v>14</v>
      </c>
      <c r="I13" s="4">
        <f>2490 * J38*((0.05*((1.05)^10))/((1.05^10)-1))</f>
        <v>644932.78332797438</v>
      </c>
      <c r="J13" s="1">
        <f>37.35*J38</f>
        <v>74700</v>
      </c>
      <c r="K13" s="39">
        <f>I13+J13</f>
        <v>719632.78332797438</v>
      </c>
      <c r="L13" s="10">
        <f>K13*25</f>
        <v>17990819.583199359</v>
      </c>
    </row>
    <row r="14" spans="2:14" x14ac:dyDescent="0.5">
      <c r="B14" s="3" t="s">
        <v>15</v>
      </c>
      <c r="C14" s="4">
        <f>1570 * D39*((0.05*((1.05)^10))/((1.05^10)-1))</f>
        <v>0</v>
      </c>
      <c r="D14" s="1">
        <f>23.55*D39</f>
        <v>0</v>
      </c>
      <c r="E14">
        <f>C14+D14</f>
        <v>0</v>
      </c>
      <c r="F14" s="9">
        <f>E14*25</f>
        <v>0</v>
      </c>
      <c r="H14" s="3" t="s">
        <v>15</v>
      </c>
      <c r="I14" s="4">
        <f>1570 * J39*((0.05*((1.05)^10))/((1.05^10)-1))</f>
        <v>0</v>
      </c>
      <c r="J14" s="1">
        <f>23.55*J39</f>
        <v>0</v>
      </c>
      <c r="K14" s="38">
        <f>I14+J14</f>
        <v>0</v>
      </c>
      <c r="L14" s="10">
        <f>K14*25</f>
        <v>0</v>
      </c>
    </row>
    <row r="15" spans="2:14" ht="14.7" customHeight="1" thickBot="1" x14ac:dyDescent="0.55000000000000004">
      <c r="B15" s="16" t="s">
        <v>16</v>
      </c>
      <c r="C15" s="5">
        <f>1190 * D40*((0.05*((1.05)^10))/((1.05^10)-1))</f>
        <v>0</v>
      </c>
      <c r="D15" s="2">
        <f>17.85*D40</f>
        <v>0</v>
      </c>
      <c r="E15" s="12">
        <f>C15+D15</f>
        <v>0</v>
      </c>
      <c r="F15" s="13">
        <f>E15*25</f>
        <v>0</v>
      </c>
      <c r="H15" s="16" t="s">
        <v>16</v>
      </c>
      <c r="I15" s="5">
        <f>1190 * J40*((0.05*((1.05)^10))/((1.05^10)-1))</f>
        <v>0</v>
      </c>
      <c r="J15" s="2">
        <f>17.85*J40</f>
        <v>0</v>
      </c>
      <c r="K15" s="12">
        <f>I15+J15</f>
        <v>0</v>
      </c>
      <c r="L15" s="15">
        <f>K15*25</f>
        <v>0</v>
      </c>
    </row>
    <row r="16" spans="2:14" ht="14.7" customHeight="1" thickBot="1" x14ac:dyDescent="0.55000000000000004">
      <c r="B16" s="24" t="s">
        <v>17</v>
      </c>
      <c r="C16" s="18" t="s">
        <v>4</v>
      </c>
      <c r="D16" s="18" t="s">
        <v>5</v>
      </c>
      <c r="E16" s="18" t="s">
        <v>6</v>
      </c>
      <c r="F16" s="19" t="s">
        <v>7</v>
      </c>
      <c r="H16" s="24" t="s">
        <v>17</v>
      </c>
      <c r="I16" s="18" t="s">
        <v>4</v>
      </c>
      <c r="J16" s="18" t="s">
        <v>5</v>
      </c>
      <c r="K16" s="18" t="s">
        <v>6</v>
      </c>
      <c r="L16" s="19" t="s">
        <v>7</v>
      </c>
    </row>
    <row r="17" spans="2:14" ht="14.7" customHeight="1" thickBot="1" x14ac:dyDescent="0.55000000000000004">
      <c r="B17" s="16" t="s">
        <v>18</v>
      </c>
      <c r="C17" s="12">
        <v>32501.714291996599</v>
      </c>
      <c r="D17" s="12">
        <v>40504.319999999992</v>
      </c>
      <c r="E17" s="12">
        <f>D17+C17</f>
        <v>73006.034291996591</v>
      </c>
      <c r="F17" s="13">
        <f>E17*25</f>
        <v>1825150.8572999148</v>
      </c>
      <c r="H17" s="16" t="s">
        <v>18</v>
      </c>
      <c r="I17" s="12">
        <v>32501.714291996599</v>
      </c>
      <c r="J17" s="12">
        <v>40504.319999999992</v>
      </c>
      <c r="K17" s="12">
        <f>J17+I17</f>
        <v>73006.034291996591</v>
      </c>
      <c r="L17" s="15">
        <f>K17*25</f>
        <v>1825150.8572999148</v>
      </c>
    </row>
    <row r="18" spans="2:14" ht="14.7" customHeight="1" thickBot="1" x14ac:dyDescent="0.55000000000000004">
      <c r="B18" s="24" t="s">
        <v>19</v>
      </c>
      <c r="C18" s="18" t="s">
        <v>4</v>
      </c>
      <c r="D18" s="18" t="s">
        <v>5</v>
      </c>
      <c r="E18" s="18" t="s">
        <v>6</v>
      </c>
      <c r="F18" s="19" t="s">
        <v>7</v>
      </c>
      <c r="H18" s="24" t="s">
        <v>20</v>
      </c>
      <c r="I18" s="18" t="s">
        <v>4</v>
      </c>
      <c r="J18" s="18" t="s">
        <v>5</v>
      </c>
      <c r="K18" s="18" t="s">
        <v>6</v>
      </c>
      <c r="L18" s="19" t="s">
        <v>7</v>
      </c>
    </row>
    <row r="19" spans="2:14" ht="14.7" customHeight="1" thickBot="1" x14ac:dyDescent="0.55000000000000004">
      <c r="B19" s="11"/>
      <c r="C19" s="12">
        <f>C48*300*((0.05*((1.05)^20))/((1.05^20)-1))</f>
        <v>317760.64527513762</v>
      </c>
      <c r="D19" s="12">
        <v>0</v>
      </c>
      <c r="E19" s="12">
        <f>D19+C19</f>
        <v>317760.64527513762</v>
      </c>
      <c r="F19" s="13">
        <f>E19*25</f>
        <v>7944016.1318784403</v>
      </c>
      <c r="H19" s="11"/>
      <c r="I19" s="14">
        <f>(I48/10)*3000*((0.05*((1.05)^20))/((1.05^20)-1))</f>
        <v>245301.58904194334</v>
      </c>
      <c r="J19" s="12">
        <v>0</v>
      </c>
      <c r="K19" s="12">
        <f>J19+I19</f>
        <v>245301.58904194334</v>
      </c>
      <c r="L19" s="15">
        <f>K19*25</f>
        <v>6132539.7260485832</v>
      </c>
    </row>
    <row r="20" spans="2:14" ht="14.7" customHeight="1" thickBot="1" x14ac:dyDescent="0.55000000000000004">
      <c r="B20" s="24" t="s">
        <v>21</v>
      </c>
      <c r="C20" s="18" t="s">
        <v>4</v>
      </c>
      <c r="D20" s="18" t="s">
        <v>5</v>
      </c>
      <c r="E20" s="18" t="s">
        <v>6</v>
      </c>
      <c r="F20" s="19" t="s">
        <v>7</v>
      </c>
      <c r="H20" s="24" t="s">
        <v>21</v>
      </c>
      <c r="I20" s="18" t="s">
        <v>4</v>
      </c>
      <c r="J20" s="18" t="s">
        <v>5</v>
      </c>
      <c r="K20" s="18" t="s">
        <v>6</v>
      </c>
      <c r="L20" s="19" t="s">
        <v>7</v>
      </c>
    </row>
    <row r="21" spans="2:14" ht="14.7" customHeight="1" thickBot="1" x14ac:dyDescent="0.55000000000000004">
      <c r="B21" s="11"/>
      <c r="C21" s="12">
        <v>0</v>
      </c>
      <c r="D21" s="12">
        <v>0</v>
      </c>
      <c r="E21" s="12">
        <f>C21+D21</f>
        <v>0</v>
      </c>
      <c r="F21" s="13">
        <f>E21*25</f>
        <v>0</v>
      </c>
      <c r="H21" s="11"/>
      <c r="I21" s="12">
        <v>271.70140022768072</v>
      </c>
      <c r="J21" s="12">
        <v>38</v>
      </c>
      <c r="K21" s="12">
        <f>J21+I21</f>
        <v>309.70140022768072</v>
      </c>
      <c r="L21" s="13">
        <f>K21*25</f>
        <v>7742.5350056920179</v>
      </c>
    </row>
    <row r="22" spans="2:14" ht="14.7" customHeight="1" thickBot="1" x14ac:dyDescent="0.55000000000000004">
      <c r="B22" s="17"/>
      <c r="C22" s="18" t="s">
        <v>4</v>
      </c>
      <c r="D22" s="18" t="s">
        <v>5</v>
      </c>
      <c r="E22" s="18" t="s">
        <v>6</v>
      </c>
      <c r="F22" s="19" t="s">
        <v>7</v>
      </c>
      <c r="H22" s="17"/>
      <c r="I22" s="18" t="s">
        <v>4</v>
      </c>
      <c r="J22" s="18" t="s">
        <v>5</v>
      </c>
      <c r="K22" s="18" t="s">
        <v>6</v>
      </c>
      <c r="L22" s="19" t="s">
        <v>7</v>
      </c>
    </row>
    <row r="23" spans="2:14" ht="14.7" customHeight="1" thickBot="1" x14ac:dyDescent="0.55000000000000004">
      <c r="B23" s="24" t="s">
        <v>22</v>
      </c>
      <c r="C23" s="12">
        <v>3230821.4188518282</v>
      </c>
      <c r="D23" s="12">
        <v>181904.32</v>
      </c>
      <c r="E23" s="25">
        <v>3412725.738851828</v>
      </c>
      <c r="F23" s="13">
        <f>D23*25</f>
        <v>4547608</v>
      </c>
      <c r="H23" s="24" t="s">
        <v>22</v>
      </c>
      <c r="I23" s="14">
        <v>1198019.512553955</v>
      </c>
      <c r="J23" s="14">
        <v>184842.32</v>
      </c>
      <c r="K23" s="14">
        <v>4062917.2247025901</v>
      </c>
      <c r="L23" s="15">
        <f>K23*25</f>
        <v>101572930.61756475</v>
      </c>
      <c r="M23" s="6"/>
    </row>
    <row r="24" spans="2:14" ht="14.7" customHeight="1" thickBot="1" x14ac:dyDescent="0.55000000000000004">
      <c r="B24" s="8"/>
      <c r="F24" s="9"/>
      <c r="H24" s="8"/>
      <c r="I24" s="39"/>
      <c r="J24" s="39"/>
      <c r="K24" s="39"/>
      <c r="L24" s="10"/>
      <c r="M24" s="6"/>
      <c r="N24" s="7"/>
    </row>
    <row r="25" spans="2:14" ht="14.7" customHeight="1" thickBot="1" x14ac:dyDescent="0.55000000000000004">
      <c r="B25" s="29" t="s">
        <v>3</v>
      </c>
      <c r="C25" s="30"/>
      <c r="D25" s="31"/>
      <c r="F25" s="9"/>
      <c r="H25" s="29" t="s">
        <v>3</v>
      </c>
      <c r="I25" s="30"/>
      <c r="J25" s="31"/>
      <c r="K25" s="38"/>
      <c r="L25" s="10"/>
      <c r="M25" s="6"/>
    </row>
    <row r="26" spans="2:14" ht="14.7" customHeight="1" thickBot="1" x14ac:dyDescent="0.55000000000000004">
      <c r="B26" s="17" t="s">
        <v>23</v>
      </c>
      <c r="C26" s="18" t="s">
        <v>24</v>
      </c>
      <c r="D26" s="19" t="s">
        <v>25</v>
      </c>
      <c r="F26" s="9"/>
      <c r="H26" s="17" t="s">
        <v>23</v>
      </c>
      <c r="I26" s="18" t="s">
        <v>24</v>
      </c>
      <c r="J26" s="19" t="s">
        <v>25</v>
      </c>
      <c r="K26" s="38"/>
      <c r="L26" s="10"/>
      <c r="M26" s="6"/>
    </row>
    <row r="27" spans="2:14" x14ac:dyDescent="0.5">
      <c r="B27" s="23" t="s">
        <v>9</v>
      </c>
      <c r="C27">
        <v>23</v>
      </c>
      <c r="D27" s="9">
        <v>2300</v>
      </c>
      <c r="F27" s="9"/>
      <c r="H27" s="8" t="s">
        <v>9</v>
      </c>
      <c r="I27" s="38">
        <v>24</v>
      </c>
      <c r="J27" s="9">
        <v>2400</v>
      </c>
      <c r="K27" s="38"/>
      <c r="L27" s="9"/>
    </row>
    <row r="28" spans="2:14" x14ac:dyDescent="0.5">
      <c r="B28" s="3" t="s">
        <v>10</v>
      </c>
      <c r="C28">
        <v>0</v>
      </c>
      <c r="D28" s="9">
        <v>0</v>
      </c>
      <c r="F28" s="9"/>
      <c r="H28" s="8" t="s">
        <v>10</v>
      </c>
      <c r="I28" s="38">
        <v>0</v>
      </c>
      <c r="J28" s="9">
        <v>0</v>
      </c>
      <c r="K28" s="38"/>
      <c r="L28" s="9"/>
    </row>
    <row r="29" spans="2:14" x14ac:dyDescent="0.5">
      <c r="B29" s="3" t="s">
        <v>11</v>
      </c>
      <c r="C29">
        <v>0</v>
      </c>
      <c r="D29" s="9">
        <v>0</v>
      </c>
      <c r="F29" s="9"/>
      <c r="H29" s="8" t="s">
        <v>11</v>
      </c>
      <c r="I29" s="38">
        <v>0</v>
      </c>
      <c r="J29" s="9">
        <v>0</v>
      </c>
      <c r="K29" s="38"/>
      <c r="L29" s="9"/>
    </row>
    <row r="30" spans="2:14" x14ac:dyDescent="0.5">
      <c r="B30" s="3" t="s">
        <v>12</v>
      </c>
      <c r="C30">
        <v>0</v>
      </c>
      <c r="D30" s="9">
        <v>0</v>
      </c>
      <c r="F30" s="9"/>
      <c r="H30" s="8" t="s">
        <v>12</v>
      </c>
      <c r="I30" s="38">
        <v>0</v>
      </c>
      <c r="J30" s="9">
        <v>0</v>
      </c>
      <c r="K30" s="38"/>
      <c r="L30" s="9"/>
    </row>
    <row r="31" spans="2:14" ht="14.7" customHeight="1" thickBot="1" x14ac:dyDescent="0.55000000000000004">
      <c r="B31" s="16" t="s">
        <v>26</v>
      </c>
      <c r="C31" s="12">
        <v>23</v>
      </c>
      <c r="D31" s="13">
        <v>2300</v>
      </c>
      <c r="F31" s="9"/>
      <c r="H31" s="11" t="s">
        <v>26</v>
      </c>
      <c r="I31" s="12">
        <v>24</v>
      </c>
      <c r="J31" s="13">
        <v>2400</v>
      </c>
      <c r="K31" s="38"/>
      <c r="L31" s="9"/>
    </row>
    <row r="32" spans="2:14" ht="14.7" customHeight="1" thickBot="1" x14ac:dyDescent="0.55000000000000004">
      <c r="B32" s="8"/>
      <c r="F32" s="9"/>
      <c r="H32" s="8"/>
      <c r="I32" s="38"/>
      <c r="J32" s="38"/>
      <c r="K32" s="38"/>
      <c r="L32" s="9"/>
    </row>
    <row r="33" spans="2:12" ht="14.7" customHeight="1" thickBot="1" x14ac:dyDescent="0.55000000000000004">
      <c r="B33" s="29" t="s">
        <v>21</v>
      </c>
      <c r="C33" s="31"/>
      <c r="F33" s="9"/>
      <c r="H33" s="29" t="s">
        <v>21</v>
      </c>
      <c r="I33" s="31"/>
      <c r="J33" s="38"/>
      <c r="K33" s="38"/>
      <c r="L33" s="9"/>
    </row>
    <row r="34" spans="2:12" ht="14.7" customHeight="1" thickBot="1" x14ac:dyDescent="0.55000000000000004">
      <c r="B34" s="24" t="s">
        <v>25</v>
      </c>
      <c r="C34" s="13">
        <v>0</v>
      </c>
      <c r="F34" s="9"/>
      <c r="H34" s="24" t="s">
        <v>25</v>
      </c>
      <c r="I34" s="13">
        <v>2</v>
      </c>
      <c r="J34" s="38"/>
      <c r="K34" s="38"/>
      <c r="L34" s="9"/>
    </row>
    <row r="35" spans="2:12" ht="14.7" customHeight="1" thickBot="1" x14ac:dyDescent="0.55000000000000004">
      <c r="B35" s="8"/>
      <c r="F35" s="9"/>
      <c r="H35" s="8"/>
      <c r="I35" s="38"/>
      <c r="J35" s="38"/>
      <c r="K35" s="38"/>
      <c r="L35" s="9"/>
    </row>
    <row r="36" spans="2:12" ht="14.7" customHeight="1" thickBot="1" x14ac:dyDescent="0.55000000000000004">
      <c r="B36" s="29" t="s">
        <v>13</v>
      </c>
      <c r="C36" s="30"/>
      <c r="D36" s="31"/>
      <c r="F36" s="9"/>
      <c r="H36" s="29" t="s">
        <v>13</v>
      </c>
      <c r="I36" s="30"/>
      <c r="J36" s="31"/>
      <c r="K36" s="38"/>
      <c r="L36" s="9"/>
    </row>
    <row r="37" spans="2:12" ht="14.7" customHeight="1" thickBot="1" x14ac:dyDescent="0.55000000000000004">
      <c r="B37" s="24" t="s">
        <v>23</v>
      </c>
      <c r="C37" s="18" t="s">
        <v>24</v>
      </c>
      <c r="D37" s="19" t="s">
        <v>25</v>
      </c>
      <c r="F37" s="9"/>
      <c r="H37" s="17" t="s">
        <v>23</v>
      </c>
      <c r="I37" s="18" t="s">
        <v>24</v>
      </c>
      <c r="J37" s="19" t="s">
        <v>25</v>
      </c>
      <c r="K37" s="38"/>
      <c r="L37" s="9"/>
    </row>
    <row r="38" spans="2:12" x14ac:dyDescent="0.5">
      <c r="B38" s="23" t="s">
        <v>14</v>
      </c>
      <c r="C38">
        <v>2</v>
      </c>
      <c r="D38" s="9">
        <v>2000</v>
      </c>
      <c r="F38" s="9"/>
      <c r="H38" s="23" t="s">
        <v>14</v>
      </c>
      <c r="I38" s="38">
        <v>2</v>
      </c>
      <c r="J38" s="9">
        <v>2000</v>
      </c>
      <c r="K38" s="38"/>
      <c r="L38" s="9"/>
    </row>
    <row r="39" spans="2:12" x14ac:dyDescent="0.5">
      <c r="B39" s="3" t="s">
        <v>15</v>
      </c>
      <c r="C39">
        <v>0</v>
      </c>
      <c r="D39" s="9">
        <v>0</v>
      </c>
      <c r="F39" s="9"/>
      <c r="H39" s="3" t="s">
        <v>15</v>
      </c>
      <c r="I39" s="38">
        <v>0</v>
      </c>
      <c r="J39" s="9">
        <v>0</v>
      </c>
      <c r="K39" s="38"/>
      <c r="L39" s="9"/>
    </row>
    <row r="40" spans="2:12" x14ac:dyDescent="0.5">
      <c r="B40" s="3" t="s">
        <v>16</v>
      </c>
      <c r="C40">
        <v>0</v>
      </c>
      <c r="D40" s="9">
        <v>0</v>
      </c>
      <c r="F40" s="9"/>
      <c r="H40" s="3" t="s">
        <v>16</v>
      </c>
      <c r="I40" s="38">
        <v>0</v>
      </c>
      <c r="J40" s="9">
        <v>0</v>
      </c>
      <c r="K40" s="38"/>
      <c r="L40" s="9"/>
    </row>
    <row r="41" spans="2:12" ht="14.7" customHeight="1" thickBot="1" x14ac:dyDescent="0.55000000000000004">
      <c r="B41" s="16" t="s">
        <v>26</v>
      </c>
      <c r="C41" s="12">
        <v>2</v>
      </c>
      <c r="D41" s="13">
        <v>2000</v>
      </c>
      <c r="F41" s="9"/>
      <c r="H41" s="16" t="s">
        <v>26</v>
      </c>
      <c r="I41" s="12">
        <v>2</v>
      </c>
      <c r="J41" s="13">
        <v>2000</v>
      </c>
      <c r="K41" s="38"/>
      <c r="L41" s="9"/>
    </row>
    <row r="42" spans="2:12" ht="14.7" customHeight="1" thickBot="1" x14ac:dyDescent="0.55000000000000004">
      <c r="B42" s="8"/>
      <c r="F42" s="9"/>
      <c r="H42" s="8"/>
      <c r="I42" s="38"/>
      <c r="J42" s="38"/>
      <c r="K42" s="38"/>
      <c r="L42" s="9"/>
    </row>
    <row r="43" spans="2:12" ht="14.7" customHeight="1" thickBot="1" x14ac:dyDescent="0.55000000000000004">
      <c r="B43" s="29" t="s">
        <v>27</v>
      </c>
      <c r="C43" s="30"/>
      <c r="D43" s="31"/>
      <c r="F43" s="9"/>
      <c r="H43" s="29" t="s">
        <v>27</v>
      </c>
      <c r="I43" s="30"/>
      <c r="J43" s="31"/>
      <c r="K43" s="38"/>
      <c r="L43" s="9"/>
    </row>
    <row r="44" spans="2:12" ht="14.7" customHeight="1" thickBot="1" x14ac:dyDescent="0.55000000000000004">
      <c r="B44" s="24" t="s">
        <v>23</v>
      </c>
      <c r="C44" s="18" t="s">
        <v>24</v>
      </c>
      <c r="D44" s="19" t="s">
        <v>25</v>
      </c>
      <c r="F44" s="9"/>
      <c r="H44" s="17" t="s">
        <v>23</v>
      </c>
      <c r="I44" s="18" t="s">
        <v>24</v>
      </c>
      <c r="J44" s="19" t="s">
        <v>25</v>
      </c>
      <c r="K44" s="38"/>
      <c r="L44" s="9"/>
    </row>
    <row r="45" spans="2:12" ht="14.7" customHeight="1" thickBot="1" x14ac:dyDescent="0.55000000000000004">
      <c r="B45" s="24" t="s">
        <v>18</v>
      </c>
      <c r="C45" s="12">
        <v>144</v>
      </c>
      <c r="D45" s="13">
        <v>2531.52</v>
      </c>
      <c r="F45" s="9"/>
      <c r="H45" s="24" t="s">
        <v>18</v>
      </c>
      <c r="I45" s="12">
        <v>144</v>
      </c>
      <c r="J45" s="13">
        <v>2531.52</v>
      </c>
      <c r="K45" s="38"/>
      <c r="L45" s="9"/>
    </row>
    <row r="46" spans="2:12" ht="14.7" customHeight="1" thickBot="1" x14ac:dyDescent="0.55000000000000004">
      <c r="B46" s="8"/>
      <c r="F46" s="9"/>
      <c r="H46" s="8"/>
      <c r="I46" s="38"/>
      <c r="J46" s="38"/>
      <c r="K46" s="38"/>
      <c r="L46" s="9"/>
    </row>
    <row r="47" spans="2:12" ht="14.7" customHeight="1" thickBot="1" x14ac:dyDescent="0.55000000000000004">
      <c r="B47" s="29" t="s">
        <v>28</v>
      </c>
      <c r="C47" s="31"/>
      <c r="F47" s="9"/>
      <c r="H47" s="29" t="s">
        <v>28</v>
      </c>
      <c r="I47" s="31"/>
      <c r="J47" s="38"/>
      <c r="K47" s="38"/>
      <c r="L47" s="9"/>
    </row>
    <row r="48" spans="2:12" ht="14.7" customHeight="1" thickBot="1" x14ac:dyDescent="0.55000000000000004">
      <c r="B48" s="11" t="s">
        <v>29</v>
      </c>
      <c r="C48" s="13">
        <v>13200</v>
      </c>
      <c r="F48" s="9"/>
      <c r="H48" s="24" t="s">
        <v>29</v>
      </c>
      <c r="I48" s="13">
        <v>10190</v>
      </c>
      <c r="J48" s="38"/>
      <c r="K48" s="38"/>
      <c r="L48" s="9"/>
    </row>
    <row r="49" spans="2:12" ht="14.7" customHeight="1" thickBot="1" x14ac:dyDescent="0.55000000000000004">
      <c r="B49" s="8"/>
      <c r="F49" s="9"/>
      <c r="H49" s="8"/>
      <c r="I49" s="38"/>
      <c r="J49" s="38"/>
      <c r="K49" s="38"/>
      <c r="L49" s="9"/>
    </row>
    <row r="50" spans="2:12" ht="14.7" customHeight="1" thickBot="1" x14ac:dyDescent="0.55000000000000004">
      <c r="B50" s="29" t="s">
        <v>30</v>
      </c>
      <c r="C50" s="30"/>
      <c r="D50" s="31"/>
      <c r="F50" s="9"/>
      <c r="H50" s="35" t="s">
        <v>30</v>
      </c>
      <c r="I50" s="36"/>
      <c r="J50" s="37"/>
      <c r="K50" s="38"/>
      <c r="L50" s="9"/>
    </row>
    <row r="51" spans="2:12" ht="14.7" customHeight="1" thickBot="1" x14ac:dyDescent="0.55000000000000004">
      <c r="B51" s="11" t="s">
        <v>31</v>
      </c>
      <c r="C51" s="12" t="s">
        <v>32</v>
      </c>
      <c r="D51" s="13" t="s">
        <v>33</v>
      </c>
      <c r="F51" s="9"/>
      <c r="H51" s="24" t="s">
        <v>31</v>
      </c>
      <c r="I51" s="18" t="s">
        <v>61</v>
      </c>
      <c r="J51" s="21" t="s">
        <v>33</v>
      </c>
      <c r="K51" s="38"/>
      <c r="L51" s="9"/>
    </row>
    <row r="52" spans="2:12" ht="14.7" customHeight="1" x14ac:dyDescent="0.5">
      <c r="B52" s="23" t="s">
        <v>34</v>
      </c>
      <c r="C52" s="26">
        <v>2132871.6846637502</v>
      </c>
      <c r="D52" s="27">
        <f>C52*25</f>
        <v>53321792.116593756</v>
      </c>
      <c r="F52" s="9"/>
      <c r="H52" s="3" t="s">
        <v>34</v>
      </c>
      <c r="I52" s="40">
        <v>2967410.3748562499</v>
      </c>
      <c r="J52" s="27">
        <f>I52*25</f>
        <v>74185259.371406242</v>
      </c>
      <c r="K52" s="38"/>
      <c r="L52" s="9"/>
    </row>
    <row r="53" spans="2:12" ht="14.7" customHeight="1" thickBot="1" x14ac:dyDescent="0.55000000000000004">
      <c r="B53" s="16" t="s">
        <v>35</v>
      </c>
      <c r="C53" s="25">
        <v>440744.58202941297</v>
      </c>
      <c r="D53" s="28">
        <f>C53*25</f>
        <v>11018614.550735325</v>
      </c>
      <c r="F53" s="9"/>
      <c r="H53" s="16" t="s">
        <v>35</v>
      </c>
      <c r="I53" s="25">
        <v>588626.94012057479</v>
      </c>
      <c r="J53" s="28">
        <f>I53*25</f>
        <v>14715673.503014369</v>
      </c>
      <c r="K53" s="38"/>
      <c r="L53" s="9"/>
    </row>
    <row r="54" spans="2:12" ht="14.7" customHeight="1" thickBot="1" x14ac:dyDescent="0.55000000000000004">
      <c r="B54" s="8"/>
      <c r="F54" s="9"/>
      <c r="H54" s="8"/>
      <c r="I54" s="39"/>
      <c r="J54" s="10"/>
      <c r="K54" s="38"/>
      <c r="L54" s="9"/>
    </row>
    <row r="55" spans="2:12" ht="14.7" customHeight="1" thickBot="1" x14ac:dyDescent="0.55000000000000004">
      <c r="B55" s="29" t="s">
        <v>36</v>
      </c>
      <c r="C55" s="30"/>
      <c r="D55" s="31"/>
      <c r="F55" s="9"/>
      <c r="H55" s="35" t="s">
        <v>36</v>
      </c>
      <c r="I55" s="36"/>
      <c r="J55" s="37"/>
      <c r="K55" s="38"/>
      <c r="L55" s="9"/>
    </row>
    <row r="56" spans="2:12" ht="14.7" customHeight="1" thickBot="1" x14ac:dyDescent="0.55000000000000004">
      <c r="B56" s="11" t="s">
        <v>31</v>
      </c>
      <c r="C56" s="12" t="s">
        <v>32</v>
      </c>
      <c r="D56" s="13" t="s">
        <v>33</v>
      </c>
      <c r="F56" s="9"/>
      <c r="H56" s="24" t="s">
        <v>31</v>
      </c>
      <c r="I56" s="20">
        <v>805963.31168935099</v>
      </c>
      <c r="J56" s="21" t="s">
        <v>33</v>
      </c>
      <c r="K56" s="38"/>
      <c r="L56" s="9"/>
    </row>
    <row r="57" spans="2:12" ht="14.7" customHeight="1" thickBot="1" x14ac:dyDescent="0.55000000000000004">
      <c r="B57" s="23" t="s">
        <v>34</v>
      </c>
      <c r="C57">
        <v>579298.48225435405</v>
      </c>
      <c r="D57" s="9">
        <f>C57*25</f>
        <v>14482462.056358851</v>
      </c>
      <c r="F57" s="9"/>
      <c r="H57" s="16" t="s">
        <v>34</v>
      </c>
      <c r="I57" s="14">
        <v>226674.5673334758</v>
      </c>
      <c r="J57" s="15">
        <f>I57*25</f>
        <v>5666864.183336895</v>
      </c>
      <c r="K57" s="38"/>
      <c r="L57" s="9"/>
    </row>
    <row r="58" spans="2:12" ht="14.7" customHeight="1" thickBot="1" x14ac:dyDescent="0.55000000000000004">
      <c r="B58" s="16" t="s">
        <v>35</v>
      </c>
      <c r="C58" s="12">
        <v>206305.91805190849</v>
      </c>
      <c r="D58" s="13">
        <f>C58*25</f>
        <v>5157647.9512977125</v>
      </c>
      <c r="F58" s="9"/>
      <c r="H58" s="8" t="s">
        <v>35</v>
      </c>
      <c r="I58" s="12">
        <v>588626.94012057479</v>
      </c>
      <c r="J58" s="38">
        <f>I58*25</f>
        <v>14715673.503014369</v>
      </c>
      <c r="K58" s="38"/>
      <c r="L58" s="9"/>
    </row>
    <row r="59" spans="2:12" ht="14.7" customHeight="1" thickBot="1" x14ac:dyDescent="0.55000000000000004">
      <c r="B59" s="8"/>
      <c r="F59" s="9"/>
      <c r="H59" s="8"/>
      <c r="I59" s="38"/>
      <c r="J59" s="38"/>
      <c r="K59" s="38"/>
      <c r="L59" s="9"/>
    </row>
    <row r="60" spans="2:12" ht="14.7" customHeight="1" thickBot="1" x14ac:dyDescent="0.55000000000000004">
      <c r="B60" s="29" t="s">
        <v>37</v>
      </c>
      <c r="C60" s="31"/>
      <c r="F60" s="9"/>
      <c r="H60" s="29" t="s">
        <v>38</v>
      </c>
      <c r="I60" s="31"/>
      <c r="J60" s="38"/>
      <c r="K60" s="38"/>
      <c r="L60" s="9"/>
    </row>
    <row r="61" spans="2:12" ht="14.7" customHeight="1" thickBot="1" x14ac:dyDescent="0.55000000000000004">
      <c r="B61" s="24" t="s">
        <v>39</v>
      </c>
      <c r="C61" s="13">
        <v>118888.111145043</v>
      </c>
      <c r="F61" s="9"/>
      <c r="H61" s="24" t="s">
        <v>39</v>
      </c>
      <c r="I61" s="13">
        <v>91709.275785744801</v>
      </c>
      <c r="J61" s="38"/>
      <c r="K61" s="38"/>
      <c r="L61" s="9"/>
    </row>
    <row r="62" spans="2:12" ht="14.7" customHeight="1" thickBot="1" x14ac:dyDescent="0.55000000000000004">
      <c r="B62" s="8"/>
      <c r="F62" s="9"/>
      <c r="H62" s="8"/>
      <c r="I62" s="38"/>
      <c r="J62" s="38"/>
      <c r="K62" s="38"/>
      <c r="L62" s="9"/>
    </row>
    <row r="63" spans="2:12" ht="14.7" customHeight="1" thickBot="1" x14ac:dyDescent="0.55000000000000004">
      <c r="B63" s="29" t="s">
        <v>40</v>
      </c>
      <c r="C63" s="31"/>
      <c r="F63" s="9"/>
      <c r="H63" s="29" t="s">
        <v>40</v>
      </c>
      <c r="I63" s="31"/>
      <c r="J63" s="38"/>
      <c r="K63" s="38"/>
      <c r="L63" s="9"/>
    </row>
    <row r="64" spans="2:12" ht="14.7" customHeight="1" thickBot="1" x14ac:dyDescent="0.55000000000000004">
      <c r="B64" s="29">
        <f>E23/B70</f>
        <v>0.85965925959269618</v>
      </c>
      <c r="C64" s="31"/>
      <c r="F64" s="9"/>
      <c r="H64" s="29">
        <f>K23/B70</f>
        <v>1.0234412843117382</v>
      </c>
      <c r="I64" s="31"/>
      <c r="J64" s="38"/>
      <c r="K64" s="38"/>
      <c r="L64" s="9"/>
    </row>
    <row r="65" spans="2:12" x14ac:dyDescent="0.5">
      <c r="B65" s="8"/>
      <c r="F65" s="9"/>
      <c r="H65" s="8"/>
      <c r="I65" s="38"/>
      <c r="J65" s="38"/>
      <c r="K65" s="38"/>
      <c r="L65" s="9"/>
    </row>
    <row r="66" spans="2:12" ht="14.7" customHeight="1" thickBot="1" x14ac:dyDescent="0.55000000000000004">
      <c r="B66" s="11"/>
      <c r="C66" s="12"/>
      <c r="D66" s="12"/>
      <c r="E66" s="12"/>
      <c r="F66" s="13"/>
      <c r="G66" s="12"/>
      <c r="H66" s="11"/>
      <c r="I66" s="12"/>
      <c r="J66" s="12"/>
      <c r="K66" s="12"/>
      <c r="L66" s="13"/>
    </row>
    <row r="67" spans="2:12" ht="14.7" customHeight="1" thickBot="1" x14ac:dyDescent="0.55000000000000004">
      <c r="B67" s="11"/>
      <c r="C67" s="12"/>
      <c r="L67" s="9"/>
    </row>
    <row r="68" spans="2:12" ht="14.7" customHeight="1" thickBot="1" x14ac:dyDescent="0.55000000000000004">
      <c r="B68" s="32" t="s">
        <v>41</v>
      </c>
      <c r="C68" s="33"/>
      <c r="L68" s="9"/>
    </row>
    <row r="69" spans="2:12" ht="14.7" customHeight="1" thickBot="1" x14ac:dyDescent="0.55000000000000004">
      <c r="B69" s="17" t="s">
        <v>42</v>
      </c>
      <c r="C69" s="19" t="s">
        <v>43</v>
      </c>
      <c r="L69" s="9"/>
    </row>
    <row r="70" spans="2:12" ht="14.7" customHeight="1" thickBot="1" x14ac:dyDescent="0.55000000000000004">
      <c r="B70" s="11">
        <f>C108</f>
        <v>3969858.6396530722</v>
      </c>
      <c r="C70" s="13">
        <f>D108</f>
        <v>99246465.991326809</v>
      </c>
      <c r="D70" s="12"/>
      <c r="E70" s="12"/>
      <c r="F70" s="12"/>
      <c r="G70" s="12"/>
      <c r="H70" s="12"/>
      <c r="I70" s="12"/>
      <c r="J70" s="12"/>
      <c r="K70" s="12"/>
      <c r="L70" s="13"/>
    </row>
    <row r="71" spans="2:12" ht="14.7" customHeight="1" thickBot="1" x14ac:dyDescent="0.55000000000000004"/>
    <row r="72" spans="2:12" ht="14.7" customHeight="1" thickBot="1" x14ac:dyDescent="0.55000000000000004">
      <c r="B72" s="29" t="s">
        <v>44</v>
      </c>
      <c r="C72" s="30"/>
      <c r="D72" s="30"/>
      <c r="E72" s="30"/>
      <c r="F72" s="31"/>
    </row>
    <row r="73" spans="2:12" ht="14.7" customHeight="1" thickBot="1" x14ac:dyDescent="0.55000000000000004">
      <c r="B73" s="29" t="s">
        <v>45</v>
      </c>
      <c r="C73" s="30"/>
      <c r="D73" s="30"/>
      <c r="E73" s="30"/>
      <c r="F73" s="31"/>
    </row>
    <row r="74" spans="2:12" ht="14.7" customHeight="1" thickBot="1" x14ac:dyDescent="0.55000000000000004">
      <c r="B74" s="24" t="s">
        <v>46</v>
      </c>
      <c r="C74" s="18" t="s">
        <v>4</v>
      </c>
      <c r="D74" s="18" t="s">
        <v>5</v>
      </c>
      <c r="E74" s="18" t="s">
        <v>6</v>
      </c>
      <c r="F74" s="19" t="s">
        <v>7</v>
      </c>
    </row>
    <row r="75" spans="2:12" x14ac:dyDescent="0.5">
      <c r="B75" s="23" t="s">
        <v>9</v>
      </c>
      <c r="C75">
        <v>31928.605784653319</v>
      </c>
      <c r="D75">
        <v>74500</v>
      </c>
      <c r="E75">
        <f>C75+D75</f>
        <v>106428.60578465332</v>
      </c>
      <c r="F75" s="9">
        <f>E75*25</f>
        <v>2660715.1446163328</v>
      </c>
    </row>
    <row r="76" spans="2:12" x14ac:dyDescent="0.5">
      <c r="B76" s="3" t="s">
        <v>10</v>
      </c>
      <c r="C76">
        <v>0</v>
      </c>
      <c r="D76">
        <v>0</v>
      </c>
      <c r="E76">
        <f>C76+D76</f>
        <v>0</v>
      </c>
      <c r="F76" s="9">
        <f>E76*25</f>
        <v>0</v>
      </c>
    </row>
    <row r="77" spans="2:12" x14ac:dyDescent="0.5">
      <c r="B77" s="3" t="s">
        <v>14</v>
      </c>
      <c r="C77">
        <v>0</v>
      </c>
      <c r="D77">
        <v>0</v>
      </c>
      <c r="E77">
        <f>C77+D77</f>
        <v>0</v>
      </c>
      <c r="F77" s="9">
        <f>E77*25</f>
        <v>0</v>
      </c>
    </row>
    <row r="78" spans="2:12" x14ac:dyDescent="0.5">
      <c r="B78" s="3" t="s">
        <v>47</v>
      </c>
      <c r="C78">
        <v>0</v>
      </c>
      <c r="D78">
        <v>0</v>
      </c>
      <c r="E78">
        <f>C78+D78</f>
        <v>0</v>
      </c>
      <c r="F78" s="9">
        <f>E78*25</f>
        <v>0</v>
      </c>
    </row>
    <row r="79" spans="2:12" ht="14.7" customHeight="1" thickBot="1" x14ac:dyDescent="0.55000000000000004">
      <c r="B79" s="16" t="s">
        <v>48</v>
      </c>
      <c r="C79" s="12"/>
      <c r="D79" s="12"/>
      <c r="E79">
        <f>C79+D79</f>
        <v>0</v>
      </c>
      <c r="F79" s="9">
        <f>E79*25</f>
        <v>0</v>
      </c>
    </row>
    <row r="80" spans="2:12" ht="14.7" customHeight="1" thickBot="1" x14ac:dyDescent="0.55000000000000004">
      <c r="B80" s="17" t="s">
        <v>49</v>
      </c>
      <c r="C80" s="18" t="s">
        <v>4</v>
      </c>
      <c r="D80" s="18" t="s">
        <v>5</v>
      </c>
      <c r="E80" s="18" t="s">
        <v>6</v>
      </c>
      <c r="F80" s="19" t="s">
        <v>7</v>
      </c>
    </row>
    <row r="81" spans="2:6" x14ac:dyDescent="0.5">
      <c r="B81" s="23" t="s">
        <v>18</v>
      </c>
      <c r="C81">
        <v>32501.714291996599</v>
      </c>
      <c r="D81">
        <v>40504.319999999992</v>
      </c>
      <c r="E81">
        <f>C81+D81</f>
        <v>73006.034291996591</v>
      </c>
      <c r="F81" s="9">
        <f>E81*25</f>
        <v>1825150.8572999148</v>
      </c>
    </row>
    <row r="82" spans="2:6" ht="14.7" customHeight="1" thickBot="1" x14ac:dyDescent="0.55000000000000004">
      <c r="B82" s="16" t="s">
        <v>50</v>
      </c>
      <c r="C82" s="12"/>
      <c r="D82" s="12"/>
      <c r="E82">
        <f>C82+D82</f>
        <v>0</v>
      </c>
      <c r="F82" s="9">
        <f>E82*25</f>
        <v>0</v>
      </c>
    </row>
    <row r="83" spans="2:6" ht="14.7" customHeight="1" thickBot="1" x14ac:dyDescent="0.55000000000000004">
      <c r="B83" s="17"/>
      <c r="C83" s="18" t="s">
        <v>4</v>
      </c>
      <c r="D83" s="18" t="s">
        <v>5</v>
      </c>
      <c r="E83" s="18" t="s">
        <v>6</v>
      </c>
      <c r="F83" s="19" t="s">
        <v>7</v>
      </c>
    </row>
    <row r="84" spans="2:6" ht="14.7" customHeight="1" thickBot="1" x14ac:dyDescent="0.55000000000000004">
      <c r="B84" s="24" t="s">
        <v>22</v>
      </c>
      <c r="C84" s="12">
        <v>64430.320076649921</v>
      </c>
      <c r="D84" s="12">
        <v>3290434.6637362991</v>
      </c>
      <c r="E84" s="12">
        <v>3354864.9838129492</v>
      </c>
      <c r="F84" s="13">
        <f>E84*25</f>
        <v>83871624.595323727</v>
      </c>
    </row>
    <row r="85" spans="2:6" ht="14.7" customHeight="1" thickBot="1" x14ac:dyDescent="0.55000000000000004">
      <c r="B85" s="8"/>
      <c r="F85" s="9"/>
    </row>
    <row r="86" spans="2:6" ht="14.7" customHeight="1" thickBot="1" x14ac:dyDescent="0.55000000000000004">
      <c r="B86" s="29" t="s">
        <v>46</v>
      </c>
      <c r="C86" s="30"/>
      <c r="D86" s="31"/>
      <c r="F86" s="9"/>
    </row>
    <row r="87" spans="2:6" ht="14.7" customHeight="1" thickBot="1" x14ac:dyDescent="0.55000000000000004">
      <c r="B87" s="24" t="s">
        <v>23</v>
      </c>
      <c r="C87" s="18" t="s">
        <v>24</v>
      </c>
      <c r="D87" s="19" t="s">
        <v>25</v>
      </c>
      <c r="F87" s="9"/>
    </row>
    <row r="88" spans="2:6" x14ac:dyDescent="0.5">
      <c r="B88" s="23" t="s">
        <v>9</v>
      </c>
      <c r="C88">
        <v>5</v>
      </c>
      <c r="D88" s="9">
        <v>500</v>
      </c>
      <c r="F88" s="9"/>
    </row>
    <row r="89" spans="2:6" x14ac:dyDescent="0.5">
      <c r="B89" s="3" t="s">
        <v>10</v>
      </c>
      <c r="C89">
        <v>0</v>
      </c>
      <c r="D89" s="9">
        <v>0</v>
      </c>
      <c r="F89" s="9"/>
    </row>
    <row r="90" spans="2:6" x14ac:dyDescent="0.5">
      <c r="B90" s="3" t="s">
        <v>14</v>
      </c>
      <c r="C90">
        <v>0</v>
      </c>
      <c r="D90" s="9">
        <v>0</v>
      </c>
      <c r="F90" s="9"/>
    </row>
    <row r="91" spans="2:6" x14ac:dyDescent="0.5">
      <c r="B91" s="3" t="s">
        <v>47</v>
      </c>
      <c r="C91">
        <v>0</v>
      </c>
      <c r="D91" s="9">
        <v>0</v>
      </c>
      <c r="F91" s="9"/>
    </row>
    <row r="92" spans="2:6" ht="14.7" customHeight="1" thickBot="1" x14ac:dyDescent="0.55000000000000004">
      <c r="B92" s="16" t="s">
        <v>26</v>
      </c>
      <c r="C92" s="12">
        <v>5</v>
      </c>
      <c r="D92" s="13">
        <v>500</v>
      </c>
      <c r="F92" s="9"/>
    </row>
    <row r="93" spans="2:6" ht="14.7" customHeight="1" thickBot="1" x14ac:dyDescent="0.55000000000000004">
      <c r="B93" s="8"/>
      <c r="F93" s="9"/>
    </row>
    <row r="94" spans="2:6" ht="14.7" customHeight="1" thickBot="1" x14ac:dyDescent="0.55000000000000004">
      <c r="B94" s="29" t="s">
        <v>51</v>
      </c>
      <c r="C94" s="30"/>
      <c r="D94" s="31"/>
      <c r="F94" s="9"/>
    </row>
    <row r="95" spans="2:6" ht="14.7" customHeight="1" thickBot="1" x14ac:dyDescent="0.55000000000000004">
      <c r="B95" s="17" t="s">
        <v>23</v>
      </c>
      <c r="C95" s="18" t="s">
        <v>24</v>
      </c>
      <c r="D95" s="19" t="s">
        <v>25</v>
      </c>
      <c r="F95" s="9"/>
    </row>
    <row r="96" spans="2:6" ht="14.7" customHeight="1" thickBot="1" x14ac:dyDescent="0.55000000000000004">
      <c r="B96" s="24" t="s">
        <v>18</v>
      </c>
      <c r="C96" s="12">
        <v>144</v>
      </c>
      <c r="D96" s="13">
        <v>2531.52</v>
      </c>
      <c r="F96" s="9"/>
    </row>
    <row r="97" spans="2:6" ht="14.7" customHeight="1" thickBot="1" x14ac:dyDescent="0.55000000000000004">
      <c r="B97" s="8"/>
      <c r="F97" s="9"/>
    </row>
    <row r="98" spans="2:6" ht="14.7" customHeight="1" thickBot="1" x14ac:dyDescent="0.55000000000000004">
      <c r="B98" s="29" t="s">
        <v>52</v>
      </c>
      <c r="C98" s="30"/>
      <c r="D98" s="31"/>
      <c r="F98" s="9"/>
    </row>
    <row r="99" spans="2:6" ht="14.7" customHeight="1" thickBot="1" x14ac:dyDescent="0.55000000000000004">
      <c r="B99" s="17" t="s">
        <v>53</v>
      </c>
      <c r="C99" s="18" t="s">
        <v>54</v>
      </c>
      <c r="D99" s="19" t="s">
        <v>55</v>
      </c>
      <c r="F99" s="9"/>
    </row>
    <row r="100" spans="2:6" x14ac:dyDescent="0.5">
      <c r="B100" s="23" t="s">
        <v>56</v>
      </c>
      <c r="C100">
        <v>716769.2105263141</v>
      </c>
      <c r="D100" s="9">
        <f>C100*25</f>
        <v>17919230.263157852</v>
      </c>
      <c r="F100" s="9"/>
    </row>
    <row r="101" spans="2:6" x14ac:dyDescent="0.5">
      <c r="B101" s="3" t="s">
        <v>57</v>
      </c>
      <c r="C101">
        <v>805124.07667057007</v>
      </c>
      <c r="D101" s="9">
        <f>C101*25</f>
        <v>20128101.916764252</v>
      </c>
      <c r="F101" s="9"/>
    </row>
    <row r="102" spans="2:6" ht="14.7" customHeight="1" thickBot="1" x14ac:dyDescent="0.55000000000000004">
      <c r="B102" s="16" t="s">
        <v>26</v>
      </c>
      <c r="C102" s="12">
        <f>C100+C101</f>
        <v>1521893.2871968842</v>
      </c>
      <c r="D102" s="13">
        <f>C102*25</f>
        <v>38047332.179922104</v>
      </c>
      <c r="F102" s="9"/>
    </row>
    <row r="103" spans="2:6" ht="14.7" customHeight="1" thickBot="1" x14ac:dyDescent="0.55000000000000004">
      <c r="B103" s="8"/>
      <c r="F103" s="9"/>
    </row>
    <row r="104" spans="2:6" ht="14.7" customHeight="1" thickBot="1" x14ac:dyDescent="0.55000000000000004">
      <c r="B104" s="29" t="s">
        <v>58</v>
      </c>
      <c r="C104" s="30"/>
      <c r="D104" s="31"/>
      <c r="F104" s="9"/>
    </row>
    <row r="105" spans="2:6" ht="14.7" customHeight="1" thickBot="1" x14ac:dyDescent="0.55000000000000004">
      <c r="B105" s="17" t="s">
        <v>53</v>
      </c>
      <c r="C105" s="18" t="s">
        <v>59</v>
      </c>
      <c r="D105" s="22" t="s">
        <v>60</v>
      </c>
      <c r="F105" s="9"/>
    </row>
    <row r="106" spans="2:6" x14ac:dyDescent="0.5">
      <c r="B106" s="23" t="s">
        <v>56</v>
      </c>
      <c r="C106">
        <f>2.6085*C100</f>
        <v>1869692.4856578901</v>
      </c>
      <c r="D106" s="9">
        <f>C106*25</f>
        <v>46742312.141447254</v>
      </c>
      <c r="F106" s="9"/>
    </row>
    <row r="107" spans="2:6" x14ac:dyDescent="0.5">
      <c r="B107" s="3" t="s">
        <v>57</v>
      </c>
      <c r="C107">
        <f>2.6085*C101</f>
        <v>2100166.1539951819</v>
      </c>
      <c r="D107" s="9">
        <f>C107*25</f>
        <v>52504153.849879548</v>
      </c>
      <c r="F107" s="9"/>
    </row>
    <row r="108" spans="2:6" ht="14.7" customHeight="1" thickBot="1" x14ac:dyDescent="0.55000000000000004">
      <c r="B108" s="16" t="s">
        <v>26</v>
      </c>
      <c r="C108" s="12">
        <f>2.6085*C102</f>
        <v>3969858.6396530722</v>
      </c>
      <c r="D108" s="13">
        <f>C108*25</f>
        <v>99246465.991326809</v>
      </c>
      <c r="E108" s="12"/>
      <c r="F108" s="13"/>
    </row>
  </sheetData>
  <mergeCells count="30">
    <mergeCell ref="H64:I64"/>
    <mergeCell ref="H50:J50"/>
    <mergeCell ref="H55:J55"/>
    <mergeCell ref="B86:D86"/>
    <mergeCell ref="B104:D104"/>
    <mergeCell ref="B73:F73"/>
    <mergeCell ref="B36:D36"/>
    <mergeCell ref="B94:D94"/>
    <mergeCell ref="B50:D50"/>
    <mergeCell ref="B68:C68"/>
    <mergeCell ref="B64:C64"/>
    <mergeCell ref="B47:C47"/>
    <mergeCell ref="B98:D98"/>
    <mergeCell ref="B72:F72"/>
    <mergeCell ref="H33:I33"/>
    <mergeCell ref="B5:L5"/>
    <mergeCell ref="B63:C63"/>
    <mergeCell ref="B43:D43"/>
    <mergeCell ref="H25:J25"/>
    <mergeCell ref="H6:L6"/>
    <mergeCell ref="H60:I60"/>
    <mergeCell ref="B60:C60"/>
    <mergeCell ref="B55:D55"/>
    <mergeCell ref="H47:I47"/>
    <mergeCell ref="B25:D25"/>
    <mergeCell ref="H43:J43"/>
    <mergeCell ref="B6:F6"/>
    <mergeCell ref="B33:C33"/>
    <mergeCell ref="H36:J36"/>
    <mergeCell ref="H63:I6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B4:N108"/>
  <sheetViews>
    <sheetView tabSelected="1" topLeftCell="A15" zoomScale="70" zoomScaleNormal="70" workbookViewId="0">
      <selection activeCell="M29" sqref="M29"/>
    </sheetView>
  </sheetViews>
  <sheetFormatPr defaultColWidth="39.234375" defaultRowHeight="14.35" x14ac:dyDescent="0.5"/>
  <cols>
    <col min="1" max="1" width="13.52734375" customWidth="1"/>
    <col min="2" max="2" width="15.234375" bestFit="1" customWidth="1"/>
    <col min="3" max="3" width="17.64453125" bestFit="1" customWidth="1"/>
    <col min="4" max="4" width="18.64453125" bestFit="1" customWidth="1"/>
    <col min="5" max="5" width="13.5859375" bestFit="1" customWidth="1"/>
    <col min="6" max="6" width="14.5859375" bestFit="1" customWidth="1"/>
    <col min="7" max="7" width="12.46875" customWidth="1"/>
    <col min="8" max="8" width="15.234375" bestFit="1" customWidth="1"/>
    <col min="9" max="9" width="15.703125" bestFit="1" customWidth="1"/>
    <col min="10" max="10" width="18" bestFit="1" customWidth="1"/>
    <col min="11" max="11" width="12.46875" bestFit="1" customWidth="1"/>
    <col min="12" max="12" width="14.5859375" bestFit="1" customWidth="1"/>
    <col min="13" max="14" width="14.41015625" bestFit="1" customWidth="1"/>
    <col min="15" max="15" width="11.76171875" bestFit="1" customWidth="1"/>
  </cols>
  <sheetData>
    <row r="4" spans="2:14" ht="14.7" customHeight="1" thickBot="1" x14ac:dyDescent="0.55000000000000004"/>
    <row r="5" spans="2:14" ht="14.7" customHeight="1" thickBot="1" x14ac:dyDescent="0.55000000000000004">
      <c r="B5" s="29" t="s">
        <v>0</v>
      </c>
      <c r="C5" s="30"/>
      <c r="D5" s="30"/>
      <c r="E5" s="30"/>
      <c r="F5" s="30"/>
      <c r="G5" s="30"/>
      <c r="H5" s="30"/>
      <c r="I5" s="30"/>
      <c r="J5" s="30"/>
      <c r="K5" s="30"/>
      <c r="L5" s="31"/>
    </row>
    <row r="6" spans="2:14" ht="14.7" customHeight="1" thickBot="1" x14ac:dyDescent="0.55000000000000004">
      <c r="B6" s="29" t="s">
        <v>1</v>
      </c>
      <c r="C6" s="30"/>
      <c r="D6" s="30"/>
      <c r="E6" s="30"/>
      <c r="F6" s="31"/>
      <c r="H6" s="29" t="s">
        <v>2</v>
      </c>
      <c r="I6" s="30"/>
      <c r="J6" s="30"/>
      <c r="K6" s="30"/>
      <c r="L6" s="31"/>
    </row>
    <row r="7" spans="2:14" ht="14.7" customHeight="1" thickBot="1" x14ac:dyDescent="0.55000000000000004">
      <c r="B7" s="24" t="s">
        <v>3</v>
      </c>
      <c r="C7" s="18" t="s">
        <v>4</v>
      </c>
      <c r="D7" s="18" t="s">
        <v>5</v>
      </c>
      <c r="E7" s="18" t="s">
        <v>6</v>
      </c>
      <c r="F7" s="19" t="s">
        <v>7</v>
      </c>
      <c r="H7" s="24" t="s">
        <v>3</v>
      </c>
      <c r="I7" s="18" t="s">
        <v>4</v>
      </c>
      <c r="J7" s="18" t="s">
        <v>5</v>
      </c>
      <c r="K7" s="18" t="s">
        <v>6</v>
      </c>
      <c r="L7" s="19" t="s">
        <v>7</v>
      </c>
    </row>
    <row r="8" spans="2:14" x14ac:dyDescent="0.5">
      <c r="B8" s="3" t="s">
        <v>8</v>
      </c>
      <c r="C8" s="6">
        <f>13698 * D27*((0.05*((1.05)^25))/((1.05^25)-1))</f>
        <v>388762.70403393894</v>
      </c>
      <c r="D8" s="6">
        <f>29*D27</f>
        <v>11600</v>
      </c>
      <c r="E8" s="6">
        <f>C8+D8</f>
        <v>400362.70403393894</v>
      </c>
      <c r="F8" s="10">
        <f>E8*25</f>
        <v>10009067.600848474</v>
      </c>
      <c r="H8" s="3" t="s">
        <v>9</v>
      </c>
      <c r="I8" s="39">
        <f>1615 * J27*((0.05*((1.05)^25))/((1.05^25)-1))</f>
        <v>206258.79336886053</v>
      </c>
      <c r="J8" s="39">
        <f>29*J27</f>
        <v>52200</v>
      </c>
      <c r="K8" s="39">
        <f>I8+J8</f>
        <v>258458.79336886053</v>
      </c>
      <c r="L8" s="10">
        <f>K8*25</f>
        <v>6461469.834221513</v>
      </c>
    </row>
    <row r="9" spans="2:14" x14ac:dyDescent="0.5">
      <c r="B9" s="3" t="s">
        <v>10</v>
      </c>
      <c r="C9" s="6">
        <f>13698 * D28*((0.05*((1.05)^25))/((1.05^25)-1))</f>
        <v>17008368.301484831</v>
      </c>
      <c r="D9" s="6">
        <f>29*D28</f>
        <v>507500</v>
      </c>
      <c r="E9" s="6">
        <f>C9+D9</f>
        <v>17515868.301484831</v>
      </c>
      <c r="F9" s="10">
        <f>E9*25</f>
        <v>437896707.53712076</v>
      </c>
      <c r="H9" s="3" t="s">
        <v>10</v>
      </c>
      <c r="I9" s="39">
        <f>1615 * J28*((0.05*((1.05)^25))/((1.05^25)-1))</f>
        <v>2119882.0429577329</v>
      </c>
      <c r="J9" s="39">
        <f>29*J28</f>
        <v>536500</v>
      </c>
      <c r="K9" s="39">
        <f>I9+J9</f>
        <v>2656382.0429577329</v>
      </c>
      <c r="L9" s="10">
        <f>K9*25</f>
        <v>66409551.073943324</v>
      </c>
      <c r="M9" s="7"/>
      <c r="N9" s="6"/>
    </row>
    <row r="10" spans="2:14" x14ac:dyDescent="0.5">
      <c r="B10" s="3" t="s">
        <v>11</v>
      </c>
      <c r="C10" s="6">
        <f>13698 * D29*((0.05*((1.05)^25))/((1.05^25)-1))</f>
        <v>0</v>
      </c>
      <c r="D10" s="6">
        <f>29*D29</f>
        <v>0</v>
      </c>
      <c r="E10" s="6">
        <f>C10+D10</f>
        <v>0</v>
      </c>
      <c r="F10" s="10">
        <f>E10*25</f>
        <v>0</v>
      </c>
      <c r="H10" s="3" t="s">
        <v>11</v>
      </c>
      <c r="I10" s="39">
        <f>1615 * J29*((0.05*((1.05)^25))/((1.05^25)-1))</f>
        <v>0</v>
      </c>
      <c r="J10" s="39">
        <f>29*J29</f>
        <v>0</v>
      </c>
      <c r="K10" s="39">
        <f>I10+J10</f>
        <v>0</v>
      </c>
      <c r="L10" s="10">
        <f>K10*25</f>
        <v>0</v>
      </c>
      <c r="M10" s="7"/>
    </row>
    <row r="11" spans="2:14" ht="14.7" customHeight="1" thickBot="1" x14ac:dyDescent="0.55000000000000004">
      <c r="B11" s="16" t="s">
        <v>12</v>
      </c>
      <c r="C11" s="14">
        <f>13698 * D30*((0.05*((1.05)^25))/((1.05^25)-1))</f>
        <v>0</v>
      </c>
      <c r="D11" s="14">
        <f>29*D30</f>
        <v>0</v>
      </c>
      <c r="E11" s="14">
        <f>C11+D11</f>
        <v>0</v>
      </c>
      <c r="F11" s="15">
        <f>E11*25</f>
        <v>0</v>
      </c>
      <c r="H11" s="16" t="s">
        <v>12</v>
      </c>
      <c r="I11" s="14">
        <f>1615 * J30*((0.05*((1.05)^25))/((1.05^25)-1))</f>
        <v>0</v>
      </c>
      <c r="J11" s="14">
        <f>29*J30</f>
        <v>0</v>
      </c>
      <c r="K11" s="14">
        <f>I11+J11</f>
        <v>0</v>
      </c>
      <c r="L11" s="13">
        <f>K11*25</f>
        <v>0</v>
      </c>
    </row>
    <row r="12" spans="2:14" ht="14.7" customHeight="1" thickBot="1" x14ac:dyDescent="0.55000000000000004">
      <c r="B12" s="24" t="s">
        <v>13</v>
      </c>
      <c r="C12" s="18" t="s">
        <v>4</v>
      </c>
      <c r="D12" s="18" t="s">
        <v>5</v>
      </c>
      <c r="E12" s="18" t="s">
        <v>6</v>
      </c>
      <c r="F12" s="19" t="s">
        <v>7</v>
      </c>
      <c r="H12" s="24" t="s">
        <v>13</v>
      </c>
      <c r="I12" s="18" t="s">
        <v>4</v>
      </c>
      <c r="J12" s="18" t="s">
        <v>5</v>
      </c>
      <c r="K12" s="18" t="s">
        <v>6</v>
      </c>
      <c r="L12" s="19" t="s">
        <v>7</v>
      </c>
    </row>
    <row r="13" spans="2:14" x14ac:dyDescent="0.5">
      <c r="B13" s="3" t="s">
        <v>14</v>
      </c>
      <c r="C13" s="4">
        <f>2490 * D38*((0.05*((1.05)^10))/((1.05^10)-1))</f>
        <v>0</v>
      </c>
      <c r="D13" s="1">
        <f>37.35*D38</f>
        <v>0</v>
      </c>
      <c r="E13">
        <f>C13+D13</f>
        <v>0</v>
      </c>
      <c r="F13" s="9">
        <f>E13*25</f>
        <v>0</v>
      </c>
      <c r="H13" s="3" t="s">
        <v>14</v>
      </c>
      <c r="I13" s="4">
        <f>2490 * J38*((0.05*((1.05)^10))/((1.05^10)-1))</f>
        <v>0</v>
      </c>
      <c r="J13" s="1">
        <f>37.35*J38</f>
        <v>0</v>
      </c>
      <c r="K13" s="39">
        <f>I13+J13</f>
        <v>0</v>
      </c>
      <c r="L13" s="10">
        <f>K13*25</f>
        <v>0</v>
      </c>
    </row>
    <row r="14" spans="2:14" x14ac:dyDescent="0.5">
      <c r="B14" s="3" t="s">
        <v>15</v>
      </c>
      <c r="C14" s="4">
        <f>1570 * D39*((0.05*((1.05)^10))/((1.05^10)-1))</f>
        <v>4066443.6539153405</v>
      </c>
      <c r="D14" s="1">
        <f>23.55*D39</f>
        <v>471000</v>
      </c>
      <c r="E14">
        <f>C14+D14</f>
        <v>4537443.6539153401</v>
      </c>
      <c r="F14" s="9">
        <f>E14*25</f>
        <v>113436091.34788351</v>
      </c>
      <c r="H14" s="3" t="s">
        <v>15</v>
      </c>
      <c r="I14" s="4">
        <f>1570 * J39*((0.05*((1.05)^10))/((1.05^10)-1))</f>
        <v>4066443.6539153405</v>
      </c>
      <c r="J14" s="1">
        <f>23.55*J39</f>
        <v>471000</v>
      </c>
      <c r="K14" s="38">
        <f>I14+J14</f>
        <v>4537443.6539153401</v>
      </c>
      <c r="L14" s="10">
        <f>K14*25</f>
        <v>113436091.34788351</v>
      </c>
    </row>
    <row r="15" spans="2:14" ht="14.7" customHeight="1" thickBot="1" x14ac:dyDescent="0.55000000000000004">
      <c r="B15" s="16" t="s">
        <v>16</v>
      </c>
      <c r="C15" s="5">
        <f>1190 * D40*((0.05*((1.05)^10))/((1.05^10)-1))</f>
        <v>0</v>
      </c>
      <c r="D15" s="2">
        <f>17.85*D40</f>
        <v>0</v>
      </c>
      <c r="E15" s="12">
        <f>C15+D15</f>
        <v>0</v>
      </c>
      <c r="F15" s="13">
        <f>E15*25</f>
        <v>0</v>
      </c>
      <c r="H15" s="16" t="s">
        <v>16</v>
      </c>
      <c r="I15" s="5">
        <f>1190 * J40*((0.05*((1.05)^10))/((1.05^10)-1))</f>
        <v>0</v>
      </c>
      <c r="J15" s="2">
        <f>17.85*J40</f>
        <v>0</v>
      </c>
      <c r="K15" s="12">
        <f>I15+J15</f>
        <v>0</v>
      </c>
      <c r="L15" s="15">
        <f>K15*25</f>
        <v>0</v>
      </c>
    </row>
    <row r="16" spans="2:14" ht="14.7" customHeight="1" thickBot="1" x14ac:dyDescent="0.55000000000000004">
      <c r="B16" s="24" t="s">
        <v>17</v>
      </c>
      <c r="C16" s="18" t="s">
        <v>4</v>
      </c>
      <c r="D16" s="18" t="s">
        <v>5</v>
      </c>
      <c r="E16" s="18" t="s">
        <v>6</v>
      </c>
      <c r="F16" s="19" t="s">
        <v>7</v>
      </c>
      <c r="H16" s="24" t="s">
        <v>17</v>
      </c>
      <c r="I16" s="18" t="s">
        <v>4</v>
      </c>
      <c r="J16" s="18" t="s">
        <v>5</v>
      </c>
      <c r="K16" s="18" t="s">
        <v>6</v>
      </c>
      <c r="L16" s="19" t="s">
        <v>7</v>
      </c>
    </row>
    <row r="17" spans="2:14" ht="14.7" customHeight="1" thickBot="1" x14ac:dyDescent="0.55000000000000004">
      <c r="B17" s="16" t="s">
        <v>18</v>
      </c>
      <c r="C17" s="12">
        <v>249405.51592122391</v>
      </c>
      <c r="D17" s="12">
        <v>310814.40000000002</v>
      </c>
      <c r="E17" s="12">
        <f>D17+C17</f>
        <v>560219.91592122393</v>
      </c>
      <c r="F17" s="13">
        <f>E17*25</f>
        <v>14005497.898030598</v>
      </c>
      <c r="H17" s="16" t="s">
        <v>18</v>
      </c>
      <c r="I17" s="12">
        <v>249405.51592122391</v>
      </c>
      <c r="J17" s="12">
        <v>310814.40000000002</v>
      </c>
      <c r="K17" s="12">
        <f>J17+I17</f>
        <v>560219.91592122393</v>
      </c>
      <c r="L17" s="15">
        <f>K17*25</f>
        <v>14005497.898030598</v>
      </c>
    </row>
    <row r="18" spans="2:14" ht="14.7" customHeight="1" thickBot="1" x14ac:dyDescent="0.55000000000000004">
      <c r="B18" s="24" t="s">
        <v>19</v>
      </c>
      <c r="C18" s="18" t="s">
        <v>4</v>
      </c>
      <c r="D18" s="18" t="s">
        <v>5</v>
      </c>
      <c r="E18" s="18" t="s">
        <v>6</v>
      </c>
      <c r="F18" s="19" t="s">
        <v>7</v>
      </c>
      <c r="H18" s="24" t="s">
        <v>20</v>
      </c>
      <c r="I18" s="18" t="s">
        <v>4</v>
      </c>
      <c r="J18" s="18" t="s">
        <v>5</v>
      </c>
      <c r="K18" s="18" t="s">
        <v>6</v>
      </c>
      <c r="L18" s="19" t="s">
        <v>7</v>
      </c>
    </row>
    <row r="19" spans="2:14" ht="14.7" customHeight="1" thickBot="1" x14ac:dyDescent="0.55000000000000004">
      <c r="B19" s="11"/>
      <c r="C19" s="12">
        <f>C48*300*((0.05*((1.05)^20))/((1.05^20)-1))</f>
        <v>1463624.7903582095</v>
      </c>
      <c r="D19" s="12">
        <v>0</v>
      </c>
      <c r="E19" s="12">
        <f>D19+C19</f>
        <v>1463624.7903582095</v>
      </c>
      <c r="F19" s="13">
        <f>E19*25</f>
        <v>36590619.75895524</v>
      </c>
      <c r="H19" s="11"/>
      <c r="I19" s="14">
        <f>(I48/10)*3000*((0.05*((1.05)^20))/((1.05^20)-1))</f>
        <v>327389.75573802058</v>
      </c>
      <c r="J19" s="12">
        <v>0</v>
      </c>
      <c r="K19" s="12">
        <f>J19+I19</f>
        <v>327389.75573802058</v>
      </c>
      <c r="L19" s="15">
        <f>K19*25</f>
        <v>8184743.8934505144</v>
      </c>
    </row>
    <row r="20" spans="2:14" ht="14.7" customHeight="1" thickBot="1" x14ac:dyDescent="0.55000000000000004">
      <c r="B20" s="24" t="s">
        <v>21</v>
      </c>
      <c r="C20" s="18" t="s">
        <v>4</v>
      </c>
      <c r="D20" s="18" t="s">
        <v>5</v>
      </c>
      <c r="E20" s="18" t="s">
        <v>6</v>
      </c>
      <c r="F20" s="19" t="s">
        <v>7</v>
      </c>
      <c r="H20" s="24" t="s">
        <v>21</v>
      </c>
      <c r="I20" s="18" t="s">
        <v>4</v>
      </c>
      <c r="J20" s="18" t="s">
        <v>5</v>
      </c>
      <c r="K20" s="18" t="s">
        <v>6</v>
      </c>
      <c r="L20" s="19" t="s">
        <v>7</v>
      </c>
    </row>
    <row r="21" spans="2:14" ht="14.7" customHeight="1" thickBot="1" x14ac:dyDescent="0.55000000000000004">
      <c r="B21" s="11"/>
      <c r="C21" s="12">
        <v>0</v>
      </c>
      <c r="D21" s="12">
        <v>0</v>
      </c>
      <c r="E21" s="12">
        <f>C21+D21</f>
        <v>0</v>
      </c>
      <c r="F21" s="13">
        <f>E21*25</f>
        <v>0</v>
      </c>
      <c r="H21" s="11"/>
      <c r="I21" s="12">
        <v>271.70140022768072</v>
      </c>
      <c r="J21" s="12">
        <v>38</v>
      </c>
      <c r="K21" s="12">
        <f>J21+I21</f>
        <v>309.70140022768072</v>
      </c>
      <c r="L21" s="13">
        <f>K21*25</f>
        <v>7742.5350056920179</v>
      </c>
    </row>
    <row r="22" spans="2:14" ht="14.7" customHeight="1" thickBot="1" x14ac:dyDescent="0.55000000000000004">
      <c r="B22" s="17"/>
      <c r="C22" s="18" t="s">
        <v>4</v>
      </c>
      <c r="D22" s="18" t="s">
        <v>5</v>
      </c>
      <c r="E22" s="18" t="s">
        <v>6</v>
      </c>
      <c r="F22" s="19" t="s">
        <v>7</v>
      </c>
      <c r="H22" s="17"/>
      <c r="I22" s="18" t="s">
        <v>4</v>
      </c>
      <c r="J22" s="18" t="s">
        <v>5</v>
      </c>
      <c r="K22" s="18" t="s">
        <v>6</v>
      </c>
      <c r="L22" s="19" t="s">
        <v>7</v>
      </c>
    </row>
    <row r="23" spans="2:14" ht="14.7" customHeight="1" thickBot="1" x14ac:dyDescent="0.55000000000000004">
      <c r="B23" s="24" t="s">
        <v>22</v>
      </c>
      <c r="C23" s="12">
        <v>23176604.965713531</v>
      </c>
      <c r="D23" s="12">
        <v>1300914.3999999999</v>
      </c>
      <c r="E23" s="25">
        <v>24477519.365713529</v>
      </c>
      <c r="F23" s="13">
        <f>D23*25</f>
        <v>32522859.999999996</v>
      </c>
      <c r="H23" s="24" t="s">
        <v>22</v>
      </c>
      <c r="I23" s="14">
        <v>6969651.4633014044</v>
      </c>
      <c r="J23" s="14">
        <v>1370552.4</v>
      </c>
      <c r="K23" s="14">
        <v>4062917.2247025901</v>
      </c>
      <c r="L23" s="15">
        <f>K23*25</f>
        <v>101572930.61756475</v>
      </c>
      <c r="M23" s="6"/>
    </row>
    <row r="24" spans="2:14" ht="14.7" customHeight="1" thickBot="1" x14ac:dyDescent="0.55000000000000004">
      <c r="B24" s="8"/>
      <c r="F24" s="9"/>
      <c r="H24" s="8"/>
      <c r="I24" s="39"/>
      <c r="J24" s="39"/>
      <c r="K24" s="39"/>
      <c r="L24" s="10"/>
      <c r="M24" s="6"/>
      <c r="N24" s="7"/>
    </row>
    <row r="25" spans="2:14" ht="14.7" customHeight="1" thickBot="1" x14ac:dyDescent="0.55000000000000004">
      <c r="B25" s="29" t="s">
        <v>3</v>
      </c>
      <c r="C25" s="30"/>
      <c r="D25" s="31"/>
      <c r="F25" s="9"/>
      <c r="H25" s="29" t="s">
        <v>3</v>
      </c>
      <c r="I25" s="30"/>
      <c r="J25" s="31"/>
      <c r="K25" s="38"/>
      <c r="L25" s="10"/>
      <c r="M25" s="6"/>
    </row>
    <row r="26" spans="2:14" ht="14.7" customHeight="1" thickBot="1" x14ac:dyDescent="0.55000000000000004">
      <c r="B26" s="17" t="s">
        <v>23</v>
      </c>
      <c r="C26" s="18" t="s">
        <v>24</v>
      </c>
      <c r="D26" s="19" t="s">
        <v>25</v>
      </c>
      <c r="F26" s="9"/>
      <c r="H26" s="17" t="s">
        <v>23</v>
      </c>
      <c r="I26" s="18" t="s">
        <v>24</v>
      </c>
      <c r="J26" s="19" t="s">
        <v>25</v>
      </c>
      <c r="K26" s="38"/>
      <c r="L26" s="10"/>
      <c r="M26" s="6"/>
    </row>
    <row r="27" spans="2:14" x14ac:dyDescent="0.5">
      <c r="B27" s="23" t="s">
        <v>9</v>
      </c>
      <c r="C27">
        <v>4</v>
      </c>
      <c r="D27" s="9">
        <v>400</v>
      </c>
      <c r="F27" s="9"/>
      <c r="H27" s="8" t="s">
        <v>9</v>
      </c>
      <c r="I27" s="38">
        <v>18</v>
      </c>
      <c r="J27" s="9">
        <v>1800</v>
      </c>
      <c r="K27" s="38"/>
      <c r="L27" s="9"/>
    </row>
    <row r="28" spans="2:14" x14ac:dyDescent="0.5">
      <c r="B28" s="3" t="s">
        <v>10</v>
      </c>
      <c r="C28">
        <v>35</v>
      </c>
      <c r="D28" s="9">
        <v>17500</v>
      </c>
      <c r="F28" s="9"/>
      <c r="H28" s="8" t="s">
        <v>10</v>
      </c>
      <c r="I28" s="38">
        <v>37</v>
      </c>
      <c r="J28" s="9">
        <v>18500</v>
      </c>
      <c r="K28" s="38"/>
      <c r="L28" s="9"/>
    </row>
    <row r="29" spans="2:14" x14ac:dyDescent="0.5">
      <c r="B29" s="3" t="s">
        <v>11</v>
      </c>
      <c r="C29">
        <v>0</v>
      </c>
      <c r="D29" s="9">
        <v>0</v>
      </c>
      <c r="F29" s="9"/>
      <c r="H29" s="8" t="s">
        <v>11</v>
      </c>
      <c r="I29" s="38">
        <v>0</v>
      </c>
      <c r="J29" s="9">
        <v>0</v>
      </c>
      <c r="K29" s="38"/>
      <c r="L29" s="9"/>
    </row>
    <row r="30" spans="2:14" x14ac:dyDescent="0.5">
      <c r="B30" s="3" t="s">
        <v>12</v>
      </c>
      <c r="C30">
        <v>0</v>
      </c>
      <c r="D30" s="9">
        <v>0</v>
      </c>
      <c r="F30" s="9"/>
      <c r="H30" s="8" t="s">
        <v>12</v>
      </c>
      <c r="I30" s="38">
        <v>0</v>
      </c>
      <c r="J30" s="9">
        <v>0</v>
      </c>
      <c r="K30" s="38"/>
      <c r="L30" s="9"/>
    </row>
    <row r="31" spans="2:14" ht="14.7" customHeight="1" thickBot="1" x14ac:dyDescent="0.55000000000000004">
      <c r="B31" s="16" t="s">
        <v>26</v>
      </c>
      <c r="C31" s="12">
        <v>39</v>
      </c>
      <c r="D31" s="13">
        <v>17900</v>
      </c>
      <c r="F31" s="9"/>
      <c r="H31" s="11" t="s">
        <v>26</v>
      </c>
      <c r="I31" s="12">
        <v>55</v>
      </c>
      <c r="J31" s="13">
        <v>20300</v>
      </c>
      <c r="K31" s="38"/>
      <c r="L31" s="9"/>
    </row>
    <row r="32" spans="2:14" ht="14.7" customHeight="1" thickBot="1" x14ac:dyDescent="0.55000000000000004">
      <c r="B32" s="8"/>
      <c r="F32" s="9"/>
      <c r="H32" s="8"/>
      <c r="I32" s="38"/>
      <c r="J32" s="38"/>
      <c r="K32" s="38"/>
      <c r="L32" s="9"/>
    </row>
    <row r="33" spans="2:12" ht="14.7" customHeight="1" thickBot="1" x14ac:dyDescent="0.55000000000000004">
      <c r="B33" s="29" t="s">
        <v>21</v>
      </c>
      <c r="C33" s="31"/>
      <c r="F33" s="9"/>
      <c r="H33" s="29" t="s">
        <v>21</v>
      </c>
      <c r="I33" s="31"/>
      <c r="J33" s="38"/>
      <c r="K33" s="38"/>
      <c r="L33" s="9"/>
    </row>
    <row r="34" spans="2:12" ht="14.7" customHeight="1" thickBot="1" x14ac:dyDescent="0.55000000000000004">
      <c r="B34" s="24" t="s">
        <v>25</v>
      </c>
      <c r="C34" s="13">
        <v>0</v>
      </c>
      <c r="F34" s="9"/>
      <c r="H34" s="24" t="s">
        <v>25</v>
      </c>
      <c r="I34" s="13">
        <v>2</v>
      </c>
      <c r="J34" s="38"/>
      <c r="K34" s="38"/>
      <c r="L34" s="9"/>
    </row>
    <row r="35" spans="2:12" ht="14.7" customHeight="1" thickBot="1" x14ac:dyDescent="0.55000000000000004">
      <c r="B35" s="8"/>
      <c r="F35" s="9"/>
      <c r="H35" s="8"/>
      <c r="I35" s="38"/>
      <c r="J35" s="38"/>
      <c r="K35" s="38"/>
      <c r="L35" s="9"/>
    </row>
    <row r="36" spans="2:12" ht="14.7" customHeight="1" thickBot="1" x14ac:dyDescent="0.55000000000000004">
      <c r="B36" s="29" t="s">
        <v>13</v>
      </c>
      <c r="C36" s="30"/>
      <c r="D36" s="31"/>
      <c r="F36" s="9"/>
      <c r="H36" s="29" t="s">
        <v>13</v>
      </c>
      <c r="I36" s="30"/>
      <c r="J36" s="31"/>
      <c r="K36" s="38"/>
      <c r="L36" s="9"/>
    </row>
    <row r="37" spans="2:12" ht="14.7" customHeight="1" thickBot="1" x14ac:dyDescent="0.55000000000000004">
      <c r="B37" s="24" t="s">
        <v>23</v>
      </c>
      <c r="C37" s="18" t="s">
        <v>24</v>
      </c>
      <c r="D37" s="19" t="s">
        <v>25</v>
      </c>
      <c r="F37" s="9"/>
      <c r="H37" s="17" t="s">
        <v>23</v>
      </c>
      <c r="I37" s="18" t="s">
        <v>24</v>
      </c>
      <c r="J37" s="19" t="s">
        <v>25</v>
      </c>
      <c r="K37" s="38"/>
      <c r="L37" s="9"/>
    </row>
    <row r="38" spans="2:12" x14ac:dyDescent="0.5">
      <c r="B38" s="23" t="s">
        <v>14</v>
      </c>
      <c r="C38">
        <v>0</v>
      </c>
      <c r="D38" s="9">
        <v>0</v>
      </c>
      <c r="F38" s="9"/>
      <c r="H38" s="23" t="s">
        <v>14</v>
      </c>
      <c r="I38" s="38">
        <v>0</v>
      </c>
      <c r="J38" s="9">
        <v>0</v>
      </c>
      <c r="K38" s="38"/>
      <c r="L38" s="9"/>
    </row>
    <row r="39" spans="2:12" x14ac:dyDescent="0.5">
      <c r="B39" s="3" t="s">
        <v>15</v>
      </c>
      <c r="C39">
        <v>1</v>
      </c>
      <c r="D39" s="9">
        <v>20000</v>
      </c>
      <c r="F39" s="9"/>
      <c r="H39" s="3" t="s">
        <v>15</v>
      </c>
      <c r="I39" s="38">
        <v>1</v>
      </c>
      <c r="J39" s="9">
        <v>20000</v>
      </c>
      <c r="K39" s="38"/>
      <c r="L39" s="9"/>
    </row>
    <row r="40" spans="2:12" x14ac:dyDescent="0.5">
      <c r="B40" s="3" t="s">
        <v>16</v>
      </c>
      <c r="C40">
        <v>0</v>
      </c>
      <c r="D40" s="9">
        <v>0</v>
      </c>
      <c r="F40" s="9"/>
      <c r="H40" s="3" t="s">
        <v>16</v>
      </c>
      <c r="I40" s="38">
        <v>0</v>
      </c>
      <c r="J40" s="9">
        <v>0</v>
      </c>
      <c r="K40" s="38"/>
      <c r="L40" s="9"/>
    </row>
    <row r="41" spans="2:12" ht="14.7" customHeight="1" thickBot="1" x14ac:dyDescent="0.55000000000000004">
      <c r="B41" s="16" t="s">
        <v>26</v>
      </c>
      <c r="C41" s="12">
        <v>1</v>
      </c>
      <c r="D41" s="13">
        <v>20000</v>
      </c>
      <c r="F41" s="9"/>
      <c r="H41" s="16" t="s">
        <v>26</v>
      </c>
      <c r="I41" s="12">
        <v>1</v>
      </c>
      <c r="J41" s="13">
        <v>20000</v>
      </c>
      <c r="K41" s="38"/>
      <c r="L41" s="9"/>
    </row>
    <row r="42" spans="2:12" ht="14.7" customHeight="1" thickBot="1" x14ac:dyDescent="0.55000000000000004">
      <c r="B42" s="8"/>
      <c r="F42" s="9"/>
      <c r="H42" s="8"/>
      <c r="I42" s="38"/>
      <c r="J42" s="38"/>
      <c r="K42" s="38"/>
      <c r="L42" s="9"/>
    </row>
    <row r="43" spans="2:12" ht="14.7" customHeight="1" thickBot="1" x14ac:dyDescent="0.55000000000000004">
      <c r="B43" s="29" t="s">
        <v>27</v>
      </c>
      <c r="C43" s="30"/>
      <c r="D43" s="31"/>
      <c r="F43" s="9"/>
      <c r="H43" s="29" t="s">
        <v>27</v>
      </c>
      <c r="I43" s="30"/>
      <c r="J43" s="31"/>
      <c r="K43" s="38"/>
      <c r="L43" s="9"/>
    </row>
    <row r="44" spans="2:12" ht="14.7" customHeight="1" thickBot="1" x14ac:dyDescent="0.55000000000000004">
      <c r="B44" s="24" t="s">
        <v>23</v>
      </c>
      <c r="C44" s="18" t="s">
        <v>24</v>
      </c>
      <c r="D44" s="19" t="s">
        <v>25</v>
      </c>
      <c r="F44" s="9"/>
      <c r="H44" s="17" t="s">
        <v>23</v>
      </c>
      <c r="I44" s="18" t="s">
        <v>24</v>
      </c>
      <c r="J44" s="19" t="s">
        <v>25</v>
      </c>
      <c r="K44" s="38"/>
      <c r="L44" s="9"/>
    </row>
    <row r="45" spans="2:12" ht="14.7" customHeight="1" thickBot="1" x14ac:dyDescent="0.55000000000000004">
      <c r="B45" s="24" t="s">
        <v>18</v>
      </c>
      <c r="C45" s="12">
        <v>1105</v>
      </c>
      <c r="D45" s="13">
        <v>19425.900000000001</v>
      </c>
      <c r="F45" s="9"/>
      <c r="H45" s="24" t="s">
        <v>18</v>
      </c>
      <c r="I45" s="12">
        <v>1105</v>
      </c>
      <c r="J45" s="13">
        <v>19425.900000000001</v>
      </c>
      <c r="K45" s="38"/>
      <c r="L45" s="9"/>
    </row>
    <row r="46" spans="2:12" ht="14.7" customHeight="1" thickBot="1" x14ac:dyDescent="0.55000000000000004">
      <c r="B46" s="8"/>
      <c r="F46" s="9"/>
      <c r="H46" s="8"/>
      <c r="I46" s="38"/>
      <c r="J46" s="38"/>
      <c r="K46" s="38"/>
      <c r="L46" s="9"/>
    </row>
    <row r="47" spans="2:12" ht="14.7" customHeight="1" thickBot="1" x14ac:dyDescent="0.55000000000000004">
      <c r="B47" s="29" t="s">
        <v>28</v>
      </c>
      <c r="C47" s="31"/>
      <c r="F47" s="9"/>
      <c r="H47" s="29" t="s">
        <v>28</v>
      </c>
      <c r="I47" s="31"/>
      <c r="J47" s="38"/>
      <c r="K47" s="38"/>
      <c r="L47" s="9"/>
    </row>
    <row r="48" spans="2:12" ht="14.7" customHeight="1" thickBot="1" x14ac:dyDescent="0.55000000000000004">
      <c r="B48" s="11" t="s">
        <v>29</v>
      </c>
      <c r="C48" s="13">
        <v>60800</v>
      </c>
      <c r="F48" s="9"/>
      <c r="H48" s="24" t="s">
        <v>29</v>
      </c>
      <c r="I48" s="13">
        <v>13600</v>
      </c>
      <c r="J48" s="38"/>
      <c r="K48" s="38"/>
      <c r="L48" s="9"/>
    </row>
    <row r="49" spans="2:12" ht="14.7" customHeight="1" thickBot="1" x14ac:dyDescent="0.55000000000000004">
      <c r="B49" s="8"/>
      <c r="F49" s="9"/>
      <c r="H49" s="8"/>
      <c r="I49" s="38"/>
      <c r="J49" s="38"/>
      <c r="K49" s="38"/>
      <c r="L49" s="9"/>
    </row>
    <row r="50" spans="2:12" ht="14.7" customHeight="1" thickBot="1" x14ac:dyDescent="0.55000000000000004">
      <c r="B50" s="29" t="s">
        <v>30</v>
      </c>
      <c r="C50" s="30"/>
      <c r="D50" s="31"/>
      <c r="F50" s="9"/>
      <c r="H50" s="35" t="s">
        <v>30</v>
      </c>
      <c r="I50" s="36"/>
      <c r="J50" s="37"/>
      <c r="K50" s="38"/>
      <c r="L50" s="9"/>
    </row>
    <row r="51" spans="2:12" ht="14.7" customHeight="1" thickBot="1" x14ac:dyDescent="0.55000000000000004">
      <c r="B51" s="11" t="s">
        <v>31</v>
      </c>
      <c r="C51" s="12" t="s">
        <v>32</v>
      </c>
      <c r="D51" s="13" t="s">
        <v>33</v>
      </c>
      <c r="F51" s="9"/>
      <c r="H51" s="24" t="s">
        <v>31</v>
      </c>
      <c r="I51" s="18" t="s">
        <v>61</v>
      </c>
      <c r="J51" s="21" t="s">
        <v>33</v>
      </c>
      <c r="K51" s="38"/>
      <c r="L51" s="9"/>
    </row>
    <row r="52" spans="2:12" ht="14.7" customHeight="1" x14ac:dyDescent="0.5">
      <c r="B52" s="23" t="s">
        <v>34</v>
      </c>
      <c r="C52" s="26">
        <v>20051569.977211699</v>
      </c>
      <c r="D52" s="27">
        <f>C52*25</f>
        <v>501289249.43029249</v>
      </c>
      <c r="F52" s="9"/>
      <c r="H52" s="3" t="s">
        <v>34</v>
      </c>
      <c r="I52" s="40">
        <v>25296799.500420298</v>
      </c>
      <c r="J52" s="27">
        <f>I52*25</f>
        <v>632419987.51050746</v>
      </c>
      <c r="K52" s="38"/>
      <c r="L52" s="9"/>
    </row>
    <row r="53" spans="2:12" ht="14.7" customHeight="1" thickBot="1" x14ac:dyDescent="0.55000000000000004">
      <c r="B53" s="16" t="s">
        <v>35</v>
      </c>
      <c r="C53" s="25">
        <v>1995506.2949403529</v>
      </c>
      <c r="D53" s="28">
        <f>C53*25</f>
        <v>49887657.373508826</v>
      </c>
      <c r="F53" s="9"/>
      <c r="H53" s="16" t="s">
        <v>35</v>
      </c>
      <c r="I53" s="25">
        <v>888403.71177142404</v>
      </c>
      <c r="J53" s="28">
        <f>I53*25</f>
        <v>22210092.794285603</v>
      </c>
      <c r="K53" s="38"/>
      <c r="L53" s="9"/>
    </row>
    <row r="54" spans="2:12" ht="14.7" customHeight="1" thickBot="1" x14ac:dyDescent="0.55000000000000004">
      <c r="B54" s="8"/>
      <c r="F54" s="9"/>
      <c r="H54" s="8"/>
      <c r="I54" s="39"/>
      <c r="J54" s="10"/>
      <c r="K54" s="38"/>
      <c r="L54" s="9"/>
    </row>
    <row r="55" spans="2:12" ht="14.7" customHeight="1" thickBot="1" x14ac:dyDescent="0.55000000000000004">
      <c r="B55" s="29" t="s">
        <v>36</v>
      </c>
      <c r="C55" s="30"/>
      <c r="D55" s="31"/>
      <c r="F55" s="9"/>
      <c r="H55" s="35" t="s">
        <v>36</v>
      </c>
      <c r="I55" s="36"/>
      <c r="J55" s="37"/>
      <c r="K55" s="38"/>
      <c r="L55" s="9"/>
    </row>
    <row r="56" spans="2:12" ht="14.7" customHeight="1" thickBot="1" x14ac:dyDescent="0.55000000000000004">
      <c r="B56" s="11" t="s">
        <v>31</v>
      </c>
      <c r="C56" s="12" t="s">
        <v>32</v>
      </c>
      <c r="D56" s="13" t="s">
        <v>33</v>
      </c>
      <c r="F56" s="9"/>
      <c r="H56" s="24" t="s">
        <v>31</v>
      </c>
      <c r="I56" s="20">
        <v>6870735.6667808602</v>
      </c>
      <c r="J56" s="21" t="s">
        <v>33</v>
      </c>
      <c r="K56" s="38"/>
      <c r="L56" s="9"/>
    </row>
    <row r="57" spans="2:12" ht="14.7" customHeight="1" thickBot="1" x14ac:dyDescent="0.55000000000000004">
      <c r="B57" s="23" t="s">
        <v>34</v>
      </c>
      <c r="C57">
        <v>5446105.4259093599</v>
      </c>
      <c r="D57" s="9">
        <f>C57*25</f>
        <v>136152635.64773399</v>
      </c>
      <c r="F57" s="9"/>
      <c r="H57" s="16" t="s">
        <v>34</v>
      </c>
      <c r="I57" s="14">
        <v>330450.390851498</v>
      </c>
      <c r="J57" s="15">
        <f>I57*25</f>
        <v>8261259.7712874496</v>
      </c>
      <c r="K57" s="38"/>
      <c r="L57" s="9"/>
    </row>
    <row r="58" spans="2:12" ht="14.7" customHeight="1" thickBot="1" x14ac:dyDescent="0.55000000000000004">
      <c r="B58" s="16" t="s">
        <v>35</v>
      </c>
      <c r="C58" s="12">
        <v>940565.72779639298</v>
      </c>
      <c r="D58" s="13">
        <f>C58*25</f>
        <v>23514143.194909826</v>
      </c>
      <c r="F58" s="9"/>
      <c r="H58" s="8" t="s">
        <v>35</v>
      </c>
      <c r="I58" s="12">
        <v>888403.71177142404</v>
      </c>
      <c r="J58" s="38">
        <f>I58*25</f>
        <v>22210092.794285603</v>
      </c>
      <c r="K58" s="38"/>
      <c r="L58" s="9"/>
    </row>
    <row r="59" spans="2:12" ht="14.7" customHeight="1" thickBot="1" x14ac:dyDescent="0.55000000000000004">
      <c r="B59" s="8"/>
      <c r="F59" s="9"/>
      <c r="H59" s="8"/>
      <c r="I59" s="38"/>
      <c r="J59" s="38"/>
      <c r="K59" s="38"/>
      <c r="L59" s="9"/>
    </row>
    <row r="60" spans="2:12" ht="14.7" customHeight="1" thickBot="1" x14ac:dyDescent="0.55000000000000004">
      <c r="B60" s="29" t="s">
        <v>37</v>
      </c>
      <c r="C60" s="31"/>
      <c r="F60" s="9"/>
      <c r="H60" s="29" t="s">
        <v>38</v>
      </c>
      <c r="I60" s="31"/>
      <c r="J60" s="38"/>
      <c r="K60" s="38"/>
      <c r="L60" s="9"/>
    </row>
    <row r="61" spans="2:12" ht="14.7" customHeight="1" thickBot="1" x14ac:dyDescent="0.55000000000000004">
      <c r="B61" s="24" t="s">
        <v>39</v>
      </c>
      <c r="C61" s="13">
        <v>547198.05869186297</v>
      </c>
      <c r="F61" s="9"/>
      <c r="H61" s="24" t="s">
        <v>39</v>
      </c>
      <c r="I61" s="13">
        <v>122400</v>
      </c>
      <c r="J61" s="38"/>
      <c r="K61" s="38"/>
      <c r="L61" s="9"/>
    </row>
    <row r="62" spans="2:12" ht="14.7" customHeight="1" thickBot="1" x14ac:dyDescent="0.55000000000000004">
      <c r="B62" s="8"/>
      <c r="F62" s="9"/>
      <c r="H62" s="8"/>
      <c r="I62" s="38"/>
      <c r="J62" s="38"/>
      <c r="K62" s="38"/>
      <c r="L62" s="9"/>
    </row>
    <row r="63" spans="2:12" ht="14.7" customHeight="1" thickBot="1" x14ac:dyDescent="0.55000000000000004">
      <c r="B63" s="29" t="s">
        <v>40</v>
      </c>
      <c r="C63" s="31"/>
      <c r="F63" s="9"/>
      <c r="H63" s="29" t="s">
        <v>40</v>
      </c>
      <c r="I63" s="31"/>
      <c r="J63" s="38"/>
      <c r="K63" s="38"/>
      <c r="L63" s="9"/>
    </row>
    <row r="64" spans="2:12" ht="14.7" customHeight="1" thickBot="1" x14ac:dyDescent="0.55000000000000004">
      <c r="B64" s="29">
        <f>E23/B70</f>
        <v>0.80154987349895412</v>
      </c>
      <c r="C64" s="31"/>
      <c r="F64" s="9"/>
      <c r="H64" s="29">
        <f>K23/B70</f>
        <v>0.13304578535269196</v>
      </c>
      <c r="I64" s="31"/>
      <c r="J64" s="38"/>
      <c r="K64" s="38"/>
      <c r="L64" s="9"/>
    </row>
    <row r="65" spans="2:12" x14ac:dyDescent="0.5">
      <c r="B65" s="8"/>
      <c r="F65" s="9"/>
      <c r="H65" s="8"/>
      <c r="I65" s="38"/>
      <c r="J65" s="38"/>
      <c r="K65" s="38"/>
      <c r="L65" s="9"/>
    </row>
    <row r="66" spans="2:12" ht="14.7" customHeight="1" thickBot="1" x14ac:dyDescent="0.55000000000000004">
      <c r="B66" s="11"/>
      <c r="C66" s="12"/>
      <c r="D66" s="12"/>
      <c r="E66" s="12"/>
      <c r="F66" s="13"/>
      <c r="G66" s="12"/>
      <c r="H66" s="11"/>
      <c r="I66" s="12"/>
      <c r="J66" s="12"/>
      <c r="K66" s="12"/>
      <c r="L66" s="13"/>
    </row>
    <row r="67" spans="2:12" ht="14.7" customHeight="1" thickBot="1" x14ac:dyDescent="0.55000000000000004">
      <c r="B67" s="11"/>
      <c r="C67" s="12"/>
      <c r="L67" s="9"/>
    </row>
    <row r="68" spans="2:12" ht="14.7" customHeight="1" thickBot="1" x14ac:dyDescent="0.55000000000000004">
      <c r="B68" s="32" t="s">
        <v>41</v>
      </c>
      <c r="C68" s="33"/>
      <c r="L68" s="9"/>
    </row>
    <row r="69" spans="2:12" ht="14.7" customHeight="1" thickBot="1" x14ac:dyDescent="0.55000000000000004">
      <c r="B69" s="17" t="s">
        <v>42</v>
      </c>
      <c r="C69" s="19" t="s">
        <v>43</v>
      </c>
      <c r="L69" s="9"/>
    </row>
    <row r="70" spans="2:12" ht="14.7" customHeight="1" thickBot="1" x14ac:dyDescent="0.55000000000000004">
      <c r="B70" s="11">
        <f>C108</f>
        <v>30537737.170194276</v>
      </c>
      <c r="C70" s="13">
        <f>D108</f>
        <v>763443429.25485694</v>
      </c>
      <c r="D70" s="12"/>
      <c r="E70" s="12"/>
      <c r="F70" s="12"/>
      <c r="G70" s="12"/>
      <c r="H70" s="12"/>
      <c r="I70" s="12"/>
      <c r="J70" s="12"/>
      <c r="K70" s="12"/>
      <c r="L70" s="13"/>
    </row>
    <row r="71" spans="2:12" ht="14.7" customHeight="1" thickBot="1" x14ac:dyDescent="0.55000000000000004"/>
    <row r="72" spans="2:12" ht="14.7" customHeight="1" thickBot="1" x14ac:dyDescent="0.55000000000000004">
      <c r="B72" s="29" t="s">
        <v>44</v>
      </c>
      <c r="C72" s="30"/>
      <c r="D72" s="30"/>
      <c r="E72" s="30"/>
      <c r="F72" s="31"/>
    </row>
    <row r="73" spans="2:12" ht="14.7" customHeight="1" thickBot="1" x14ac:dyDescent="0.55000000000000004">
      <c r="B73" s="29" t="s">
        <v>45</v>
      </c>
      <c r="C73" s="30"/>
      <c r="D73" s="30"/>
      <c r="E73" s="30"/>
      <c r="F73" s="31"/>
    </row>
    <row r="74" spans="2:12" ht="14.7" customHeight="1" thickBot="1" x14ac:dyDescent="0.55000000000000004">
      <c r="B74" s="24" t="s">
        <v>46</v>
      </c>
      <c r="C74" s="18" t="s">
        <v>4</v>
      </c>
      <c r="D74" s="18" t="s">
        <v>5</v>
      </c>
      <c r="E74" s="18" t="s">
        <v>6</v>
      </c>
      <c r="F74" s="19" t="s">
        <v>7</v>
      </c>
    </row>
    <row r="75" spans="2:12" x14ac:dyDescent="0.5">
      <c r="B75" s="23" t="s">
        <v>9</v>
      </c>
      <c r="C75">
        <v>19157.163470791991</v>
      </c>
      <c r="D75">
        <v>44700</v>
      </c>
      <c r="E75">
        <f>C75+D75</f>
        <v>63857.163470791987</v>
      </c>
      <c r="F75" s="9">
        <f>E75*25</f>
        <v>1596429.0867697997</v>
      </c>
    </row>
    <row r="76" spans="2:12" x14ac:dyDescent="0.5">
      <c r="B76" s="3" t="s">
        <v>10</v>
      </c>
      <c r="C76">
        <v>0</v>
      </c>
      <c r="D76">
        <v>0</v>
      </c>
      <c r="E76">
        <f>C76+D76</f>
        <v>0</v>
      </c>
      <c r="F76" s="9">
        <f>E76*25</f>
        <v>0</v>
      </c>
    </row>
    <row r="77" spans="2:12" x14ac:dyDescent="0.5">
      <c r="B77" s="3" t="s">
        <v>14</v>
      </c>
      <c r="C77">
        <v>70952.457299229587</v>
      </c>
      <c r="D77">
        <v>114000</v>
      </c>
      <c r="E77">
        <f>C77+D77</f>
        <v>184952.45729922957</v>
      </c>
      <c r="F77" s="9">
        <f>E77*25</f>
        <v>4623811.4324807394</v>
      </c>
    </row>
    <row r="78" spans="2:12" x14ac:dyDescent="0.5">
      <c r="B78" s="3" t="s">
        <v>47</v>
      </c>
      <c r="C78">
        <v>141904.9145984592</v>
      </c>
      <c r="D78">
        <v>228000</v>
      </c>
      <c r="E78">
        <f>C78+D78</f>
        <v>369904.9145984592</v>
      </c>
      <c r="F78" s="9">
        <f>E78*25</f>
        <v>9247622.8649614807</v>
      </c>
    </row>
    <row r="79" spans="2:12" ht="14.7" customHeight="1" thickBot="1" x14ac:dyDescent="0.55000000000000004">
      <c r="B79" s="16" t="s">
        <v>48</v>
      </c>
      <c r="C79" s="12"/>
      <c r="D79" s="12"/>
      <c r="E79">
        <f>C79+D79</f>
        <v>0</v>
      </c>
      <c r="F79" s="9">
        <f>E79*25</f>
        <v>0</v>
      </c>
    </row>
    <row r="80" spans="2:12" ht="14.7" customHeight="1" thickBot="1" x14ac:dyDescent="0.55000000000000004">
      <c r="B80" s="17" t="s">
        <v>49</v>
      </c>
      <c r="C80" s="18" t="s">
        <v>4</v>
      </c>
      <c r="D80" s="18" t="s">
        <v>5</v>
      </c>
      <c r="E80" s="18" t="s">
        <v>6</v>
      </c>
      <c r="F80" s="19" t="s">
        <v>7</v>
      </c>
    </row>
    <row r="81" spans="2:6" x14ac:dyDescent="0.5">
      <c r="B81" s="23" t="s">
        <v>18</v>
      </c>
      <c r="C81">
        <v>249405.51592122391</v>
      </c>
      <c r="D81">
        <v>310814.40000000002</v>
      </c>
      <c r="E81">
        <f>C81+D81</f>
        <v>560219.91592122393</v>
      </c>
      <c r="F81" s="9">
        <f>E81*25</f>
        <v>14005497.898030598</v>
      </c>
    </row>
    <row r="82" spans="2:6" ht="14.7" customHeight="1" thickBot="1" x14ac:dyDescent="0.55000000000000004">
      <c r="B82" s="16" t="s">
        <v>50</v>
      </c>
      <c r="C82" s="12"/>
      <c r="D82" s="12"/>
      <c r="E82">
        <f>C82+D82</f>
        <v>0</v>
      </c>
      <c r="F82" s="9">
        <f>E82*25</f>
        <v>0</v>
      </c>
    </row>
    <row r="83" spans="2:6" ht="14.7" customHeight="1" thickBot="1" x14ac:dyDescent="0.55000000000000004">
      <c r="B83" s="17"/>
      <c r="C83" s="18" t="s">
        <v>4</v>
      </c>
      <c r="D83" s="18" t="s">
        <v>5</v>
      </c>
      <c r="E83" s="18" t="s">
        <v>6</v>
      </c>
      <c r="F83" s="19" t="s">
        <v>7</v>
      </c>
    </row>
    <row r="84" spans="2:6" ht="14.7" customHeight="1" thickBot="1" x14ac:dyDescent="0.55000000000000004">
      <c r="B84" s="24" t="s">
        <v>22</v>
      </c>
      <c r="C84" s="12">
        <v>481420.05128970463</v>
      </c>
      <c r="D84" s="12">
        <v>25124192.032973111</v>
      </c>
      <c r="E84" s="12">
        <v>25605612.084262811</v>
      </c>
      <c r="F84" s="13">
        <f>E84*25</f>
        <v>640140302.10657024</v>
      </c>
    </row>
    <row r="85" spans="2:6" ht="14.7" customHeight="1" thickBot="1" x14ac:dyDescent="0.55000000000000004">
      <c r="B85" s="8"/>
      <c r="F85" s="9"/>
    </row>
    <row r="86" spans="2:6" ht="14.7" customHeight="1" thickBot="1" x14ac:dyDescent="0.55000000000000004">
      <c r="B86" s="29" t="s">
        <v>46</v>
      </c>
      <c r="C86" s="30"/>
      <c r="D86" s="31"/>
      <c r="F86" s="9"/>
    </row>
    <row r="87" spans="2:6" ht="14.7" customHeight="1" thickBot="1" x14ac:dyDescent="0.55000000000000004">
      <c r="B87" s="24" t="s">
        <v>23</v>
      </c>
      <c r="C87" s="18" t="s">
        <v>24</v>
      </c>
      <c r="D87" s="19" t="s">
        <v>25</v>
      </c>
      <c r="F87" s="9"/>
    </row>
    <row r="88" spans="2:6" x14ac:dyDescent="0.5">
      <c r="B88" s="23" t="s">
        <v>9</v>
      </c>
      <c r="C88">
        <v>3</v>
      </c>
      <c r="D88" s="9">
        <v>300</v>
      </c>
      <c r="F88" s="9"/>
    </row>
    <row r="89" spans="2:6" x14ac:dyDescent="0.5">
      <c r="B89" s="3" t="s">
        <v>10</v>
      </c>
      <c r="C89">
        <v>0</v>
      </c>
      <c r="D89" s="9">
        <v>0</v>
      </c>
      <c r="F89" s="9"/>
    </row>
    <row r="90" spans="2:6" x14ac:dyDescent="0.5">
      <c r="B90" s="3" t="s">
        <v>14</v>
      </c>
      <c r="C90">
        <v>1</v>
      </c>
      <c r="D90" s="9">
        <v>1000</v>
      </c>
      <c r="F90" s="9"/>
    </row>
    <row r="91" spans="2:6" x14ac:dyDescent="0.5">
      <c r="B91" s="3" t="s">
        <v>47</v>
      </c>
      <c r="C91">
        <v>1</v>
      </c>
      <c r="D91" s="9">
        <v>2000</v>
      </c>
      <c r="F91" s="9"/>
    </row>
    <row r="92" spans="2:6" ht="14.7" customHeight="1" thickBot="1" x14ac:dyDescent="0.55000000000000004">
      <c r="B92" s="16" t="s">
        <v>26</v>
      </c>
      <c r="C92" s="12">
        <v>5</v>
      </c>
      <c r="D92" s="13">
        <v>3300</v>
      </c>
      <c r="F92" s="9"/>
    </row>
    <row r="93" spans="2:6" ht="14.7" customHeight="1" thickBot="1" x14ac:dyDescent="0.55000000000000004">
      <c r="B93" s="8"/>
      <c r="F93" s="9"/>
    </row>
    <row r="94" spans="2:6" ht="14.7" customHeight="1" thickBot="1" x14ac:dyDescent="0.55000000000000004">
      <c r="B94" s="29" t="s">
        <v>51</v>
      </c>
      <c r="C94" s="30"/>
      <c r="D94" s="31"/>
      <c r="F94" s="9"/>
    </row>
    <row r="95" spans="2:6" ht="14.7" customHeight="1" thickBot="1" x14ac:dyDescent="0.55000000000000004">
      <c r="B95" s="17" t="s">
        <v>23</v>
      </c>
      <c r="C95" s="18" t="s">
        <v>24</v>
      </c>
      <c r="D95" s="19" t="s">
        <v>25</v>
      </c>
      <c r="F95" s="9"/>
    </row>
    <row r="96" spans="2:6" ht="14.7" customHeight="1" thickBot="1" x14ac:dyDescent="0.55000000000000004">
      <c r="B96" s="24" t="s">
        <v>18</v>
      </c>
      <c r="C96" s="12">
        <v>1105</v>
      </c>
      <c r="D96" s="13">
        <v>19425.900000000001</v>
      </c>
      <c r="F96" s="9"/>
    </row>
    <row r="97" spans="2:6" ht="14.7" customHeight="1" thickBot="1" x14ac:dyDescent="0.55000000000000004">
      <c r="B97" s="8"/>
      <c r="F97" s="9"/>
    </row>
    <row r="98" spans="2:6" ht="14.7" customHeight="1" thickBot="1" x14ac:dyDescent="0.55000000000000004">
      <c r="B98" s="29" t="s">
        <v>52</v>
      </c>
      <c r="C98" s="30"/>
      <c r="D98" s="31"/>
      <c r="F98" s="9"/>
    </row>
    <row r="99" spans="2:6" ht="14.7" customHeight="1" thickBot="1" x14ac:dyDescent="0.55000000000000004">
      <c r="B99" s="17" t="s">
        <v>53</v>
      </c>
      <c r="C99" s="18" t="s">
        <v>54</v>
      </c>
      <c r="D99" s="19" t="s">
        <v>55</v>
      </c>
      <c r="F99" s="9"/>
    </row>
    <row r="100" spans="2:6" x14ac:dyDescent="0.5">
      <c r="B100" s="23" t="s">
        <v>56</v>
      </c>
      <c r="C100">
        <v>5350789.4736843091</v>
      </c>
      <c r="D100" s="9">
        <f>C100*25</f>
        <v>133769736.84210773</v>
      </c>
      <c r="F100" s="9"/>
    </row>
    <row r="101" spans="2:6" x14ac:dyDescent="0.5">
      <c r="B101" s="3" t="s">
        <v>57</v>
      </c>
      <c r="C101">
        <v>6356221.134019075</v>
      </c>
      <c r="D101" s="9">
        <f>C101*25</f>
        <v>158905528.35047686</v>
      </c>
      <c r="F101" s="9"/>
    </row>
    <row r="102" spans="2:6" ht="14.7" customHeight="1" thickBot="1" x14ac:dyDescent="0.55000000000000004">
      <c r="B102" s="16" t="s">
        <v>26</v>
      </c>
      <c r="C102" s="12">
        <f>C100+C101</f>
        <v>11707010.607703384</v>
      </c>
      <c r="D102" s="13">
        <f>C102*25</f>
        <v>292675265.19258457</v>
      </c>
      <c r="F102" s="9"/>
    </row>
    <row r="103" spans="2:6" ht="14.7" customHeight="1" thickBot="1" x14ac:dyDescent="0.55000000000000004">
      <c r="B103" s="8"/>
      <c r="F103" s="9"/>
    </row>
    <row r="104" spans="2:6" ht="14.7" customHeight="1" thickBot="1" x14ac:dyDescent="0.55000000000000004">
      <c r="B104" s="29" t="s">
        <v>58</v>
      </c>
      <c r="C104" s="30"/>
      <c r="D104" s="31"/>
      <c r="F104" s="9"/>
    </row>
    <row r="105" spans="2:6" ht="14.7" customHeight="1" thickBot="1" x14ac:dyDescent="0.55000000000000004">
      <c r="B105" s="17" t="s">
        <v>53</v>
      </c>
      <c r="C105" s="18" t="s">
        <v>59</v>
      </c>
      <c r="D105" s="22" t="s">
        <v>60</v>
      </c>
      <c r="F105" s="9"/>
    </row>
    <row r="106" spans="2:6" x14ac:dyDescent="0.5">
      <c r="B106" s="23" t="s">
        <v>56</v>
      </c>
      <c r="C106">
        <f>2.6085*C100</f>
        <v>13957534.342105519</v>
      </c>
      <c r="D106" s="9">
        <f>C106*25</f>
        <v>348938358.55263799</v>
      </c>
      <c r="F106" s="9"/>
    </row>
    <row r="107" spans="2:6" x14ac:dyDescent="0.5">
      <c r="B107" s="3" t="s">
        <v>57</v>
      </c>
      <c r="C107">
        <f>2.6085*C101</f>
        <v>16580202.828088757</v>
      </c>
      <c r="D107" s="9">
        <f>C107*25</f>
        <v>414505070.70221889</v>
      </c>
      <c r="F107" s="9"/>
    </row>
    <row r="108" spans="2:6" ht="14.7" customHeight="1" thickBot="1" x14ac:dyDescent="0.55000000000000004">
      <c r="B108" s="16" t="s">
        <v>26</v>
      </c>
      <c r="C108" s="12">
        <f>2.6085*C102</f>
        <v>30537737.170194276</v>
      </c>
      <c r="D108" s="13">
        <f>C108*25</f>
        <v>763443429.25485694</v>
      </c>
      <c r="E108" s="12"/>
      <c r="F108" s="13"/>
    </row>
  </sheetData>
  <mergeCells count="30">
    <mergeCell ref="H64:I64"/>
    <mergeCell ref="H50:J50"/>
    <mergeCell ref="H55:J55"/>
    <mergeCell ref="B86:D86"/>
    <mergeCell ref="B104:D104"/>
    <mergeCell ref="B73:F73"/>
    <mergeCell ref="B36:D36"/>
    <mergeCell ref="B94:D94"/>
    <mergeCell ref="B50:D50"/>
    <mergeCell ref="B68:C68"/>
    <mergeCell ref="B64:C64"/>
    <mergeCell ref="B47:C47"/>
    <mergeCell ref="B98:D98"/>
    <mergeCell ref="B72:F72"/>
    <mergeCell ref="H33:I33"/>
    <mergeCell ref="B5:L5"/>
    <mergeCell ref="B63:C63"/>
    <mergeCell ref="B43:D43"/>
    <mergeCell ref="H25:J25"/>
    <mergeCell ref="H6:L6"/>
    <mergeCell ref="H60:I60"/>
    <mergeCell ref="B60:C60"/>
    <mergeCell ref="B55:D55"/>
    <mergeCell ref="H47:I47"/>
    <mergeCell ref="B25:D25"/>
    <mergeCell ref="H43:J43"/>
    <mergeCell ref="B6:F6"/>
    <mergeCell ref="B33:C33"/>
    <mergeCell ref="H36:J36"/>
    <mergeCell ref="H63:I63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B4:N108"/>
  <sheetViews>
    <sheetView tabSelected="1" topLeftCell="A15" zoomScale="70" zoomScaleNormal="70" workbookViewId="0">
      <selection activeCell="M29" sqref="M29"/>
    </sheetView>
  </sheetViews>
  <sheetFormatPr defaultColWidth="39.234375" defaultRowHeight="14.35" x14ac:dyDescent="0.5"/>
  <cols>
    <col min="1" max="1" width="13.52734375" customWidth="1"/>
    <col min="2" max="2" width="15.234375" bestFit="1" customWidth="1"/>
    <col min="3" max="3" width="17.64453125" bestFit="1" customWidth="1"/>
    <col min="4" max="4" width="18.64453125" bestFit="1" customWidth="1"/>
    <col min="5" max="5" width="12.46875" bestFit="1" customWidth="1"/>
    <col min="6" max="6" width="13.5859375" bestFit="1" customWidth="1"/>
    <col min="7" max="7" width="12.46875" customWidth="1"/>
    <col min="8" max="8" width="15.234375" bestFit="1" customWidth="1"/>
    <col min="9" max="9" width="15.703125" bestFit="1" customWidth="1"/>
    <col min="10" max="10" width="18" bestFit="1" customWidth="1"/>
    <col min="11" max="11" width="12.46875" bestFit="1" customWidth="1"/>
    <col min="12" max="12" width="14.5859375" bestFit="1" customWidth="1"/>
    <col min="13" max="14" width="13.41015625" bestFit="1" customWidth="1"/>
    <col min="15" max="15" width="11.76171875" bestFit="1" customWidth="1"/>
  </cols>
  <sheetData>
    <row r="4" spans="2:14" ht="14.7" customHeight="1" thickBot="1" x14ac:dyDescent="0.55000000000000004"/>
    <row r="5" spans="2:14" ht="14.7" customHeight="1" thickBot="1" x14ac:dyDescent="0.55000000000000004">
      <c r="B5" s="29" t="s">
        <v>0</v>
      </c>
      <c r="C5" s="30"/>
      <c r="D5" s="30"/>
      <c r="E5" s="30"/>
      <c r="F5" s="30"/>
      <c r="G5" s="30"/>
      <c r="H5" s="30"/>
      <c r="I5" s="30"/>
      <c r="J5" s="30"/>
      <c r="K5" s="30"/>
      <c r="L5" s="31"/>
    </row>
    <row r="6" spans="2:14" ht="14.7" customHeight="1" thickBot="1" x14ac:dyDescent="0.55000000000000004">
      <c r="B6" s="29" t="s">
        <v>1</v>
      </c>
      <c r="C6" s="30"/>
      <c r="D6" s="30"/>
      <c r="E6" s="30"/>
      <c r="F6" s="31"/>
      <c r="H6" s="29" t="s">
        <v>2</v>
      </c>
      <c r="I6" s="30"/>
      <c r="J6" s="30"/>
      <c r="K6" s="30"/>
      <c r="L6" s="31"/>
    </row>
    <row r="7" spans="2:14" ht="14.7" customHeight="1" thickBot="1" x14ac:dyDescent="0.55000000000000004">
      <c r="B7" s="24" t="s">
        <v>3</v>
      </c>
      <c r="C7" s="18" t="s">
        <v>4</v>
      </c>
      <c r="D7" s="18" t="s">
        <v>5</v>
      </c>
      <c r="E7" s="18" t="s">
        <v>6</v>
      </c>
      <c r="F7" s="19" t="s">
        <v>7</v>
      </c>
      <c r="H7" s="24" t="s">
        <v>3</v>
      </c>
      <c r="I7" s="18" t="s">
        <v>4</v>
      </c>
      <c r="J7" s="18" t="s">
        <v>5</v>
      </c>
      <c r="K7" s="18" t="s">
        <v>6</v>
      </c>
      <c r="L7" s="19" t="s">
        <v>7</v>
      </c>
    </row>
    <row r="8" spans="2:14" x14ac:dyDescent="0.5">
      <c r="B8" s="3" t="s">
        <v>8</v>
      </c>
      <c r="C8" s="6">
        <f>13698 * D27*((0.05*((1.05)^25))/((1.05^25)-1))</f>
        <v>2235385.5481951488</v>
      </c>
      <c r="D8" s="6">
        <f>29*D27</f>
        <v>66700</v>
      </c>
      <c r="E8" s="6">
        <f>C8+D8</f>
        <v>2302085.5481951488</v>
      </c>
      <c r="F8" s="10">
        <f>E8*25</f>
        <v>57552138.704878718</v>
      </c>
      <c r="H8" s="3" t="s">
        <v>9</v>
      </c>
      <c r="I8" s="39">
        <f>1615 * J27*((0.05*((1.05)^25))/((1.05^25)-1))</f>
        <v>45835.287415302337</v>
      </c>
      <c r="J8" s="39">
        <f>29*J27</f>
        <v>11600</v>
      </c>
      <c r="K8" s="39">
        <f>I8+J8</f>
        <v>57435.287415302337</v>
      </c>
      <c r="L8" s="10">
        <f>K8*25</f>
        <v>1435882.1853825585</v>
      </c>
    </row>
    <row r="9" spans="2:14" x14ac:dyDescent="0.5">
      <c r="B9" s="3" t="s">
        <v>10</v>
      </c>
      <c r="C9" s="6">
        <f>13698 * D28*((0.05*((1.05)^25))/((1.05^25)-1))</f>
        <v>0</v>
      </c>
      <c r="D9" s="6">
        <f>29*D28</f>
        <v>0</v>
      </c>
      <c r="E9" s="6">
        <f>C9+D9</f>
        <v>0</v>
      </c>
      <c r="F9" s="10">
        <f>E9*25</f>
        <v>0</v>
      </c>
      <c r="H9" s="3" t="s">
        <v>10</v>
      </c>
      <c r="I9" s="39">
        <f>1615 * J28*((0.05*((1.05)^25))/((1.05^25)-1))</f>
        <v>458352.87415302335</v>
      </c>
      <c r="J9" s="39">
        <f>29*J28</f>
        <v>116000</v>
      </c>
      <c r="K9" s="39">
        <f>I9+J9</f>
        <v>574352.87415302335</v>
      </c>
      <c r="L9" s="10">
        <f>K9*25</f>
        <v>14358821.853825584</v>
      </c>
      <c r="M9" s="7"/>
      <c r="N9" s="6"/>
    </row>
    <row r="10" spans="2:14" x14ac:dyDescent="0.5">
      <c r="B10" s="3" t="s">
        <v>11</v>
      </c>
      <c r="C10" s="6">
        <f>13698 * D29*((0.05*((1.05)^25))/((1.05^25)-1))</f>
        <v>0</v>
      </c>
      <c r="D10" s="6">
        <f>29*D29</f>
        <v>0</v>
      </c>
      <c r="E10" s="6">
        <f>C10+D10</f>
        <v>0</v>
      </c>
      <c r="F10" s="10">
        <f>E10*25</f>
        <v>0</v>
      </c>
      <c r="H10" s="3" t="s">
        <v>11</v>
      </c>
      <c r="I10" s="39">
        <f>1615 * J29*((0.05*((1.05)^25))/((1.05^25)-1))</f>
        <v>0</v>
      </c>
      <c r="J10" s="39">
        <f>29*J29</f>
        <v>0</v>
      </c>
      <c r="K10" s="39">
        <f>I10+J10</f>
        <v>0</v>
      </c>
      <c r="L10" s="10">
        <f>K10*25</f>
        <v>0</v>
      </c>
      <c r="M10" s="7"/>
    </row>
    <row r="11" spans="2:14" ht="14.7" customHeight="1" thickBot="1" x14ac:dyDescent="0.55000000000000004">
      <c r="B11" s="16" t="s">
        <v>12</v>
      </c>
      <c r="C11" s="14">
        <f>13698 * D30*((0.05*((1.05)^25))/((1.05^25)-1))</f>
        <v>0</v>
      </c>
      <c r="D11" s="14">
        <f>29*D30</f>
        <v>0</v>
      </c>
      <c r="E11" s="14">
        <f>C11+D11</f>
        <v>0</v>
      </c>
      <c r="F11" s="15">
        <f>E11*25</f>
        <v>0</v>
      </c>
      <c r="H11" s="16" t="s">
        <v>12</v>
      </c>
      <c r="I11" s="14">
        <f>1615 * J30*((0.05*((1.05)^25))/((1.05^25)-1))</f>
        <v>0</v>
      </c>
      <c r="J11" s="14">
        <f>29*J30</f>
        <v>0</v>
      </c>
      <c r="K11" s="14">
        <f>I11+J11</f>
        <v>0</v>
      </c>
      <c r="L11" s="13">
        <f>K11*25</f>
        <v>0</v>
      </c>
    </row>
    <row r="12" spans="2:14" ht="14.7" customHeight="1" thickBot="1" x14ac:dyDescent="0.55000000000000004">
      <c r="B12" s="24" t="s">
        <v>13</v>
      </c>
      <c r="C12" s="18" t="s">
        <v>4</v>
      </c>
      <c r="D12" s="18" t="s">
        <v>5</v>
      </c>
      <c r="E12" s="18" t="s">
        <v>6</v>
      </c>
      <c r="F12" s="19" t="s">
        <v>7</v>
      </c>
      <c r="H12" s="24" t="s">
        <v>13</v>
      </c>
      <c r="I12" s="18" t="s">
        <v>4</v>
      </c>
      <c r="J12" s="18" t="s">
        <v>5</v>
      </c>
      <c r="K12" s="18" t="s">
        <v>6</v>
      </c>
      <c r="L12" s="19" t="s">
        <v>7</v>
      </c>
    </row>
    <row r="13" spans="2:14" x14ac:dyDescent="0.5">
      <c r="B13" s="3" t="s">
        <v>14</v>
      </c>
      <c r="C13" s="4">
        <f>2490 * D38*((0.05*((1.05)^10))/((1.05^10)-1))</f>
        <v>644932.78332797438</v>
      </c>
      <c r="D13" s="1">
        <f>37.35*D38</f>
        <v>74700</v>
      </c>
      <c r="E13">
        <f>C13+D13</f>
        <v>719632.78332797438</v>
      </c>
      <c r="F13" s="9">
        <f>E13*25</f>
        <v>17990819.583199359</v>
      </c>
      <c r="H13" s="3" t="s">
        <v>14</v>
      </c>
      <c r="I13" s="4">
        <f>2490 * J38*((0.05*((1.05)^10))/((1.05^10)-1))</f>
        <v>1289865.5666559488</v>
      </c>
      <c r="J13" s="1">
        <f>37.35*J38</f>
        <v>149400</v>
      </c>
      <c r="K13" s="39">
        <f>I13+J13</f>
        <v>1439265.5666559488</v>
      </c>
      <c r="L13" s="10">
        <f>K13*25</f>
        <v>35981639.166398719</v>
      </c>
    </row>
    <row r="14" spans="2:14" x14ac:dyDescent="0.5">
      <c r="B14" s="3" t="s">
        <v>15</v>
      </c>
      <c r="C14" s="4">
        <f>1570 * D39*((0.05*((1.05)^10))/((1.05^10)-1))</f>
        <v>0</v>
      </c>
      <c r="D14" s="1">
        <f>23.55*D39</f>
        <v>0</v>
      </c>
      <c r="E14">
        <f>C14+D14</f>
        <v>0</v>
      </c>
      <c r="F14" s="9">
        <f>E14*25</f>
        <v>0</v>
      </c>
      <c r="H14" s="3" t="s">
        <v>15</v>
      </c>
      <c r="I14" s="4">
        <f>1570 * J39*((0.05*((1.05)^10))/((1.05^10)-1))</f>
        <v>0</v>
      </c>
      <c r="J14" s="1">
        <f>23.55*J39</f>
        <v>0</v>
      </c>
      <c r="K14" s="38">
        <f>I14+J14</f>
        <v>0</v>
      </c>
      <c r="L14" s="10">
        <f>K14*25</f>
        <v>0</v>
      </c>
    </row>
    <row r="15" spans="2:14" ht="14.7" customHeight="1" thickBot="1" x14ac:dyDescent="0.55000000000000004">
      <c r="B15" s="16" t="s">
        <v>16</v>
      </c>
      <c r="C15" s="5">
        <f>1190 * D40*((0.05*((1.05)^10))/((1.05^10)-1))</f>
        <v>0</v>
      </c>
      <c r="D15" s="2">
        <f>17.85*D40</f>
        <v>0</v>
      </c>
      <c r="E15" s="12">
        <f>C15+D15</f>
        <v>0</v>
      </c>
      <c r="F15" s="13">
        <f>E15*25</f>
        <v>0</v>
      </c>
      <c r="H15" s="16" t="s">
        <v>16</v>
      </c>
      <c r="I15" s="5">
        <f>1190 * J40*((0.05*((1.05)^10))/((1.05^10)-1))</f>
        <v>0</v>
      </c>
      <c r="J15" s="2">
        <f>17.85*J40</f>
        <v>0</v>
      </c>
      <c r="K15" s="12">
        <f>I15+J15</f>
        <v>0</v>
      </c>
      <c r="L15" s="15">
        <f>K15*25</f>
        <v>0</v>
      </c>
    </row>
    <row r="16" spans="2:14" ht="14.7" customHeight="1" thickBot="1" x14ac:dyDescent="0.55000000000000004">
      <c r="B16" s="24" t="s">
        <v>17</v>
      </c>
      <c r="C16" s="18" t="s">
        <v>4</v>
      </c>
      <c r="D16" s="18" t="s">
        <v>5</v>
      </c>
      <c r="E16" s="18" t="s">
        <v>6</v>
      </c>
      <c r="F16" s="19" t="s">
        <v>7</v>
      </c>
      <c r="H16" s="24" t="s">
        <v>17</v>
      </c>
      <c r="I16" s="18" t="s">
        <v>4</v>
      </c>
      <c r="J16" s="18" t="s">
        <v>5</v>
      </c>
      <c r="K16" s="18" t="s">
        <v>6</v>
      </c>
      <c r="L16" s="19" t="s">
        <v>7</v>
      </c>
    </row>
    <row r="17" spans="2:14" ht="14.7" customHeight="1" thickBot="1" x14ac:dyDescent="0.55000000000000004">
      <c r="B17" s="16" t="s">
        <v>18</v>
      </c>
      <c r="C17" s="12">
        <v>29567.531751746908</v>
      </c>
      <c r="D17" s="12">
        <v>36847.679999999993</v>
      </c>
      <c r="E17" s="12">
        <f>D17+C17</f>
        <v>66415.211751746901</v>
      </c>
      <c r="F17" s="13">
        <f>E17*25</f>
        <v>1660380.2937936725</v>
      </c>
      <c r="H17" s="16" t="s">
        <v>18</v>
      </c>
      <c r="I17" s="12">
        <v>29567.531751746908</v>
      </c>
      <c r="J17" s="12">
        <v>36847.679999999993</v>
      </c>
      <c r="K17" s="12">
        <f>J17+I17</f>
        <v>66415.211751746901</v>
      </c>
      <c r="L17" s="15">
        <f>K17*25</f>
        <v>1660380.2937936725</v>
      </c>
    </row>
    <row r="18" spans="2:14" ht="14.7" customHeight="1" thickBot="1" x14ac:dyDescent="0.55000000000000004">
      <c r="B18" s="24" t="s">
        <v>19</v>
      </c>
      <c r="C18" s="18" t="s">
        <v>4</v>
      </c>
      <c r="D18" s="18" t="s">
        <v>5</v>
      </c>
      <c r="E18" s="18" t="s">
        <v>6</v>
      </c>
      <c r="F18" s="19" t="s">
        <v>7</v>
      </c>
      <c r="H18" s="24" t="s">
        <v>20</v>
      </c>
      <c r="I18" s="18" t="s">
        <v>4</v>
      </c>
      <c r="J18" s="18" t="s">
        <v>5</v>
      </c>
      <c r="K18" s="18" t="s">
        <v>6</v>
      </c>
      <c r="L18" s="19" t="s">
        <v>7</v>
      </c>
    </row>
    <row r="19" spans="2:14" ht="14.7" customHeight="1" thickBot="1" x14ac:dyDescent="0.55000000000000004">
      <c r="B19" s="11"/>
      <c r="C19" s="12">
        <f>C48*300*((0.05*((1.05)^20))/((1.05^20)-1))</f>
        <v>2173290.2314726836</v>
      </c>
      <c r="D19" s="12">
        <v>0</v>
      </c>
      <c r="E19" s="12">
        <f>D19+C19</f>
        <v>2173290.2314726836</v>
      </c>
      <c r="F19" s="13">
        <f>E19*25</f>
        <v>54332255.786817089</v>
      </c>
      <c r="H19" s="11"/>
      <c r="I19" s="14">
        <f>(I48/10)*3000*((0.05*((1.05)^20))/((1.05^20)-1))</f>
        <v>339426.14381662424</v>
      </c>
      <c r="J19" s="12">
        <v>0</v>
      </c>
      <c r="K19" s="12">
        <f>J19+I19</f>
        <v>339426.14381662424</v>
      </c>
      <c r="L19" s="15">
        <f>K19*25</f>
        <v>8485653.5954156052</v>
      </c>
    </row>
    <row r="20" spans="2:14" ht="14.7" customHeight="1" thickBot="1" x14ac:dyDescent="0.55000000000000004">
      <c r="B20" s="24" t="s">
        <v>21</v>
      </c>
      <c r="C20" s="18" t="s">
        <v>4</v>
      </c>
      <c r="D20" s="18" t="s">
        <v>5</v>
      </c>
      <c r="E20" s="18" t="s">
        <v>6</v>
      </c>
      <c r="F20" s="19" t="s">
        <v>7</v>
      </c>
      <c r="H20" s="24" t="s">
        <v>21</v>
      </c>
      <c r="I20" s="18" t="s">
        <v>4</v>
      </c>
      <c r="J20" s="18" t="s">
        <v>5</v>
      </c>
      <c r="K20" s="18" t="s">
        <v>6</v>
      </c>
      <c r="L20" s="19" t="s">
        <v>7</v>
      </c>
    </row>
    <row r="21" spans="2:14" ht="14.7" customHeight="1" thickBot="1" x14ac:dyDescent="0.55000000000000004">
      <c r="B21" s="11"/>
      <c r="C21" s="12">
        <v>103789.93488697401</v>
      </c>
      <c r="D21" s="12">
        <v>14516</v>
      </c>
      <c r="E21" s="12">
        <f>C21+D21</f>
        <v>118305.93488697401</v>
      </c>
      <c r="F21" s="13">
        <f>E21*25</f>
        <v>2957648.3721743501</v>
      </c>
      <c r="H21" s="11"/>
      <c r="I21" s="12">
        <v>0</v>
      </c>
      <c r="J21" s="12">
        <v>0</v>
      </c>
      <c r="K21" s="12">
        <f>J21+I21</f>
        <v>0</v>
      </c>
      <c r="L21" s="13">
        <f>K21*25</f>
        <v>0</v>
      </c>
    </row>
    <row r="22" spans="2:14" ht="14.7" customHeight="1" thickBot="1" x14ac:dyDescent="0.55000000000000004">
      <c r="B22" s="17"/>
      <c r="C22" s="18" t="s">
        <v>4</v>
      </c>
      <c r="D22" s="18" t="s">
        <v>5</v>
      </c>
      <c r="E22" s="18" t="s">
        <v>6</v>
      </c>
      <c r="F22" s="19" t="s">
        <v>7</v>
      </c>
      <c r="H22" s="17"/>
      <c r="I22" s="18" t="s">
        <v>4</v>
      </c>
      <c r="J22" s="18" t="s">
        <v>5</v>
      </c>
      <c r="K22" s="18" t="s">
        <v>6</v>
      </c>
      <c r="L22" s="19" t="s">
        <v>7</v>
      </c>
    </row>
    <row r="23" spans="2:14" ht="14.7" customHeight="1" thickBot="1" x14ac:dyDescent="0.55000000000000004">
      <c r="B23" s="24" t="s">
        <v>22</v>
      </c>
      <c r="C23" s="12">
        <v>5191539.8571043964</v>
      </c>
      <c r="D23" s="12">
        <v>192763.68</v>
      </c>
      <c r="E23" s="25">
        <v>5384303.5371043952</v>
      </c>
      <c r="F23" s="13">
        <f>D23*25</f>
        <v>4819092</v>
      </c>
      <c r="H23" s="24" t="s">
        <v>22</v>
      </c>
      <c r="I23" s="14">
        <v>2163047.4037926449</v>
      </c>
      <c r="J23" s="14">
        <v>313847.67999999999</v>
      </c>
      <c r="K23" s="14">
        <v>4062917.2247025901</v>
      </c>
      <c r="L23" s="15">
        <f>K23*25</f>
        <v>101572930.61756475</v>
      </c>
      <c r="M23" s="6"/>
    </row>
    <row r="24" spans="2:14" ht="14.7" customHeight="1" thickBot="1" x14ac:dyDescent="0.55000000000000004">
      <c r="B24" s="8"/>
      <c r="F24" s="9"/>
      <c r="H24" s="8"/>
      <c r="I24" s="39"/>
      <c r="J24" s="39"/>
      <c r="K24" s="39"/>
      <c r="L24" s="10"/>
      <c r="M24" s="6"/>
      <c r="N24" s="7"/>
    </row>
    <row r="25" spans="2:14" ht="14.7" customHeight="1" thickBot="1" x14ac:dyDescent="0.55000000000000004">
      <c r="B25" s="29" t="s">
        <v>3</v>
      </c>
      <c r="C25" s="30"/>
      <c r="D25" s="31"/>
      <c r="F25" s="9"/>
      <c r="H25" s="29" t="s">
        <v>3</v>
      </c>
      <c r="I25" s="30"/>
      <c r="J25" s="31"/>
      <c r="K25" s="38"/>
      <c r="L25" s="10"/>
      <c r="M25" s="6"/>
    </row>
    <row r="26" spans="2:14" ht="14.7" customHeight="1" thickBot="1" x14ac:dyDescent="0.55000000000000004">
      <c r="B26" s="17" t="s">
        <v>23</v>
      </c>
      <c r="C26" s="18" t="s">
        <v>24</v>
      </c>
      <c r="D26" s="19" t="s">
        <v>25</v>
      </c>
      <c r="F26" s="9"/>
      <c r="H26" s="17" t="s">
        <v>23</v>
      </c>
      <c r="I26" s="18" t="s">
        <v>24</v>
      </c>
      <c r="J26" s="19" t="s">
        <v>25</v>
      </c>
      <c r="K26" s="38"/>
      <c r="L26" s="10"/>
      <c r="M26" s="6"/>
    </row>
    <row r="27" spans="2:14" x14ac:dyDescent="0.5">
      <c r="B27" s="23" t="s">
        <v>9</v>
      </c>
      <c r="C27">
        <v>23</v>
      </c>
      <c r="D27" s="9">
        <v>2300</v>
      </c>
      <c r="F27" s="9"/>
      <c r="H27" s="8" t="s">
        <v>9</v>
      </c>
      <c r="I27" s="38">
        <v>4</v>
      </c>
      <c r="J27" s="9">
        <v>400</v>
      </c>
      <c r="K27" s="38"/>
      <c r="L27" s="9"/>
    </row>
    <row r="28" spans="2:14" x14ac:dyDescent="0.5">
      <c r="B28" s="3" t="s">
        <v>10</v>
      </c>
      <c r="C28">
        <v>0</v>
      </c>
      <c r="D28" s="9">
        <v>0</v>
      </c>
      <c r="F28" s="9"/>
      <c r="H28" s="8" t="s">
        <v>10</v>
      </c>
      <c r="I28" s="38">
        <v>8</v>
      </c>
      <c r="J28" s="9">
        <v>4000</v>
      </c>
      <c r="K28" s="38"/>
      <c r="L28" s="9"/>
    </row>
    <row r="29" spans="2:14" x14ac:dyDescent="0.5">
      <c r="B29" s="3" t="s">
        <v>11</v>
      </c>
      <c r="C29">
        <v>0</v>
      </c>
      <c r="D29" s="9">
        <v>0</v>
      </c>
      <c r="F29" s="9"/>
      <c r="H29" s="8" t="s">
        <v>11</v>
      </c>
      <c r="I29" s="38">
        <v>0</v>
      </c>
      <c r="J29" s="9">
        <v>0</v>
      </c>
      <c r="K29" s="38"/>
      <c r="L29" s="9"/>
    </row>
    <row r="30" spans="2:14" x14ac:dyDescent="0.5">
      <c r="B30" s="3" t="s">
        <v>12</v>
      </c>
      <c r="C30">
        <v>0</v>
      </c>
      <c r="D30" s="9">
        <v>0</v>
      </c>
      <c r="F30" s="9"/>
      <c r="H30" s="8" t="s">
        <v>12</v>
      </c>
      <c r="I30" s="38">
        <v>0</v>
      </c>
      <c r="J30" s="9">
        <v>0</v>
      </c>
      <c r="K30" s="38"/>
      <c r="L30" s="9"/>
    </row>
    <row r="31" spans="2:14" ht="14.7" customHeight="1" thickBot="1" x14ac:dyDescent="0.55000000000000004">
      <c r="B31" s="16" t="s">
        <v>26</v>
      </c>
      <c r="C31" s="12">
        <v>23</v>
      </c>
      <c r="D31" s="13">
        <v>2300</v>
      </c>
      <c r="F31" s="9"/>
      <c r="H31" s="11" t="s">
        <v>26</v>
      </c>
      <c r="I31" s="12">
        <v>12</v>
      </c>
      <c r="J31" s="13">
        <v>4400</v>
      </c>
      <c r="K31" s="38"/>
      <c r="L31" s="9"/>
    </row>
    <row r="32" spans="2:14" ht="14.7" customHeight="1" thickBot="1" x14ac:dyDescent="0.55000000000000004">
      <c r="B32" s="8"/>
      <c r="F32" s="9"/>
      <c r="H32" s="8"/>
      <c r="I32" s="38"/>
      <c r="J32" s="38"/>
      <c r="K32" s="38"/>
      <c r="L32" s="9"/>
    </row>
    <row r="33" spans="2:12" ht="14.7" customHeight="1" thickBot="1" x14ac:dyDescent="0.55000000000000004">
      <c r="B33" s="29" t="s">
        <v>21</v>
      </c>
      <c r="C33" s="31"/>
      <c r="F33" s="9"/>
      <c r="H33" s="29" t="s">
        <v>21</v>
      </c>
      <c r="I33" s="31"/>
      <c r="J33" s="38"/>
      <c r="K33" s="38"/>
      <c r="L33" s="9"/>
    </row>
    <row r="34" spans="2:12" ht="14.7" customHeight="1" thickBot="1" x14ac:dyDescent="0.55000000000000004">
      <c r="B34" s="24" t="s">
        <v>25</v>
      </c>
      <c r="C34" s="13">
        <v>764</v>
      </c>
      <c r="F34" s="9"/>
      <c r="H34" s="24" t="s">
        <v>25</v>
      </c>
      <c r="I34" s="13">
        <v>0</v>
      </c>
      <c r="J34" s="38"/>
      <c r="K34" s="38"/>
      <c r="L34" s="9"/>
    </row>
    <row r="35" spans="2:12" ht="14.7" customHeight="1" thickBot="1" x14ac:dyDescent="0.55000000000000004">
      <c r="B35" s="8"/>
      <c r="F35" s="9"/>
      <c r="H35" s="8"/>
      <c r="I35" s="38"/>
      <c r="J35" s="38"/>
      <c r="K35" s="38"/>
      <c r="L35" s="9"/>
    </row>
    <row r="36" spans="2:12" ht="14.7" customHeight="1" thickBot="1" x14ac:dyDescent="0.55000000000000004">
      <c r="B36" s="29" t="s">
        <v>13</v>
      </c>
      <c r="C36" s="30"/>
      <c r="D36" s="31"/>
      <c r="F36" s="9"/>
      <c r="H36" s="29" t="s">
        <v>13</v>
      </c>
      <c r="I36" s="30"/>
      <c r="J36" s="31"/>
      <c r="K36" s="38"/>
      <c r="L36" s="9"/>
    </row>
    <row r="37" spans="2:12" ht="14.7" customHeight="1" thickBot="1" x14ac:dyDescent="0.55000000000000004">
      <c r="B37" s="24" t="s">
        <v>23</v>
      </c>
      <c r="C37" s="18" t="s">
        <v>24</v>
      </c>
      <c r="D37" s="19" t="s">
        <v>25</v>
      </c>
      <c r="F37" s="9"/>
      <c r="H37" s="17" t="s">
        <v>23</v>
      </c>
      <c r="I37" s="18" t="s">
        <v>24</v>
      </c>
      <c r="J37" s="19" t="s">
        <v>25</v>
      </c>
      <c r="K37" s="38"/>
      <c r="L37" s="9"/>
    </row>
    <row r="38" spans="2:12" x14ac:dyDescent="0.5">
      <c r="B38" s="23" t="s">
        <v>14</v>
      </c>
      <c r="C38">
        <v>2</v>
      </c>
      <c r="D38" s="9">
        <v>2000</v>
      </c>
      <c r="F38" s="9"/>
      <c r="H38" s="23" t="s">
        <v>14</v>
      </c>
      <c r="I38" s="38">
        <v>4</v>
      </c>
      <c r="J38" s="9">
        <v>4000</v>
      </c>
      <c r="K38" s="38"/>
      <c r="L38" s="9"/>
    </row>
    <row r="39" spans="2:12" x14ac:dyDescent="0.5">
      <c r="B39" s="3" t="s">
        <v>15</v>
      </c>
      <c r="C39">
        <v>0</v>
      </c>
      <c r="D39" s="9">
        <v>0</v>
      </c>
      <c r="F39" s="9"/>
      <c r="H39" s="3" t="s">
        <v>15</v>
      </c>
      <c r="I39" s="38">
        <v>0</v>
      </c>
      <c r="J39" s="9">
        <v>0</v>
      </c>
      <c r="K39" s="38"/>
      <c r="L39" s="9"/>
    </row>
    <row r="40" spans="2:12" x14ac:dyDescent="0.5">
      <c r="B40" s="3" t="s">
        <v>16</v>
      </c>
      <c r="C40">
        <v>0</v>
      </c>
      <c r="D40" s="9">
        <v>0</v>
      </c>
      <c r="F40" s="9"/>
      <c r="H40" s="3" t="s">
        <v>16</v>
      </c>
      <c r="I40" s="38">
        <v>0</v>
      </c>
      <c r="J40" s="9">
        <v>0</v>
      </c>
      <c r="K40" s="38"/>
      <c r="L40" s="9"/>
    </row>
    <row r="41" spans="2:12" ht="14.7" customHeight="1" thickBot="1" x14ac:dyDescent="0.55000000000000004">
      <c r="B41" s="16" t="s">
        <v>26</v>
      </c>
      <c r="C41" s="12">
        <v>2</v>
      </c>
      <c r="D41" s="13">
        <v>2000</v>
      </c>
      <c r="F41" s="9"/>
      <c r="H41" s="16" t="s">
        <v>26</v>
      </c>
      <c r="I41" s="12">
        <v>4</v>
      </c>
      <c r="J41" s="13">
        <v>4000</v>
      </c>
      <c r="K41" s="38"/>
      <c r="L41" s="9"/>
    </row>
    <row r="42" spans="2:12" ht="14.7" customHeight="1" thickBot="1" x14ac:dyDescent="0.55000000000000004">
      <c r="B42" s="8"/>
      <c r="F42" s="9"/>
      <c r="H42" s="8"/>
      <c r="I42" s="38"/>
      <c r="J42" s="38"/>
      <c r="K42" s="38"/>
      <c r="L42" s="9"/>
    </row>
    <row r="43" spans="2:12" ht="14.7" customHeight="1" thickBot="1" x14ac:dyDescent="0.55000000000000004">
      <c r="B43" s="29" t="s">
        <v>27</v>
      </c>
      <c r="C43" s="30"/>
      <c r="D43" s="31"/>
      <c r="F43" s="9"/>
      <c r="H43" s="29" t="s">
        <v>27</v>
      </c>
      <c r="I43" s="30"/>
      <c r="J43" s="31"/>
      <c r="K43" s="38"/>
      <c r="L43" s="9"/>
    </row>
    <row r="44" spans="2:12" ht="14.7" customHeight="1" thickBot="1" x14ac:dyDescent="0.55000000000000004">
      <c r="B44" s="24" t="s">
        <v>23</v>
      </c>
      <c r="C44" s="18" t="s">
        <v>24</v>
      </c>
      <c r="D44" s="19" t="s">
        <v>25</v>
      </c>
      <c r="F44" s="9"/>
      <c r="H44" s="17" t="s">
        <v>23</v>
      </c>
      <c r="I44" s="18" t="s">
        <v>24</v>
      </c>
      <c r="J44" s="19" t="s">
        <v>25</v>
      </c>
      <c r="K44" s="38"/>
      <c r="L44" s="9"/>
    </row>
    <row r="45" spans="2:12" ht="14.7" customHeight="1" thickBot="1" x14ac:dyDescent="0.55000000000000004">
      <c r="B45" s="24" t="s">
        <v>18</v>
      </c>
      <c r="C45" s="12">
        <v>131</v>
      </c>
      <c r="D45" s="13">
        <v>2302.98</v>
      </c>
      <c r="F45" s="9"/>
      <c r="H45" s="24" t="s">
        <v>18</v>
      </c>
      <c r="I45" s="12">
        <v>131</v>
      </c>
      <c r="J45" s="13">
        <v>2302.98</v>
      </c>
      <c r="K45" s="38"/>
      <c r="L45" s="9"/>
    </row>
    <row r="46" spans="2:12" ht="14.7" customHeight="1" thickBot="1" x14ac:dyDescent="0.55000000000000004">
      <c r="B46" s="8"/>
      <c r="F46" s="9"/>
      <c r="H46" s="8"/>
      <c r="I46" s="38"/>
      <c r="J46" s="38"/>
      <c r="K46" s="38"/>
      <c r="L46" s="9"/>
    </row>
    <row r="47" spans="2:12" ht="14.7" customHeight="1" thickBot="1" x14ac:dyDescent="0.55000000000000004">
      <c r="B47" s="29" t="s">
        <v>28</v>
      </c>
      <c r="C47" s="31"/>
      <c r="F47" s="9"/>
      <c r="H47" s="29" t="s">
        <v>28</v>
      </c>
      <c r="I47" s="31"/>
      <c r="J47" s="38"/>
      <c r="K47" s="38"/>
      <c r="L47" s="9"/>
    </row>
    <row r="48" spans="2:12" ht="14.7" customHeight="1" thickBot="1" x14ac:dyDescent="0.55000000000000004">
      <c r="B48" s="11" t="s">
        <v>29</v>
      </c>
      <c r="C48" s="13">
        <v>90280</v>
      </c>
      <c r="F48" s="9"/>
      <c r="H48" s="24" t="s">
        <v>29</v>
      </c>
      <c r="I48" s="13">
        <v>14100</v>
      </c>
      <c r="J48" s="38"/>
      <c r="K48" s="38"/>
      <c r="L48" s="9"/>
    </row>
    <row r="49" spans="2:12" ht="14.7" customHeight="1" thickBot="1" x14ac:dyDescent="0.55000000000000004">
      <c r="B49" s="8"/>
      <c r="F49" s="9"/>
      <c r="H49" s="8"/>
      <c r="I49" s="38"/>
      <c r="J49" s="38"/>
      <c r="K49" s="38"/>
      <c r="L49" s="9"/>
    </row>
    <row r="50" spans="2:12" ht="14.7" customHeight="1" thickBot="1" x14ac:dyDescent="0.55000000000000004">
      <c r="B50" s="29" t="s">
        <v>30</v>
      </c>
      <c r="C50" s="30"/>
      <c r="D50" s="31"/>
      <c r="F50" s="9"/>
      <c r="H50" s="35" t="s">
        <v>30</v>
      </c>
      <c r="I50" s="36"/>
      <c r="J50" s="37"/>
      <c r="K50" s="38"/>
      <c r="L50" s="9"/>
    </row>
    <row r="51" spans="2:12" ht="14.7" customHeight="1" thickBot="1" x14ac:dyDescent="0.55000000000000004">
      <c r="B51" s="11" t="s">
        <v>31</v>
      </c>
      <c r="C51" s="12" t="s">
        <v>32</v>
      </c>
      <c r="D51" s="13" t="s">
        <v>33</v>
      </c>
      <c r="F51" s="9"/>
      <c r="H51" s="24" t="s">
        <v>31</v>
      </c>
      <c r="I51" s="18" t="s">
        <v>61</v>
      </c>
      <c r="J51" s="21" t="s">
        <v>33</v>
      </c>
      <c r="K51" s="38"/>
      <c r="L51" s="9"/>
    </row>
    <row r="52" spans="2:12" ht="14.7" customHeight="1" x14ac:dyDescent="0.5">
      <c r="B52" s="23" t="s">
        <v>34</v>
      </c>
      <c r="C52" s="26">
        <v>5432626.9837742103</v>
      </c>
      <c r="D52" s="27">
        <f>C52*25</f>
        <v>135815674.59435526</v>
      </c>
      <c r="F52" s="9"/>
      <c r="H52" s="3" t="s">
        <v>34</v>
      </c>
      <c r="I52" s="40">
        <v>6747325.1036422001</v>
      </c>
      <c r="J52" s="27">
        <f>I52*25</f>
        <v>168683127.59105501</v>
      </c>
      <c r="K52" s="38"/>
      <c r="L52" s="9"/>
    </row>
    <row r="53" spans="2:12" ht="14.7" customHeight="1" thickBot="1" x14ac:dyDescent="0.55000000000000004">
      <c r="B53" s="16" t="s">
        <v>35</v>
      </c>
      <c r="C53" s="25">
        <v>3651246.4161104141</v>
      </c>
      <c r="D53" s="28">
        <f>C53*25</f>
        <v>91281160.402760357</v>
      </c>
      <c r="F53" s="9"/>
      <c r="H53" s="16" t="s">
        <v>35</v>
      </c>
      <c r="I53" s="25">
        <v>696730.89001873299</v>
      </c>
      <c r="J53" s="28">
        <f>I53*25</f>
        <v>17418272.250468325</v>
      </c>
      <c r="K53" s="38"/>
      <c r="L53" s="9"/>
    </row>
    <row r="54" spans="2:12" ht="14.7" customHeight="1" thickBot="1" x14ac:dyDescent="0.55000000000000004">
      <c r="B54" s="8"/>
      <c r="F54" s="9"/>
      <c r="H54" s="8"/>
      <c r="I54" s="39"/>
      <c r="J54" s="10"/>
      <c r="K54" s="38"/>
      <c r="L54" s="9"/>
    </row>
    <row r="55" spans="2:12" ht="14.7" customHeight="1" thickBot="1" x14ac:dyDescent="0.55000000000000004">
      <c r="B55" s="29" t="s">
        <v>36</v>
      </c>
      <c r="C55" s="30"/>
      <c r="D55" s="31"/>
      <c r="F55" s="9"/>
      <c r="H55" s="35" t="s">
        <v>36</v>
      </c>
      <c r="I55" s="36"/>
      <c r="J55" s="37"/>
      <c r="K55" s="38"/>
      <c r="L55" s="9"/>
    </row>
    <row r="56" spans="2:12" ht="14.7" customHeight="1" thickBot="1" x14ac:dyDescent="0.55000000000000004">
      <c r="B56" s="11" t="s">
        <v>31</v>
      </c>
      <c r="C56" s="12" t="s">
        <v>32</v>
      </c>
      <c r="D56" s="13" t="s">
        <v>33</v>
      </c>
      <c r="F56" s="9"/>
      <c r="H56" s="24" t="s">
        <v>31</v>
      </c>
      <c r="I56" s="20">
        <v>1832606.8182731799</v>
      </c>
      <c r="J56" s="21" t="s">
        <v>33</v>
      </c>
      <c r="K56" s="38"/>
      <c r="L56" s="9"/>
    </row>
    <row r="57" spans="2:12" ht="14.7" customHeight="1" thickBot="1" x14ac:dyDescent="0.55000000000000004">
      <c r="B57" s="23" t="s">
        <v>34</v>
      </c>
      <c r="C57">
        <v>1475528.3165806499</v>
      </c>
      <c r="D57" s="9">
        <f>C57*25</f>
        <v>36888207.914516248</v>
      </c>
      <c r="F57" s="9"/>
      <c r="H57" s="16" t="s">
        <v>34</v>
      </c>
      <c r="I57" s="14">
        <v>281628.45857853099</v>
      </c>
      <c r="J57" s="15">
        <f>I57*25</f>
        <v>7040711.4644632749</v>
      </c>
      <c r="K57" s="38"/>
      <c r="L57" s="9"/>
    </row>
    <row r="58" spans="2:12" ht="14.7" customHeight="1" thickBot="1" x14ac:dyDescent="0.55000000000000004">
      <c r="B58" s="16" t="s">
        <v>35</v>
      </c>
      <c r="C58" s="12">
        <v>1584773.0072707292</v>
      </c>
      <c r="D58" s="13">
        <f>C58*25</f>
        <v>39619325.181768231</v>
      </c>
      <c r="F58" s="9"/>
      <c r="H58" s="8" t="s">
        <v>35</v>
      </c>
      <c r="I58" s="12">
        <v>696730.89001873299</v>
      </c>
      <c r="J58" s="38">
        <f>I58*25</f>
        <v>17418272.250468325</v>
      </c>
      <c r="K58" s="38"/>
      <c r="L58" s="9"/>
    </row>
    <row r="59" spans="2:12" ht="14.7" customHeight="1" thickBot="1" x14ac:dyDescent="0.55000000000000004">
      <c r="B59" s="8"/>
      <c r="F59" s="9"/>
      <c r="H59" s="8"/>
      <c r="I59" s="38"/>
      <c r="J59" s="38"/>
      <c r="K59" s="38"/>
      <c r="L59" s="9"/>
    </row>
    <row r="60" spans="2:12" ht="14.7" customHeight="1" thickBot="1" x14ac:dyDescent="0.55000000000000004">
      <c r="B60" s="29" t="s">
        <v>37</v>
      </c>
      <c r="C60" s="31"/>
      <c r="F60" s="9"/>
      <c r="H60" s="29" t="s">
        <v>38</v>
      </c>
      <c r="I60" s="31"/>
      <c r="J60" s="38"/>
      <c r="K60" s="38"/>
      <c r="L60" s="9"/>
    </row>
    <row r="61" spans="2:12" ht="14.7" customHeight="1" thickBot="1" x14ac:dyDescent="0.55000000000000004">
      <c r="B61" s="24" t="s">
        <v>39</v>
      </c>
      <c r="C61" s="13">
        <v>814223.60058474401</v>
      </c>
      <c r="F61" s="9"/>
      <c r="H61" s="24" t="s">
        <v>39</v>
      </c>
      <c r="I61" s="13">
        <v>126844.501092354</v>
      </c>
      <c r="J61" s="38"/>
      <c r="K61" s="38"/>
      <c r="L61" s="9"/>
    </row>
    <row r="62" spans="2:12" ht="14.7" customHeight="1" thickBot="1" x14ac:dyDescent="0.55000000000000004">
      <c r="B62" s="8"/>
      <c r="F62" s="9"/>
      <c r="H62" s="8"/>
      <c r="I62" s="38"/>
      <c r="J62" s="38"/>
      <c r="K62" s="38"/>
      <c r="L62" s="9"/>
    </row>
    <row r="63" spans="2:12" ht="14.7" customHeight="1" thickBot="1" x14ac:dyDescent="0.55000000000000004">
      <c r="B63" s="29" t="s">
        <v>40</v>
      </c>
      <c r="C63" s="31"/>
      <c r="F63" s="9"/>
      <c r="H63" s="29" t="s">
        <v>40</v>
      </c>
      <c r="I63" s="31"/>
      <c r="J63" s="38"/>
      <c r="K63" s="38"/>
      <c r="L63" s="9"/>
    </row>
    <row r="64" spans="2:12" ht="14.7" customHeight="1" thickBot="1" x14ac:dyDescent="0.55000000000000004">
      <c r="B64" s="29">
        <f>E23/B70</f>
        <v>1.3356977655654758</v>
      </c>
      <c r="C64" s="31"/>
      <c r="F64" s="9"/>
      <c r="H64" s="29">
        <f>K23/B70</f>
        <v>1.0078981285722997</v>
      </c>
      <c r="I64" s="31"/>
      <c r="J64" s="38"/>
      <c r="K64" s="38"/>
      <c r="L64" s="9"/>
    </row>
    <row r="65" spans="2:12" x14ac:dyDescent="0.5">
      <c r="B65" s="8"/>
      <c r="F65" s="9"/>
      <c r="H65" s="8"/>
      <c r="I65" s="38"/>
      <c r="J65" s="38"/>
      <c r="K65" s="38"/>
      <c r="L65" s="9"/>
    </row>
    <row r="66" spans="2:12" ht="14.7" customHeight="1" thickBot="1" x14ac:dyDescent="0.55000000000000004">
      <c r="B66" s="11"/>
      <c r="C66" s="12"/>
      <c r="D66" s="12"/>
      <c r="E66" s="12"/>
      <c r="F66" s="13"/>
      <c r="G66" s="12"/>
      <c r="H66" s="11"/>
      <c r="I66" s="12"/>
      <c r="J66" s="12"/>
      <c r="K66" s="12"/>
      <c r="L66" s="13"/>
    </row>
    <row r="67" spans="2:12" ht="14.7" customHeight="1" thickBot="1" x14ac:dyDescent="0.55000000000000004">
      <c r="B67" s="11"/>
      <c r="C67" s="12"/>
      <c r="L67" s="9"/>
    </row>
    <row r="68" spans="2:12" ht="14.7" customHeight="1" thickBot="1" x14ac:dyDescent="0.55000000000000004">
      <c r="B68" s="32" t="s">
        <v>41</v>
      </c>
      <c r="C68" s="33"/>
      <c r="L68" s="9"/>
    </row>
    <row r="69" spans="2:12" ht="14.7" customHeight="1" thickBot="1" x14ac:dyDescent="0.55000000000000004">
      <c r="B69" s="17" t="s">
        <v>42</v>
      </c>
      <c r="C69" s="19" t="s">
        <v>43</v>
      </c>
      <c r="L69" s="9"/>
    </row>
    <row r="70" spans="2:12" ht="14.7" customHeight="1" thickBot="1" x14ac:dyDescent="0.55000000000000004">
      <c r="B70" s="11">
        <f>C108</f>
        <v>4031079.242559725</v>
      </c>
      <c r="C70" s="13">
        <f>D108</f>
        <v>100776981.06399313</v>
      </c>
      <c r="D70" s="12"/>
      <c r="E70" s="12"/>
      <c r="F70" s="12"/>
      <c r="G70" s="12"/>
      <c r="H70" s="12"/>
      <c r="I70" s="12"/>
      <c r="J70" s="12"/>
      <c r="K70" s="12"/>
      <c r="L70" s="13"/>
    </row>
    <row r="71" spans="2:12" ht="14.7" customHeight="1" thickBot="1" x14ac:dyDescent="0.55000000000000004"/>
    <row r="72" spans="2:12" ht="14.7" customHeight="1" thickBot="1" x14ac:dyDescent="0.55000000000000004">
      <c r="B72" s="29" t="s">
        <v>44</v>
      </c>
      <c r="C72" s="30"/>
      <c r="D72" s="30"/>
      <c r="E72" s="30"/>
      <c r="F72" s="31"/>
    </row>
    <row r="73" spans="2:12" ht="14.7" customHeight="1" thickBot="1" x14ac:dyDescent="0.55000000000000004">
      <c r="B73" s="29" t="s">
        <v>45</v>
      </c>
      <c r="C73" s="30"/>
      <c r="D73" s="30"/>
      <c r="E73" s="30"/>
      <c r="F73" s="31"/>
    </row>
    <row r="74" spans="2:12" ht="14.7" customHeight="1" thickBot="1" x14ac:dyDescent="0.55000000000000004">
      <c r="B74" s="24" t="s">
        <v>46</v>
      </c>
      <c r="C74" s="18" t="s">
        <v>4</v>
      </c>
      <c r="D74" s="18" t="s">
        <v>5</v>
      </c>
      <c r="E74" s="18" t="s">
        <v>6</v>
      </c>
      <c r="F74" s="19" t="s">
        <v>7</v>
      </c>
    </row>
    <row r="75" spans="2:12" x14ac:dyDescent="0.5">
      <c r="B75" s="23" t="s">
        <v>9</v>
      </c>
      <c r="C75">
        <v>31928.605784653319</v>
      </c>
      <c r="D75">
        <v>74500</v>
      </c>
      <c r="E75">
        <f>C75+D75</f>
        <v>106428.60578465332</v>
      </c>
      <c r="F75" s="9">
        <f>E75*25</f>
        <v>2660715.1446163328</v>
      </c>
    </row>
    <row r="76" spans="2:12" x14ac:dyDescent="0.5">
      <c r="B76" s="3" t="s">
        <v>10</v>
      </c>
      <c r="C76">
        <v>0</v>
      </c>
      <c r="D76">
        <v>0</v>
      </c>
      <c r="E76">
        <f>C76+D76</f>
        <v>0</v>
      </c>
      <c r="F76" s="9">
        <f>E76*25</f>
        <v>0</v>
      </c>
    </row>
    <row r="77" spans="2:12" x14ac:dyDescent="0.5">
      <c r="B77" s="3" t="s">
        <v>14</v>
      </c>
      <c r="C77">
        <v>0</v>
      </c>
      <c r="D77">
        <v>0</v>
      </c>
      <c r="E77">
        <f>C77+D77</f>
        <v>0</v>
      </c>
      <c r="F77" s="9">
        <f>E77*25</f>
        <v>0</v>
      </c>
    </row>
    <row r="78" spans="2:12" x14ac:dyDescent="0.5">
      <c r="B78" s="3" t="s">
        <v>47</v>
      </c>
      <c r="C78">
        <v>0</v>
      </c>
      <c r="D78">
        <v>0</v>
      </c>
      <c r="E78">
        <f>C78+D78</f>
        <v>0</v>
      </c>
      <c r="F78" s="9">
        <f>E78*25</f>
        <v>0</v>
      </c>
    </row>
    <row r="79" spans="2:12" ht="14.7" customHeight="1" thickBot="1" x14ac:dyDescent="0.55000000000000004">
      <c r="B79" s="16" t="s">
        <v>48</v>
      </c>
      <c r="C79" s="12"/>
      <c r="D79" s="12"/>
      <c r="E79">
        <f>C79+D79</f>
        <v>0</v>
      </c>
      <c r="F79" s="9">
        <f>E79*25</f>
        <v>0</v>
      </c>
    </row>
    <row r="80" spans="2:12" ht="14.7" customHeight="1" thickBot="1" x14ac:dyDescent="0.55000000000000004">
      <c r="B80" s="17" t="s">
        <v>49</v>
      </c>
      <c r="C80" s="18" t="s">
        <v>4</v>
      </c>
      <c r="D80" s="18" t="s">
        <v>5</v>
      </c>
      <c r="E80" s="18" t="s">
        <v>6</v>
      </c>
      <c r="F80" s="19" t="s">
        <v>7</v>
      </c>
    </row>
    <row r="81" spans="2:6" x14ac:dyDescent="0.5">
      <c r="B81" s="23" t="s">
        <v>18</v>
      </c>
      <c r="C81">
        <v>29567.531751746908</v>
      </c>
      <c r="D81">
        <v>36847.679999999993</v>
      </c>
      <c r="E81">
        <f>C81+D81</f>
        <v>66415.211751746901</v>
      </c>
      <c r="F81" s="9">
        <f>E81*25</f>
        <v>1660380.2937936725</v>
      </c>
    </row>
    <row r="82" spans="2:6" ht="14.7" customHeight="1" thickBot="1" x14ac:dyDescent="0.55000000000000004">
      <c r="B82" s="16" t="s">
        <v>50</v>
      </c>
      <c r="C82" s="12"/>
      <c r="D82" s="12"/>
      <c r="E82">
        <f>C82+D82</f>
        <v>0</v>
      </c>
      <c r="F82" s="9">
        <f>E82*25</f>
        <v>0</v>
      </c>
    </row>
    <row r="83" spans="2:6" ht="14.7" customHeight="1" thickBot="1" x14ac:dyDescent="0.55000000000000004">
      <c r="B83" s="17"/>
      <c r="C83" s="18" t="s">
        <v>4</v>
      </c>
      <c r="D83" s="18" t="s">
        <v>5</v>
      </c>
      <c r="E83" s="18" t="s">
        <v>6</v>
      </c>
      <c r="F83" s="19" t="s">
        <v>7</v>
      </c>
    </row>
    <row r="84" spans="2:6" ht="14.7" customHeight="1" thickBot="1" x14ac:dyDescent="0.55000000000000004">
      <c r="B84" s="24" t="s">
        <v>22</v>
      </c>
      <c r="C84" s="12">
        <v>61496.137536400231</v>
      </c>
      <c r="D84" s="12">
        <v>3335747.465164219</v>
      </c>
      <c r="E84" s="12">
        <v>3397243.60270062</v>
      </c>
      <c r="F84" s="13">
        <f>E84*25</f>
        <v>84931090.067515492</v>
      </c>
    </row>
    <row r="85" spans="2:6" ht="14.7" customHeight="1" thickBot="1" x14ac:dyDescent="0.55000000000000004">
      <c r="B85" s="8"/>
      <c r="F85" s="9"/>
    </row>
    <row r="86" spans="2:6" ht="14.7" customHeight="1" thickBot="1" x14ac:dyDescent="0.55000000000000004">
      <c r="B86" s="29" t="s">
        <v>46</v>
      </c>
      <c r="C86" s="30"/>
      <c r="D86" s="31"/>
      <c r="F86" s="9"/>
    </row>
    <row r="87" spans="2:6" ht="14.7" customHeight="1" thickBot="1" x14ac:dyDescent="0.55000000000000004">
      <c r="B87" s="24" t="s">
        <v>23</v>
      </c>
      <c r="C87" s="18" t="s">
        <v>24</v>
      </c>
      <c r="D87" s="19" t="s">
        <v>25</v>
      </c>
      <c r="F87" s="9"/>
    </row>
    <row r="88" spans="2:6" x14ac:dyDescent="0.5">
      <c r="B88" s="23" t="s">
        <v>9</v>
      </c>
      <c r="C88">
        <v>5</v>
      </c>
      <c r="D88" s="9">
        <v>500</v>
      </c>
      <c r="F88" s="9"/>
    </row>
    <row r="89" spans="2:6" x14ac:dyDescent="0.5">
      <c r="B89" s="3" t="s">
        <v>10</v>
      </c>
      <c r="C89">
        <v>0</v>
      </c>
      <c r="D89" s="9">
        <v>0</v>
      </c>
      <c r="F89" s="9"/>
    </row>
    <row r="90" spans="2:6" x14ac:dyDescent="0.5">
      <c r="B90" s="3" t="s">
        <v>14</v>
      </c>
      <c r="C90">
        <v>0</v>
      </c>
      <c r="D90" s="9">
        <v>0</v>
      </c>
      <c r="F90" s="9"/>
    </row>
    <row r="91" spans="2:6" x14ac:dyDescent="0.5">
      <c r="B91" s="3" t="s">
        <v>47</v>
      </c>
      <c r="C91">
        <v>0</v>
      </c>
      <c r="D91" s="9">
        <v>0</v>
      </c>
      <c r="F91" s="9"/>
    </row>
    <row r="92" spans="2:6" ht="14.7" customHeight="1" thickBot="1" x14ac:dyDescent="0.55000000000000004">
      <c r="B92" s="16" t="s">
        <v>26</v>
      </c>
      <c r="C92" s="12">
        <v>5</v>
      </c>
      <c r="D92" s="13">
        <v>500</v>
      </c>
      <c r="F92" s="9"/>
    </row>
    <row r="93" spans="2:6" ht="14.7" customHeight="1" thickBot="1" x14ac:dyDescent="0.55000000000000004">
      <c r="B93" s="8"/>
      <c r="F93" s="9"/>
    </row>
    <row r="94" spans="2:6" ht="14.7" customHeight="1" thickBot="1" x14ac:dyDescent="0.55000000000000004">
      <c r="B94" s="29" t="s">
        <v>51</v>
      </c>
      <c r="C94" s="30"/>
      <c r="D94" s="31"/>
      <c r="F94" s="9"/>
    </row>
    <row r="95" spans="2:6" ht="14.7" customHeight="1" thickBot="1" x14ac:dyDescent="0.55000000000000004">
      <c r="B95" s="17" t="s">
        <v>23</v>
      </c>
      <c r="C95" s="18" t="s">
        <v>24</v>
      </c>
      <c r="D95" s="19" t="s">
        <v>25</v>
      </c>
      <c r="F95" s="9"/>
    </row>
    <row r="96" spans="2:6" ht="14.7" customHeight="1" thickBot="1" x14ac:dyDescent="0.55000000000000004">
      <c r="B96" s="24" t="s">
        <v>18</v>
      </c>
      <c r="C96" s="12">
        <v>131</v>
      </c>
      <c r="D96" s="13">
        <v>2302.98</v>
      </c>
      <c r="F96" s="9"/>
    </row>
    <row r="97" spans="2:6" ht="14.7" customHeight="1" thickBot="1" x14ac:dyDescent="0.55000000000000004">
      <c r="B97" s="8"/>
      <c r="F97" s="9"/>
    </row>
    <row r="98" spans="2:6" ht="14.7" customHeight="1" thickBot="1" x14ac:dyDescent="0.55000000000000004">
      <c r="B98" s="29" t="s">
        <v>52</v>
      </c>
      <c r="C98" s="30"/>
      <c r="D98" s="31"/>
      <c r="F98" s="9"/>
    </row>
    <row r="99" spans="2:6" ht="14.7" customHeight="1" thickBot="1" x14ac:dyDescent="0.55000000000000004">
      <c r="B99" s="17" t="s">
        <v>53</v>
      </c>
      <c r="C99" s="18" t="s">
        <v>54</v>
      </c>
      <c r="D99" s="19" t="s">
        <v>55</v>
      </c>
      <c r="F99" s="9"/>
    </row>
    <row r="100" spans="2:6" x14ac:dyDescent="0.5">
      <c r="B100" s="23" t="s">
        <v>56</v>
      </c>
      <c r="C100">
        <v>779736.84210526338</v>
      </c>
      <c r="D100" s="9">
        <f>C100*25</f>
        <v>19493421.052631583</v>
      </c>
      <c r="F100" s="9"/>
    </row>
    <row r="101" spans="2:6" x14ac:dyDescent="0.5">
      <c r="B101" s="3" t="s">
        <v>57</v>
      </c>
      <c r="C101">
        <v>765626.10309685476</v>
      </c>
      <c r="D101" s="9">
        <f>C101*25</f>
        <v>19140652.577421367</v>
      </c>
      <c r="F101" s="9"/>
    </row>
    <row r="102" spans="2:6" ht="14.7" customHeight="1" thickBot="1" x14ac:dyDescent="0.55000000000000004">
      <c r="B102" s="16" t="s">
        <v>26</v>
      </c>
      <c r="C102" s="12">
        <f>C100+C101</f>
        <v>1545362.9452021183</v>
      </c>
      <c r="D102" s="13">
        <f>C102*25</f>
        <v>38634073.630052954</v>
      </c>
      <c r="F102" s="9"/>
    </row>
    <row r="103" spans="2:6" ht="14.7" customHeight="1" thickBot="1" x14ac:dyDescent="0.55000000000000004">
      <c r="B103" s="8"/>
      <c r="F103" s="9"/>
    </row>
    <row r="104" spans="2:6" ht="14.7" customHeight="1" thickBot="1" x14ac:dyDescent="0.55000000000000004">
      <c r="B104" s="29" t="s">
        <v>58</v>
      </c>
      <c r="C104" s="30"/>
      <c r="D104" s="31"/>
      <c r="F104" s="9"/>
    </row>
    <row r="105" spans="2:6" ht="14.7" customHeight="1" thickBot="1" x14ac:dyDescent="0.55000000000000004">
      <c r="B105" s="17" t="s">
        <v>53</v>
      </c>
      <c r="C105" s="18" t="s">
        <v>59</v>
      </c>
      <c r="D105" s="22" t="s">
        <v>60</v>
      </c>
      <c r="F105" s="9"/>
    </row>
    <row r="106" spans="2:6" x14ac:dyDescent="0.5">
      <c r="B106" s="23" t="s">
        <v>56</v>
      </c>
      <c r="C106">
        <f>2.6085*C100</f>
        <v>2033943.5526315793</v>
      </c>
      <c r="D106" s="9">
        <f>C106*25</f>
        <v>50848588.815789483</v>
      </c>
      <c r="F106" s="9"/>
    </row>
    <row r="107" spans="2:6" x14ac:dyDescent="0.5">
      <c r="B107" s="3" t="s">
        <v>57</v>
      </c>
      <c r="C107">
        <f>2.6085*C101</f>
        <v>1997135.6899281454</v>
      </c>
      <c r="D107" s="9">
        <f>C107*25</f>
        <v>49928392.248203635</v>
      </c>
      <c r="F107" s="9"/>
    </row>
    <row r="108" spans="2:6" ht="14.7" customHeight="1" thickBot="1" x14ac:dyDescent="0.55000000000000004">
      <c r="B108" s="16" t="s">
        <v>26</v>
      </c>
      <c r="C108" s="12">
        <f>2.6085*C102</f>
        <v>4031079.242559725</v>
      </c>
      <c r="D108" s="13">
        <f>C108*25</f>
        <v>100776981.06399313</v>
      </c>
      <c r="E108" s="12"/>
      <c r="F108" s="13"/>
    </row>
  </sheetData>
  <mergeCells count="30">
    <mergeCell ref="H64:I64"/>
    <mergeCell ref="H50:J50"/>
    <mergeCell ref="H55:J55"/>
    <mergeCell ref="B86:D86"/>
    <mergeCell ref="B104:D104"/>
    <mergeCell ref="B73:F73"/>
    <mergeCell ref="B36:D36"/>
    <mergeCell ref="B94:D94"/>
    <mergeCell ref="B50:D50"/>
    <mergeCell ref="B68:C68"/>
    <mergeCell ref="B64:C64"/>
    <mergeCell ref="B47:C47"/>
    <mergeCell ref="B98:D98"/>
    <mergeCell ref="B72:F72"/>
    <mergeCell ref="H33:I33"/>
    <mergeCell ref="B5:L5"/>
    <mergeCell ref="B63:C63"/>
    <mergeCell ref="B43:D43"/>
    <mergeCell ref="H25:J25"/>
    <mergeCell ref="H6:L6"/>
    <mergeCell ref="H60:I60"/>
    <mergeCell ref="B60:C60"/>
    <mergeCell ref="B55:D55"/>
    <mergeCell ref="H47:I47"/>
    <mergeCell ref="B25:D25"/>
    <mergeCell ref="H43:J43"/>
    <mergeCell ref="B6:F6"/>
    <mergeCell ref="B33:C33"/>
    <mergeCell ref="H36:J36"/>
    <mergeCell ref="H63:I63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B4:N108"/>
  <sheetViews>
    <sheetView tabSelected="1" topLeftCell="A15" zoomScale="70" zoomScaleNormal="70" workbookViewId="0">
      <selection activeCell="M29" sqref="M29"/>
    </sheetView>
  </sheetViews>
  <sheetFormatPr defaultColWidth="39.234375" defaultRowHeight="14.35" x14ac:dyDescent="0.5"/>
  <cols>
    <col min="1" max="1" width="13.52734375" customWidth="1"/>
    <col min="2" max="2" width="15.234375" bestFit="1" customWidth="1"/>
    <col min="3" max="3" width="17.64453125" bestFit="1" customWidth="1"/>
    <col min="4" max="4" width="18.64453125" bestFit="1" customWidth="1"/>
    <col min="5" max="5" width="12.46875" bestFit="1" customWidth="1"/>
    <col min="6" max="6" width="13.5859375" bestFit="1" customWidth="1"/>
    <col min="7" max="7" width="12.46875" customWidth="1"/>
    <col min="8" max="8" width="15.234375" bestFit="1" customWidth="1"/>
    <col min="9" max="9" width="15.703125" bestFit="1" customWidth="1"/>
    <col min="10" max="10" width="18" bestFit="1" customWidth="1"/>
    <col min="11" max="11" width="12.46875" bestFit="1" customWidth="1"/>
    <col min="12" max="12" width="14.5859375" bestFit="1" customWidth="1"/>
    <col min="13" max="14" width="13.41015625" bestFit="1" customWidth="1"/>
    <col min="15" max="15" width="11.76171875" bestFit="1" customWidth="1"/>
  </cols>
  <sheetData>
    <row r="4" spans="2:14" ht="14.7" customHeight="1" thickBot="1" x14ac:dyDescent="0.55000000000000004"/>
    <row r="5" spans="2:14" ht="14.7" customHeight="1" thickBot="1" x14ac:dyDescent="0.55000000000000004">
      <c r="B5" s="29" t="s">
        <v>0</v>
      </c>
      <c r="C5" s="30"/>
      <c r="D5" s="30"/>
      <c r="E5" s="30"/>
      <c r="F5" s="30"/>
      <c r="G5" s="30"/>
      <c r="H5" s="30"/>
      <c r="I5" s="30"/>
      <c r="J5" s="30"/>
      <c r="K5" s="30"/>
      <c r="L5" s="31"/>
    </row>
    <row r="6" spans="2:14" ht="14.7" customHeight="1" thickBot="1" x14ac:dyDescent="0.55000000000000004">
      <c r="B6" s="29" t="s">
        <v>1</v>
      </c>
      <c r="C6" s="30"/>
      <c r="D6" s="30"/>
      <c r="E6" s="30"/>
      <c r="F6" s="31"/>
      <c r="H6" s="29" t="s">
        <v>2</v>
      </c>
      <c r="I6" s="30"/>
      <c r="J6" s="30"/>
      <c r="K6" s="30"/>
      <c r="L6" s="31"/>
    </row>
    <row r="7" spans="2:14" ht="14.7" customHeight="1" thickBot="1" x14ac:dyDescent="0.55000000000000004">
      <c r="B7" s="24" t="s">
        <v>3</v>
      </c>
      <c r="C7" s="18" t="s">
        <v>4</v>
      </c>
      <c r="D7" s="18" t="s">
        <v>5</v>
      </c>
      <c r="E7" s="18" t="s">
        <v>6</v>
      </c>
      <c r="F7" s="19" t="s">
        <v>7</v>
      </c>
      <c r="H7" s="24" t="s">
        <v>3</v>
      </c>
      <c r="I7" s="18" t="s">
        <v>4</v>
      </c>
      <c r="J7" s="18" t="s">
        <v>5</v>
      </c>
      <c r="K7" s="18" t="s">
        <v>6</v>
      </c>
      <c r="L7" s="19" t="s">
        <v>7</v>
      </c>
    </row>
    <row r="8" spans="2:14" x14ac:dyDescent="0.5">
      <c r="B8" s="3" t="s">
        <v>8</v>
      </c>
      <c r="C8" s="6">
        <f>13698 * D27*((0.05*((1.05)^25))/((1.05^25)-1))</f>
        <v>97190.676008484734</v>
      </c>
      <c r="D8" s="6">
        <f>29*D27</f>
        <v>2900</v>
      </c>
      <c r="E8" s="6">
        <f>C8+D8</f>
        <v>100090.67600848473</v>
      </c>
      <c r="F8" s="10">
        <f>E8*25</f>
        <v>2502266.9002121184</v>
      </c>
      <c r="H8" s="3" t="s">
        <v>9</v>
      </c>
      <c r="I8" s="39">
        <f>1615 * J27*((0.05*((1.05)^25))/((1.05^25)-1))</f>
        <v>0</v>
      </c>
      <c r="J8" s="39">
        <f>29*J27</f>
        <v>0</v>
      </c>
      <c r="K8" s="39">
        <f>I8+J8</f>
        <v>0</v>
      </c>
      <c r="L8" s="10">
        <f>K8*25</f>
        <v>0</v>
      </c>
    </row>
    <row r="9" spans="2:14" x14ac:dyDescent="0.5">
      <c r="B9" s="3" t="s">
        <v>10</v>
      </c>
      <c r="C9" s="6">
        <f>13698 * D28*((0.05*((1.05)^25))/((1.05^25)-1))</f>
        <v>2429766.9002121184</v>
      </c>
      <c r="D9" s="6">
        <f>29*D28</f>
        <v>72500</v>
      </c>
      <c r="E9" s="6">
        <f>C9+D9</f>
        <v>2502266.9002121184</v>
      </c>
      <c r="F9" s="10">
        <f>E9*25</f>
        <v>62556672.505302958</v>
      </c>
      <c r="H9" s="3" t="s">
        <v>10</v>
      </c>
      <c r="I9" s="39">
        <f>1615 * J28*((0.05*((1.05)^25))/((1.05^25)-1))</f>
        <v>343764.65561476751</v>
      </c>
      <c r="J9" s="39">
        <f>29*J28</f>
        <v>87000</v>
      </c>
      <c r="K9" s="39">
        <f>I9+J9</f>
        <v>430764.65561476751</v>
      </c>
      <c r="L9" s="10">
        <f>K9*25</f>
        <v>10769116.390369188</v>
      </c>
      <c r="M9" s="7"/>
      <c r="N9" s="6"/>
    </row>
    <row r="10" spans="2:14" x14ac:dyDescent="0.5">
      <c r="B10" s="3" t="s">
        <v>11</v>
      </c>
      <c r="C10" s="6">
        <f>13698 * D29*((0.05*((1.05)^25))/((1.05^25)-1))</f>
        <v>0</v>
      </c>
      <c r="D10" s="6">
        <f>29*D29</f>
        <v>0</v>
      </c>
      <c r="E10" s="6">
        <f>C10+D10</f>
        <v>0</v>
      </c>
      <c r="F10" s="10">
        <f>E10*25</f>
        <v>0</v>
      </c>
      <c r="H10" s="3" t="s">
        <v>11</v>
      </c>
      <c r="I10" s="39">
        <f>1615 * J29*((0.05*((1.05)^25))/((1.05^25)-1))</f>
        <v>0</v>
      </c>
      <c r="J10" s="39">
        <f>29*J29</f>
        <v>0</v>
      </c>
      <c r="K10" s="39">
        <f>I10+J10</f>
        <v>0</v>
      </c>
      <c r="L10" s="10">
        <f>K10*25</f>
        <v>0</v>
      </c>
      <c r="M10" s="7"/>
    </row>
    <row r="11" spans="2:14" ht="14.7" customHeight="1" thickBot="1" x14ac:dyDescent="0.55000000000000004">
      <c r="B11" s="16" t="s">
        <v>12</v>
      </c>
      <c r="C11" s="14">
        <f>13698 * D30*((0.05*((1.05)^25))/((1.05^25)-1))</f>
        <v>0</v>
      </c>
      <c r="D11" s="14">
        <f>29*D30</f>
        <v>0</v>
      </c>
      <c r="E11" s="14">
        <f>C11+D11</f>
        <v>0</v>
      </c>
      <c r="F11" s="15">
        <f>E11*25</f>
        <v>0</v>
      </c>
      <c r="H11" s="16" t="s">
        <v>12</v>
      </c>
      <c r="I11" s="14">
        <f>1615 * J30*((0.05*((1.05)^25))/((1.05^25)-1))</f>
        <v>0</v>
      </c>
      <c r="J11" s="14">
        <f>29*J30</f>
        <v>0</v>
      </c>
      <c r="K11" s="14">
        <f>I11+J11</f>
        <v>0</v>
      </c>
      <c r="L11" s="13">
        <f>K11*25</f>
        <v>0</v>
      </c>
    </row>
    <row r="12" spans="2:14" ht="14.7" customHeight="1" thickBot="1" x14ac:dyDescent="0.55000000000000004">
      <c r="B12" s="24" t="s">
        <v>13</v>
      </c>
      <c r="C12" s="18" t="s">
        <v>4</v>
      </c>
      <c r="D12" s="18" t="s">
        <v>5</v>
      </c>
      <c r="E12" s="18" t="s">
        <v>6</v>
      </c>
      <c r="F12" s="19" t="s">
        <v>7</v>
      </c>
      <c r="H12" s="24" t="s">
        <v>13</v>
      </c>
      <c r="I12" s="18" t="s">
        <v>4</v>
      </c>
      <c r="J12" s="18" t="s">
        <v>5</v>
      </c>
      <c r="K12" s="18" t="s">
        <v>6</v>
      </c>
      <c r="L12" s="19" t="s">
        <v>7</v>
      </c>
    </row>
    <row r="13" spans="2:14" x14ac:dyDescent="0.5">
      <c r="B13" s="3" t="s">
        <v>14</v>
      </c>
      <c r="C13" s="4">
        <f>2490 * D38*((0.05*((1.05)^10))/((1.05^10)-1))</f>
        <v>644932.78332797438</v>
      </c>
      <c r="D13" s="1">
        <f>37.35*D38</f>
        <v>74700</v>
      </c>
      <c r="E13">
        <f>C13+D13</f>
        <v>719632.78332797438</v>
      </c>
      <c r="F13" s="9">
        <f>E13*25</f>
        <v>17990819.583199359</v>
      </c>
      <c r="H13" s="3" t="s">
        <v>14</v>
      </c>
      <c r="I13" s="4">
        <f>2490 * J38*((0.05*((1.05)^10))/((1.05^10)-1))</f>
        <v>967399.17499196157</v>
      </c>
      <c r="J13" s="1">
        <f>37.35*J38</f>
        <v>112050</v>
      </c>
      <c r="K13" s="39">
        <f>I13+J13</f>
        <v>1079449.1749919616</v>
      </c>
      <c r="L13" s="10">
        <f>K13*25</f>
        <v>26986229.374799039</v>
      </c>
    </row>
    <row r="14" spans="2:14" x14ac:dyDescent="0.5">
      <c r="B14" s="3" t="s">
        <v>15</v>
      </c>
      <c r="C14" s="4">
        <f>1570 * D39*((0.05*((1.05)^10))/((1.05^10)-1))</f>
        <v>0</v>
      </c>
      <c r="D14" s="1">
        <f>23.55*D39</f>
        <v>0</v>
      </c>
      <c r="E14">
        <f>C14+D14</f>
        <v>0</v>
      </c>
      <c r="F14" s="9">
        <f>E14*25</f>
        <v>0</v>
      </c>
      <c r="H14" s="3" t="s">
        <v>15</v>
      </c>
      <c r="I14" s="4">
        <f>1570 * J39*((0.05*((1.05)^10))/((1.05^10)-1))</f>
        <v>0</v>
      </c>
      <c r="J14" s="1">
        <f>23.55*J39</f>
        <v>0</v>
      </c>
      <c r="K14" s="38">
        <f>I14+J14</f>
        <v>0</v>
      </c>
      <c r="L14" s="10">
        <f>K14*25</f>
        <v>0</v>
      </c>
    </row>
    <row r="15" spans="2:14" ht="14.7" customHeight="1" thickBot="1" x14ac:dyDescent="0.55000000000000004">
      <c r="B15" s="16" t="s">
        <v>16</v>
      </c>
      <c r="C15" s="5">
        <f>1190 * D40*((0.05*((1.05)^10))/((1.05^10)-1))</f>
        <v>0</v>
      </c>
      <c r="D15" s="2">
        <f>17.85*D40</f>
        <v>0</v>
      </c>
      <c r="E15" s="12">
        <f>C15+D15</f>
        <v>0</v>
      </c>
      <c r="F15" s="13">
        <f>E15*25</f>
        <v>0</v>
      </c>
      <c r="H15" s="16" t="s">
        <v>16</v>
      </c>
      <c r="I15" s="5">
        <f>1190 * J40*((0.05*((1.05)^10))/((1.05^10)-1))</f>
        <v>0</v>
      </c>
      <c r="J15" s="2">
        <f>17.85*J40</f>
        <v>0</v>
      </c>
      <c r="K15" s="12">
        <f>I15+J15</f>
        <v>0</v>
      </c>
      <c r="L15" s="15">
        <f>K15*25</f>
        <v>0</v>
      </c>
    </row>
    <row r="16" spans="2:14" ht="14.7" customHeight="1" thickBot="1" x14ac:dyDescent="0.55000000000000004">
      <c r="B16" s="24" t="s">
        <v>17</v>
      </c>
      <c r="C16" s="18" t="s">
        <v>4</v>
      </c>
      <c r="D16" s="18" t="s">
        <v>5</v>
      </c>
      <c r="E16" s="18" t="s">
        <v>6</v>
      </c>
      <c r="F16" s="19" t="s">
        <v>7</v>
      </c>
      <c r="H16" s="24" t="s">
        <v>17</v>
      </c>
      <c r="I16" s="18" t="s">
        <v>4</v>
      </c>
      <c r="J16" s="18" t="s">
        <v>5</v>
      </c>
      <c r="K16" s="18" t="s">
        <v>6</v>
      </c>
      <c r="L16" s="19" t="s">
        <v>7</v>
      </c>
    </row>
    <row r="17" spans="2:14" ht="14.7" customHeight="1" thickBot="1" x14ac:dyDescent="0.55000000000000004">
      <c r="B17" s="16" t="s">
        <v>18</v>
      </c>
      <c r="C17" s="12">
        <v>37241.547626246109</v>
      </c>
      <c r="D17" s="12">
        <v>46411.199999999997</v>
      </c>
      <c r="E17" s="12">
        <f>D17+C17</f>
        <v>83652.747626246099</v>
      </c>
      <c r="F17" s="13">
        <f>E17*25</f>
        <v>2091318.6906561526</v>
      </c>
      <c r="H17" s="16" t="s">
        <v>18</v>
      </c>
      <c r="I17" s="12">
        <v>37241.547626246109</v>
      </c>
      <c r="J17" s="12">
        <v>46411.199999999997</v>
      </c>
      <c r="K17" s="12">
        <f>J17+I17</f>
        <v>83652.747626246099</v>
      </c>
      <c r="L17" s="15">
        <f>K17*25</f>
        <v>2091318.6906561526</v>
      </c>
    </row>
    <row r="18" spans="2:14" ht="14.7" customHeight="1" thickBot="1" x14ac:dyDescent="0.55000000000000004">
      <c r="B18" s="24" t="s">
        <v>19</v>
      </c>
      <c r="C18" s="18" t="s">
        <v>4</v>
      </c>
      <c r="D18" s="18" t="s">
        <v>5</v>
      </c>
      <c r="E18" s="18" t="s">
        <v>6</v>
      </c>
      <c r="F18" s="19" t="s">
        <v>7</v>
      </c>
      <c r="H18" s="24" t="s">
        <v>20</v>
      </c>
      <c r="I18" s="18" t="s">
        <v>4</v>
      </c>
      <c r="J18" s="18" t="s">
        <v>5</v>
      </c>
      <c r="K18" s="18" t="s">
        <v>6</v>
      </c>
      <c r="L18" s="19" t="s">
        <v>7</v>
      </c>
    </row>
    <row r="19" spans="2:14" ht="14.7" customHeight="1" thickBot="1" x14ac:dyDescent="0.55000000000000004">
      <c r="B19" s="11"/>
      <c r="C19" s="12">
        <f>C48*300*((0.05*((1.05)^20))/((1.05^20)-1))</f>
        <v>583042.63852756307</v>
      </c>
      <c r="D19" s="12">
        <v>0</v>
      </c>
      <c r="E19" s="12">
        <f>D19+C19</f>
        <v>583042.63852756307</v>
      </c>
      <c r="F19" s="13">
        <f>E19*25</f>
        <v>14576065.963189077</v>
      </c>
      <c r="H19" s="11"/>
      <c r="I19" s="14">
        <f>(I48/10)*3000*((0.05*((1.05)^20))/((1.05^20)-1))</f>
        <v>66922.317717036552</v>
      </c>
      <c r="J19" s="12">
        <v>0</v>
      </c>
      <c r="K19" s="12">
        <f>J19+I19</f>
        <v>66922.317717036552</v>
      </c>
      <c r="L19" s="15">
        <f>K19*25</f>
        <v>1673057.9429259137</v>
      </c>
    </row>
    <row r="20" spans="2:14" ht="14.7" customHeight="1" thickBot="1" x14ac:dyDescent="0.55000000000000004">
      <c r="B20" s="24" t="s">
        <v>21</v>
      </c>
      <c r="C20" s="18" t="s">
        <v>4</v>
      </c>
      <c r="D20" s="18" t="s">
        <v>5</v>
      </c>
      <c r="E20" s="18" t="s">
        <v>6</v>
      </c>
      <c r="F20" s="19" t="s">
        <v>7</v>
      </c>
      <c r="H20" s="24" t="s">
        <v>21</v>
      </c>
      <c r="I20" s="18" t="s">
        <v>4</v>
      </c>
      <c r="J20" s="18" t="s">
        <v>5</v>
      </c>
      <c r="K20" s="18" t="s">
        <v>6</v>
      </c>
      <c r="L20" s="19" t="s">
        <v>7</v>
      </c>
    </row>
    <row r="21" spans="2:14" ht="14.7" customHeight="1" thickBot="1" x14ac:dyDescent="0.55000000000000004">
      <c r="B21" s="11"/>
      <c r="C21" s="12">
        <v>0</v>
      </c>
      <c r="D21" s="12">
        <v>0</v>
      </c>
      <c r="E21" s="12">
        <f>C21+D21</f>
        <v>0</v>
      </c>
      <c r="F21" s="13">
        <f>E21*25</f>
        <v>0</v>
      </c>
      <c r="H21" s="11"/>
      <c r="I21" s="12">
        <v>271.70140022768072</v>
      </c>
      <c r="J21" s="12">
        <v>38</v>
      </c>
      <c r="K21" s="12">
        <f>J21+I21</f>
        <v>309.70140022768072</v>
      </c>
      <c r="L21" s="13">
        <f>K21*25</f>
        <v>7742.5350056920179</v>
      </c>
    </row>
    <row r="22" spans="2:14" ht="14.7" customHeight="1" thickBot="1" x14ac:dyDescent="0.55000000000000004">
      <c r="B22" s="17"/>
      <c r="C22" s="18" t="s">
        <v>4</v>
      </c>
      <c r="D22" s="18" t="s">
        <v>5</v>
      </c>
      <c r="E22" s="18" t="s">
        <v>6</v>
      </c>
      <c r="F22" s="19" t="s">
        <v>7</v>
      </c>
      <c r="H22" s="17"/>
      <c r="I22" s="18" t="s">
        <v>4</v>
      </c>
      <c r="J22" s="18" t="s">
        <v>5</v>
      </c>
      <c r="K22" s="18" t="s">
        <v>6</v>
      </c>
      <c r="L22" s="19" t="s">
        <v>7</v>
      </c>
    </row>
    <row r="23" spans="2:14" ht="14.7" customHeight="1" thickBot="1" x14ac:dyDescent="0.55000000000000004">
      <c r="B23" s="24" t="s">
        <v>22</v>
      </c>
      <c r="C23" s="12">
        <v>3792415.273463957</v>
      </c>
      <c r="D23" s="12">
        <v>196511.2</v>
      </c>
      <c r="E23" s="25">
        <v>3988926.4734639581</v>
      </c>
      <c r="F23" s="13">
        <f>D23*25</f>
        <v>4912780</v>
      </c>
      <c r="H23" s="24" t="s">
        <v>22</v>
      </c>
      <c r="I23" s="14">
        <v>1415599.3973502391</v>
      </c>
      <c r="J23" s="14">
        <v>245499.2</v>
      </c>
      <c r="K23" s="14">
        <v>4062917.2247025901</v>
      </c>
      <c r="L23" s="15">
        <f>K23*25</f>
        <v>101572930.61756475</v>
      </c>
      <c r="M23" s="6"/>
    </row>
    <row r="24" spans="2:14" ht="14.7" customHeight="1" thickBot="1" x14ac:dyDescent="0.55000000000000004">
      <c r="B24" s="8"/>
      <c r="F24" s="9"/>
      <c r="H24" s="8"/>
      <c r="I24" s="39"/>
      <c r="J24" s="39"/>
      <c r="K24" s="39"/>
      <c r="L24" s="10"/>
      <c r="M24" s="6"/>
      <c r="N24" s="7"/>
    </row>
    <row r="25" spans="2:14" ht="14.7" customHeight="1" thickBot="1" x14ac:dyDescent="0.55000000000000004">
      <c r="B25" s="29" t="s">
        <v>3</v>
      </c>
      <c r="C25" s="30"/>
      <c r="D25" s="31"/>
      <c r="F25" s="9"/>
      <c r="H25" s="29" t="s">
        <v>3</v>
      </c>
      <c r="I25" s="30"/>
      <c r="J25" s="31"/>
      <c r="K25" s="38"/>
      <c r="L25" s="10"/>
      <c r="M25" s="6"/>
    </row>
    <row r="26" spans="2:14" ht="14.7" customHeight="1" thickBot="1" x14ac:dyDescent="0.55000000000000004">
      <c r="B26" s="17" t="s">
        <v>23</v>
      </c>
      <c r="C26" s="18" t="s">
        <v>24</v>
      </c>
      <c r="D26" s="19" t="s">
        <v>25</v>
      </c>
      <c r="F26" s="9"/>
      <c r="H26" s="17" t="s">
        <v>23</v>
      </c>
      <c r="I26" s="18" t="s">
        <v>24</v>
      </c>
      <c r="J26" s="19" t="s">
        <v>25</v>
      </c>
      <c r="K26" s="38"/>
      <c r="L26" s="10"/>
      <c r="M26" s="6"/>
    </row>
    <row r="27" spans="2:14" x14ac:dyDescent="0.5">
      <c r="B27" s="23" t="s">
        <v>9</v>
      </c>
      <c r="C27">
        <v>1</v>
      </c>
      <c r="D27" s="9">
        <v>100</v>
      </c>
      <c r="F27" s="9"/>
      <c r="H27" s="8" t="s">
        <v>9</v>
      </c>
      <c r="I27" s="38">
        <v>0</v>
      </c>
      <c r="J27" s="9">
        <v>0</v>
      </c>
      <c r="K27" s="38"/>
      <c r="L27" s="9"/>
    </row>
    <row r="28" spans="2:14" x14ac:dyDescent="0.5">
      <c r="B28" s="3" t="s">
        <v>10</v>
      </c>
      <c r="C28">
        <v>5</v>
      </c>
      <c r="D28" s="9">
        <v>2500</v>
      </c>
      <c r="F28" s="9"/>
      <c r="H28" s="8" t="s">
        <v>10</v>
      </c>
      <c r="I28" s="38">
        <v>6</v>
      </c>
      <c r="J28" s="9">
        <v>3000</v>
      </c>
      <c r="K28" s="38"/>
      <c r="L28" s="9"/>
    </row>
    <row r="29" spans="2:14" x14ac:dyDescent="0.5">
      <c r="B29" s="3" t="s">
        <v>11</v>
      </c>
      <c r="C29">
        <v>0</v>
      </c>
      <c r="D29" s="9">
        <v>0</v>
      </c>
      <c r="F29" s="9"/>
      <c r="H29" s="8" t="s">
        <v>11</v>
      </c>
      <c r="I29" s="38">
        <v>0</v>
      </c>
      <c r="J29" s="9">
        <v>0</v>
      </c>
      <c r="K29" s="38"/>
      <c r="L29" s="9"/>
    </row>
    <row r="30" spans="2:14" x14ac:dyDescent="0.5">
      <c r="B30" s="3" t="s">
        <v>12</v>
      </c>
      <c r="C30">
        <v>0</v>
      </c>
      <c r="D30" s="9">
        <v>0</v>
      </c>
      <c r="F30" s="9"/>
      <c r="H30" s="8" t="s">
        <v>12</v>
      </c>
      <c r="I30" s="38">
        <v>0</v>
      </c>
      <c r="J30" s="9">
        <v>0</v>
      </c>
      <c r="K30" s="38"/>
      <c r="L30" s="9"/>
    </row>
    <row r="31" spans="2:14" ht="14.7" customHeight="1" thickBot="1" x14ac:dyDescent="0.55000000000000004">
      <c r="B31" s="16" t="s">
        <v>26</v>
      </c>
      <c r="C31" s="12">
        <v>6</v>
      </c>
      <c r="D31" s="13">
        <v>2600</v>
      </c>
      <c r="F31" s="9"/>
      <c r="H31" s="11" t="s">
        <v>26</v>
      </c>
      <c r="I31" s="12">
        <v>6</v>
      </c>
      <c r="J31" s="13">
        <v>3000</v>
      </c>
      <c r="K31" s="38"/>
      <c r="L31" s="9"/>
    </row>
    <row r="32" spans="2:14" ht="14.7" customHeight="1" thickBot="1" x14ac:dyDescent="0.55000000000000004">
      <c r="B32" s="8"/>
      <c r="F32" s="9"/>
      <c r="H32" s="8"/>
      <c r="I32" s="38"/>
      <c r="J32" s="38"/>
      <c r="K32" s="38"/>
      <c r="L32" s="9"/>
    </row>
    <row r="33" spans="2:12" ht="14.7" customHeight="1" thickBot="1" x14ac:dyDescent="0.55000000000000004">
      <c r="B33" s="29" t="s">
        <v>21</v>
      </c>
      <c r="C33" s="31"/>
      <c r="F33" s="9"/>
      <c r="H33" s="29" t="s">
        <v>21</v>
      </c>
      <c r="I33" s="31"/>
      <c r="J33" s="38"/>
      <c r="K33" s="38"/>
      <c r="L33" s="9"/>
    </row>
    <row r="34" spans="2:12" ht="14.7" customHeight="1" thickBot="1" x14ac:dyDescent="0.55000000000000004">
      <c r="B34" s="24" t="s">
        <v>25</v>
      </c>
      <c r="C34" s="13">
        <v>0</v>
      </c>
      <c r="F34" s="9"/>
      <c r="H34" s="24" t="s">
        <v>25</v>
      </c>
      <c r="I34" s="13">
        <v>2</v>
      </c>
      <c r="J34" s="38"/>
      <c r="K34" s="38"/>
      <c r="L34" s="9"/>
    </row>
    <row r="35" spans="2:12" ht="14.7" customHeight="1" thickBot="1" x14ac:dyDescent="0.55000000000000004">
      <c r="B35" s="8"/>
      <c r="F35" s="9"/>
      <c r="H35" s="8"/>
      <c r="I35" s="38"/>
      <c r="J35" s="38"/>
      <c r="K35" s="38"/>
      <c r="L35" s="9"/>
    </row>
    <row r="36" spans="2:12" ht="14.7" customHeight="1" thickBot="1" x14ac:dyDescent="0.55000000000000004">
      <c r="B36" s="29" t="s">
        <v>13</v>
      </c>
      <c r="C36" s="30"/>
      <c r="D36" s="31"/>
      <c r="F36" s="9"/>
      <c r="H36" s="29" t="s">
        <v>13</v>
      </c>
      <c r="I36" s="30"/>
      <c r="J36" s="31"/>
      <c r="K36" s="38"/>
      <c r="L36" s="9"/>
    </row>
    <row r="37" spans="2:12" ht="14.7" customHeight="1" thickBot="1" x14ac:dyDescent="0.55000000000000004">
      <c r="B37" s="24" t="s">
        <v>23</v>
      </c>
      <c r="C37" s="18" t="s">
        <v>24</v>
      </c>
      <c r="D37" s="19" t="s">
        <v>25</v>
      </c>
      <c r="F37" s="9"/>
      <c r="H37" s="17" t="s">
        <v>23</v>
      </c>
      <c r="I37" s="18" t="s">
        <v>24</v>
      </c>
      <c r="J37" s="19" t="s">
        <v>25</v>
      </c>
      <c r="K37" s="38"/>
      <c r="L37" s="9"/>
    </row>
    <row r="38" spans="2:12" x14ac:dyDescent="0.5">
      <c r="B38" s="23" t="s">
        <v>14</v>
      </c>
      <c r="C38">
        <v>2</v>
      </c>
      <c r="D38" s="9">
        <v>2000</v>
      </c>
      <c r="F38" s="9"/>
      <c r="H38" s="23" t="s">
        <v>14</v>
      </c>
      <c r="I38" s="38">
        <v>3</v>
      </c>
      <c r="J38" s="9">
        <v>3000</v>
      </c>
      <c r="K38" s="38"/>
      <c r="L38" s="9"/>
    </row>
    <row r="39" spans="2:12" x14ac:dyDescent="0.5">
      <c r="B39" s="3" t="s">
        <v>15</v>
      </c>
      <c r="C39">
        <v>0</v>
      </c>
      <c r="D39" s="9">
        <v>0</v>
      </c>
      <c r="F39" s="9"/>
      <c r="H39" s="3" t="s">
        <v>15</v>
      </c>
      <c r="I39" s="38">
        <v>0</v>
      </c>
      <c r="J39" s="9">
        <v>0</v>
      </c>
      <c r="K39" s="38"/>
      <c r="L39" s="9"/>
    </row>
    <row r="40" spans="2:12" x14ac:dyDescent="0.5">
      <c r="B40" s="3" t="s">
        <v>16</v>
      </c>
      <c r="C40">
        <v>0</v>
      </c>
      <c r="D40" s="9">
        <v>0</v>
      </c>
      <c r="F40" s="9"/>
      <c r="H40" s="3" t="s">
        <v>16</v>
      </c>
      <c r="I40" s="38">
        <v>0</v>
      </c>
      <c r="J40" s="9">
        <v>0</v>
      </c>
      <c r="K40" s="38"/>
      <c r="L40" s="9"/>
    </row>
    <row r="41" spans="2:12" ht="14.7" customHeight="1" thickBot="1" x14ac:dyDescent="0.55000000000000004">
      <c r="B41" s="16" t="s">
        <v>26</v>
      </c>
      <c r="C41" s="12">
        <v>2</v>
      </c>
      <c r="D41" s="13">
        <v>2000</v>
      </c>
      <c r="F41" s="9"/>
      <c r="H41" s="16" t="s">
        <v>26</v>
      </c>
      <c r="I41" s="12">
        <v>3</v>
      </c>
      <c r="J41" s="13">
        <v>3000</v>
      </c>
      <c r="K41" s="38"/>
      <c r="L41" s="9"/>
    </row>
    <row r="42" spans="2:12" ht="14.7" customHeight="1" thickBot="1" x14ac:dyDescent="0.55000000000000004">
      <c r="B42" s="8"/>
      <c r="F42" s="9"/>
      <c r="H42" s="8"/>
      <c r="I42" s="38"/>
      <c r="J42" s="38"/>
      <c r="K42" s="38"/>
      <c r="L42" s="9"/>
    </row>
    <row r="43" spans="2:12" ht="14.7" customHeight="1" thickBot="1" x14ac:dyDescent="0.55000000000000004">
      <c r="B43" s="29" t="s">
        <v>27</v>
      </c>
      <c r="C43" s="30"/>
      <c r="D43" s="31"/>
      <c r="F43" s="9"/>
      <c r="H43" s="29" t="s">
        <v>27</v>
      </c>
      <c r="I43" s="30"/>
      <c r="J43" s="31"/>
      <c r="K43" s="38"/>
      <c r="L43" s="9"/>
    </row>
    <row r="44" spans="2:12" ht="14.7" customHeight="1" thickBot="1" x14ac:dyDescent="0.55000000000000004">
      <c r="B44" s="24" t="s">
        <v>23</v>
      </c>
      <c r="C44" s="18" t="s">
        <v>24</v>
      </c>
      <c r="D44" s="19" t="s">
        <v>25</v>
      </c>
      <c r="F44" s="9"/>
      <c r="H44" s="17" t="s">
        <v>23</v>
      </c>
      <c r="I44" s="18" t="s">
        <v>24</v>
      </c>
      <c r="J44" s="19" t="s">
        <v>25</v>
      </c>
      <c r="K44" s="38"/>
      <c r="L44" s="9"/>
    </row>
    <row r="45" spans="2:12" ht="14.7" customHeight="1" thickBot="1" x14ac:dyDescent="0.55000000000000004">
      <c r="B45" s="24" t="s">
        <v>18</v>
      </c>
      <c r="C45" s="12">
        <v>165</v>
      </c>
      <c r="D45" s="13">
        <v>2900.7</v>
      </c>
      <c r="F45" s="9"/>
      <c r="H45" s="24" t="s">
        <v>18</v>
      </c>
      <c r="I45" s="12">
        <v>165</v>
      </c>
      <c r="J45" s="13">
        <v>2900.7</v>
      </c>
      <c r="K45" s="38"/>
      <c r="L45" s="9"/>
    </row>
    <row r="46" spans="2:12" ht="14.7" customHeight="1" thickBot="1" x14ac:dyDescent="0.55000000000000004">
      <c r="B46" s="8"/>
      <c r="F46" s="9"/>
      <c r="H46" s="8"/>
      <c r="I46" s="38"/>
      <c r="J46" s="38"/>
      <c r="K46" s="38"/>
      <c r="L46" s="9"/>
    </row>
    <row r="47" spans="2:12" ht="14.7" customHeight="1" thickBot="1" x14ac:dyDescent="0.55000000000000004">
      <c r="B47" s="29" t="s">
        <v>28</v>
      </c>
      <c r="C47" s="31"/>
      <c r="F47" s="9"/>
      <c r="H47" s="29" t="s">
        <v>28</v>
      </c>
      <c r="I47" s="31"/>
      <c r="J47" s="38"/>
      <c r="K47" s="38"/>
      <c r="L47" s="9"/>
    </row>
    <row r="48" spans="2:12" ht="14.7" customHeight="1" thickBot="1" x14ac:dyDescent="0.55000000000000004">
      <c r="B48" s="11" t="s">
        <v>29</v>
      </c>
      <c r="C48" s="13">
        <v>24220</v>
      </c>
      <c r="F48" s="9"/>
      <c r="H48" s="24" t="s">
        <v>29</v>
      </c>
      <c r="I48" s="13">
        <v>2780</v>
      </c>
      <c r="J48" s="38"/>
      <c r="K48" s="38"/>
      <c r="L48" s="9"/>
    </row>
    <row r="49" spans="2:12" ht="14.7" customHeight="1" thickBot="1" x14ac:dyDescent="0.55000000000000004">
      <c r="B49" s="8"/>
      <c r="F49" s="9"/>
      <c r="H49" s="8"/>
      <c r="I49" s="38"/>
      <c r="J49" s="38"/>
      <c r="K49" s="38"/>
      <c r="L49" s="9"/>
    </row>
    <row r="50" spans="2:12" ht="14.7" customHeight="1" thickBot="1" x14ac:dyDescent="0.55000000000000004">
      <c r="B50" s="29" t="s">
        <v>30</v>
      </c>
      <c r="C50" s="30"/>
      <c r="D50" s="31"/>
      <c r="F50" s="9"/>
      <c r="H50" s="35" t="s">
        <v>30</v>
      </c>
      <c r="I50" s="36"/>
      <c r="J50" s="37"/>
      <c r="K50" s="38"/>
      <c r="L50" s="9"/>
    </row>
    <row r="51" spans="2:12" ht="14.7" customHeight="1" thickBot="1" x14ac:dyDescent="0.55000000000000004">
      <c r="B51" s="11" t="s">
        <v>31</v>
      </c>
      <c r="C51" s="12" t="s">
        <v>32</v>
      </c>
      <c r="D51" s="13" t="s">
        <v>33</v>
      </c>
      <c r="F51" s="9"/>
      <c r="H51" s="24" t="s">
        <v>31</v>
      </c>
      <c r="I51" s="18" t="s">
        <v>61</v>
      </c>
      <c r="J51" s="21" t="s">
        <v>33</v>
      </c>
      <c r="K51" s="38"/>
      <c r="L51" s="9"/>
    </row>
    <row r="52" spans="2:12" ht="14.7" customHeight="1" x14ac:dyDescent="0.5">
      <c r="B52" s="23" t="s">
        <v>34</v>
      </c>
      <c r="C52" s="26">
        <v>2775015.27279071</v>
      </c>
      <c r="D52" s="27">
        <f>C52*25</f>
        <v>69375381.819767743</v>
      </c>
      <c r="F52" s="9"/>
      <c r="H52" s="3" t="s">
        <v>34</v>
      </c>
      <c r="I52" s="40">
        <v>1747493.3689383699</v>
      </c>
      <c r="J52" s="27">
        <f>I52*25</f>
        <v>43687334.223459251</v>
      </c>
      <c r="K52" s="38"/>
      <c r="L52" s="9"/>
    </row>
    <row r="53" spans="2:12" ht="14.7" customHeight="1" thickBot="1" x14ac:dyDescent="0.55000000000000004">
      <c r="B53" s="16" t="s">
        <v>35</v>
      </c>
      <c r="C53" s="25">
        <v>821675.86717267404</v>
      </c>
      <c r="D53" s="28">
        <f>C53*25</f>
        <v>20541896.679316852</v>
      </c>
      <c r="F53" s="9"/>
      <c r="H53" s="16" t="s">
        <v>35</v>
      </c>
      <c r="I53" s="25">
        <v>142800.46532712589</v>
      </c>
      <c r="J53" s="28">
        <f>I53*25</f>
        <v>3570011.633178147</v>
      </c>
      <c r="K53" s="38"/>
      <c r="L53" s="9"/>
    </row>
    <row r="54" spans="2:12" ht="14.7" customHeight="1" thickBot="1" x14ac:dyDescent="0.55000000000000004">
      <c r="B54" s="8"/>
      <c r="F54" s="9"/>
      <c r="H54" s="8"/>
      <c r="I54" s="39"/>
      <c r="J54" s="10"/>
      <c r="K54" s="38"/>
      <c r="L54" s="9"/>
    </row>
    <row r="55" spans="2:12" ht="14.7" customHeight="1" thickBot="1" x14ac:dyDescent="0.55000000000000004">
      <c r="B55" s="29" t="s">
        <v>36</v>
      </c>
      <c r="C55" s="30"/>
      <c r="D55" s="31"/>
      <c r="F55" s="9"/>
      <c r="H55" s="35" t="s">
        <v>36</v>
      </c>
      <c r="I55" s="36"/>
      <c r="J55" s="37"/>
      <c r="K55" s="38"/>
      <c r="L55" s="9"/>
    </row>
    <row r="56" spans="2:12" ht="14.7" customHeight="1" thickBot="1" x14ac:dyDescent="0.55000000000000004">
      <c r="B56" s="11" t="s">
        <v>31</v>
      </c>
      <c r="C56" s="12" t="s">
        <v>32</v>
      </c>
      <c r="D56" s="13" t="s">
        <v>33</v>
      </c>
      <c r="F56" s="9"/>
      <c r="H56" s="24" t="s">
        <v>31</v>
      </c>
      <c r="I56" s="20">
        <v>474627.82860054402</v>
      </c>
      <c r="J56" s="21" t="s">
        <v>33</v>
      </c>
      <c r="K56" s="38"/>
      <c r="L56" s="9"/>
    </row>
    <row r="57" spans="2:12" ht="14.7" customHeight="1" thickBot="1" x14ac:dyDescent="0.55000000000000004">
      <c r="B57" s="23" t="s">
        <v>34</v>
      </c>
      <c r="C57">
        <v>753707.85186907905</v>
      </c>
      <c r="D57" s="9">
        <f>C57*25</f>
        <v>18842696.296726976</v>
      </c>
      <c r="F57" s="9"/>
      <c r="H57" s="16" t="s">
        <v>34</v>
      </c>
      <c r="I57" s="14">
        <v>56978.245508285087</v>
      </c>
      <c r="J57" s="15">
        <f>I57*25</f>
        <v>1424456.1377071273</v>
      </c>
      <c r="K57" s="38"/>
      <c r="L57" s="9"/>
    </row>
    <row r="58" spans="2:12" ht="14.7" customHeight="1" thickBot="1" x14ac:dyDescent="0.55000000000000004">
      <c r="B58" s="16" t="s">
        <v>35</v>
      </c>
      <c r="C58" s="12">
        <v>382009.60892093199</v>
      </c>
      <c r="D58" s="13">
        <f>C58*25</f>
        <v>9550240.2230232991</v>
      </c>
      <c r="F58" s="9"/>
      <c r="H58" s="8" t="s">
        <v>35</v>
      </c>
      <c r="I58" s="12">
        <v>142800.46532712589</v>
      </c>
      <c r="J58" s="38">
        <f>I58*25</f>
        <v>3570011.633178147</v>
      </c>
      <c r="K58" s="38"/>
      <c r="L58" s="9"/>
    </row>
    <row r="59" spans="2:12" ht="14.7" customHeight="1" thickBot="1" x14ac:dyDescent="0.55000000000000004">
      <c r="B59" s="8"/>
      <c r="F59" s="9"/>
      <c r="H59" s="8"/>
      <c r="I59" s="38"/>
      <c r="J59" s="38"/>
      <c r="K59" s="38"/>
      <c r="L59" s="9"/>
    </row>
    <row r="60" spans="2:12" ht="14.7" customHeight="1" thickBot="1" x14ac:dyDescent="0.55000000000000004">
      <c r="B60" s="29" t="s">
        <v>37</v>
      </c>
      <c r="C60" s="31"/>
      <c r="F60" s="9"/>
      <c r="H60" s="29" t="s">
        <v>38</v>
      </c>
      <c r="I60" s="31"/>
      <c r="J60" s="38"/>
      <c r="K60" s="38"/>
      <c r="L60" s="9"/>
    </row>
    <row r="61" spans="2:12" ht="14.7" customHeight="1" thickBot="1" x14ac:dyDescent="0.55000000000000004">
      <c r="B61" s="24" t="s">
        <v>39</v>
      </c>
      <c r="C61" s="13">
        <v>218066.25838638499</v>
      </c>
      <c r="F61" s="9"/>
      <c r="H61" s="24" t="s">
        <v>39</v>
      </c>
      <c r="I61" s="13">
        <v>24976.739813123899</v>
      </c>
      <c r="J61" s="38"/>
      <c r="K61" s="38"/>
      <c r="L61" s="9"/>
    </row>
    <row r="62" spans="2:12" ht="14.7" customHeight="1" thickBot="1" x14ac:dyDescent="0.55000000000000004">
      <c r="B62" s="8"/>
      <c r="F62" s="9"/>
      <c r="H62" s="8"/>
      <c r="I62" s="38"/>
      <c r="J62" s="38"/>
      <c r="K62" s="38"/>
      <c r="L62" s="9"/>
    </row>
    <row r="63" spans="2:12" ht="14.7" customHeight="1" thickBot="1" x14ac:dyDescent="0.55000000000000004">
      <c r="B63" s="29" t="s">
        <v>40</v>
      </c>
      <c r="C63" s="31"/>
      <c r="F63" s="9"/>
      <c r="H63" s="29" t="s">
        <v>40</v>
      </c>
      <c r="I63" s="31"/>
      <c r="J63" s="38"/>
      <c r="K63" s="38"/>
      <c r="L63" s="9"/>
    </row>
    <row r="64" spans="2:12" ht="14.7" customHeight="1" thickBot="1" x14ac:dyDescent="0.55000000000000004">
      <c r="B64" s="29">
        <f>E23/B70</f>
        <v>0.73015892075457345</v>
      </c>
      <c r="C64" s="31"/>
      <c r="F64" s="9"/>
      <c r="H64" s="29">
        <f>K23/B70</f>
        <v>0.74370266677988051</v>
      </c>
      <c r="I64" s="31"/>
      <c r="J64" s="38"/>
      <c r="K64" s="38"/>
      <c r="L64" s="9"/>
    </row>
    <row r="65" spans="2:12" x14ac:dyDescent="0.5">
      <c r="B65" s="8"/>
      <c r="F65" s="9"/>
      <c r="H65" s="8"/>
      <c r="I65" s="38"/>
      <c r="J65" s="38"/>
      <c r="K65" s="38"/>
      <c r="L65" s="9"/>
    </row>
    <row r="66" spans="2:12" ht="14.7" customHeight="1" thickBot="1" x14ac:dyDescent="0.55000000000000004">
      <c r="B66" s="11"/>
      <c r="C66" s="12"/>
      <c r="D66" s="12"/>
      <c r="E66" s="12"/>
      <c r="F66" s="13"/>
      <c r="G66" s="12"/>
      <c r="H66" s="11"/>
      <c r="I66" s="12"/>
      <c r="J66" s="12"/>
      <c r="K66" s="12"/>
      <c r="L66" s="13"/>
    </row>
    <row r="67" spans="2:12" ht="14.7" customHeight="1" thickBot="1" x14ac:dyDescent="0.55000000000000004">
      <c r="B67" s="11"/>
      <c r="C67" s="12"/>
      <c r="L67" s="9"/>
    </row>
    <row r="68" spans="2:12" ht="14.7" customHeight="1" thickBot="1" x14ac:dyDescent="0.55000000000000004">
      <c r="B68" s="32" t="s">
        <v>41</v>
      </c>
      <c r="C68" s="33"/>
      <c r="L68" s="9"/>
    </row>
    <row r="69" spans="2:12" ht="14.7" customHeight="1" thickBot="1" x14ac:dyDescent="0.55000000000000004">
      <c r="B69" s="17" t="s">
        <v>42</v>
      </c>
      <c r="C69" s="19" t="s">
        <v>43</v>
      </c>
      <c r="L69" s="9"/>
    </row>
    <row r="70" spans="2:12" ht="14.7" customHeight="1" thickBot="1" x14ac:dyDescent="0.55000000000000004">
      <c r="B70" s="11">
        <f>C108</f>
        <v>5463093.5267375121</v>
      </c>
      <c r="C70" s="13">
        <f>D108</f>
        <v>136577338.16843781</v>
      </c>
      <c r="D70" s="12"/>
      <c r="E70" s="12"/>
      <c r="F70" s="12"/>
      <c r="G70" s="12"/>
      <c r="H70" s="12"/>
      <c r="I70" s="12"/>
      <c r="J70" s="12"/>
      <c r="K70" s="12"/>
      <c r="L70" s="13"/>
    </row>
    <row r="71" spans="2:12" ht="14.7" customHeight="1" thickBot="1" x14ac:dyDescent="0.55000000000000004"/>
    <row r="72" spans="2:12" ht="14.7" customHeight="1" thickBot="1" x14ac:dyDescent="0.55000000000000004">
      <c r="B72" s="29" t="s">
        <v>44</v>
      </c>
      <c r="C72" s="30"/>
      <c r="D72" s="30"/>
      <c r="E72" s="30"/>
      <c r="F72" s="31"/>
    </row>
    <row r="73" spans="2:12" ht="14.7" customHeight="1" thickBot="1" x14ac:dyDescent="0.55000000000000004">
      <c r="B73" s="29" t="s">
        <v>45</v>
      </c>
      <c r="C73" s="30"/>
      <c r="D73" s="30"/>
      <c r="E73" s="30"/>
      <c r="F73" s="31"/>
    </row>
    <row r="74" spans="2:12" ht="14.7" customHeight="1" thickBot="1" x14ac:dyDescent="0.55000000000000004">
      <c r="B74" s="24" t="s">
        <v>46</v>
      </c>
      <c r="C74" s="18" t="s">
        <v>4</v>
      </c>
      <c r="D74" s="18" t="s">
        <v>5</v>
      </c>
      <c r="E74" s="18" t="s">
        <v>6</v>
      </c>
      <c r="F74" s="19" t="s">
        <v>7</v>
      </c>
    </row>
    <row r="75" spans="2:12" x14ac:dyDescent="0.5">
      <c r="B75" s="23" t="s">
        <v>9</v>
      </c>
      <c r="C75">
        <v>51085.76925544531</v>
      </c>
      <c r="D75">
        <v>119200</v>
      </c>
      <c r="E75">
        <f>C75+D75</f>
        <v>170285.76925544531</v>
      </c>
      <c r="F75" s="9">
        <f>E75*25</f>
        <v>4257144.2313861325</v>
      </c>
    </row>
    <row r="76" spans="2:12" x14ac:dyDescent="0.5">
      <c r="B76" s="3" t="s">
        <v>10</v>
      </c>
      <c r="C76">
        <v>0</v>
      </c>
      <c r="D76">
        <v>0</v>
      </c>
      <c r="E76">
        <f>C76+D76</f>
        <v>0</v>
      </c>
      <c r="F76" s="9">
        <f>E76*25</f>
        <v>0</v>
      </c>
    </row>
    <row r="77" spans="2:12" x14ac:dyDescent="0.5">
      <c r="B77" s="3" t="s">
        <v>14</v>
      </c>
      <c r="C77">
        <v>0</v>
      </c>
      <c r="D77">
        <v>0</v>
      </c>
      <c r="E77">
        <f>C77+D77</f>
        <v>0</v>
      </c>
      <c r="F77" s="9">
        <f>E77*25</f>
        <v>0</v>
      </c>
    </row>
    <row r="78" spans="2:12" x14ac:dyDescent="0.5">
      <c r="B78" s="3" t="s">
        <v>47</v>
      </c>
      <c r="C78">
        <v>0</v>
      </c>
      <c r="D78">
        <v>0</v>
      </c>
      <c r="E78">
        <f>C78+D78</f>
        <v>0</v>
      </c>
      <c r="F78" s="9">
        <f>E78*25</f>
        <v>0</v>
      </c>
    </row>
    <row r="79" spans="2:12" ht="14.7" customHeight="1" thickBot="1" x14ac:dyDescent="0.55000000000000004">
      <c r="B79" s="16" t="s">
        <v>48</v>
      </c>
      <c r="C79" s="12"/>
      <c r="D79" s="12"/>
      <c r="E79">
        <f>C79+D79</f>
        <v>0</v>
      </c>
      <c r="F79" s="9">
        <f>E79*25</f>
        <v>0</v>
      </c>
    </row>
    <row r="80" spans="2:12" ht="14.7" customHeight="1" thickBot="1" x14ac:dyDescent="0.55000000000000004">
      <c r="B80" s="17" t="s">
        <v>49</v>
      </c>
      <c r="C80" s="18" t="s">
        <v>4</v>
      </c>
      <c r="D80" s="18" t="s">
        <v>5</v>
      </c>
      <c r="E80" s="18" t="s">
        <v>6</v>
      </c>
      <c r="F80" s="19" t="s">
        <v>7</v>
      </c>
    </row>
    <row r="81" spans="2:6" x14ac:dyDescent="0.5">
      <c r="B81" s="23" t="s">
        <v>18</v>
      </c>
      <c r="C81">
        <v>37241.547626246109</v>
      </c>
      <c r="D81">
        <v>46411.199999999997</v>
      </c>
      <c r="E81">
        <f>C81+D81</f>
        <v>83652.747626246099</v>
      </c>
      <c r="F81" s="9">
        <f>E81*25</f>
        <v>2091318.6906561526</v>
      </c>
    </row>
    <row r="82" spans="2:6" ht="14.7" customHeight="1" thickBot="1" x14ac:dyDescent="0.55000000000000004">
      <c r="B82" s="16" t="s">
        <v>50</v>
      </c>
      <c r="C82" s="12"/>
      <c r="D82" s="12"/>
      <c r="E82">
        <f>C82+D82</f>
        <v>0</v>
      </c>
      <c r="F82" s="9">
        <f>E82*25</f>
        <v>0</v>
      </c>
    </row>
    <row r="83" spans="2:6" ht="14.7" customHeight="1" thickBot="1" x14ac:dyDescent="0.55000000000000004">
      <c r="B83" s="17"/>
      <c r="C83" s="18" t="s">
        <v>4</v>
      </c>
      <c r="D83" s="18" t="s">
        <v>5</v>
      </c>
      <c r="E83" s="18" t="s">
        <v>6</v>
      </c>
      <c r="F83" s="19" t="s">
        <v>7</v>
      </c>
    </row>
    <row r="84" spans="2:6" ht="14.7" customHeight="1" thickBot="1" x14ac:dyDescent="0.55000000000000004">
      <c r="B84" s="24" t="s">
        <v>22</v>
      </c>
      <c r="C84" s="12">
        <v>88327.316881691426</v>
      </c>
      <c r="D84" s="12">
        <v>4535457.7185117202</v>
      </c>
      <c r="E84" s="12">
        <v>4623785.0353934113</v>
      </c>
      <c r="F84" s="13">
        <f>E84*25</f>
        <v>115594625.88483529</v>
      </c>
    </row>
    <row r="85" spans="2:6" ht="14.7" customHeight="1" thickBot="1" x14ac:dyDescent="0.55000000000000004">
      <c r="B85" s="8"/>
      <c r="F85" s="9"/>
    </row>
    <row r="86" spans="2:6" ht="14.7" customHeight="1" thickBot="1" x14ac:dyDescent="0.55000000000000004">
      <c r="B86" s="29" t="s">
        <v>46</v>
      </c>
      <c r="C86" s="30"/>
      <c r="D86" s="31"/>
      <c r="F86" s="9"/>
    </row>
    <row r="87" spans="2:6" ht="14.7" customHeight="1" thickBot="1" x14ac:dyDescent="0.55000000000000004">
      <c r="B87" s="24" t="s">
        <v>23</v>
      </c>
      <c r="C87" s="18" t="s">
        <v>24</v>
      </c>
      <c r="D87" s="19" t="s">
        <v>25</v>
      </c>
      <c r="F87" s="9"/>
    </row>
    <row r="88" spans="2:6" x14ac:dyDescent="0.5">
      <c r="B88" s="23" t="s">
        <v>9</v>
      </c>
      <c r="C88">
        <v>8</v>
      </c>
      <c r="D88" s="9">
        <v>800</v>
      </c>
      <c r="F88" s="9"/>
    </row>
    <row r="89" spans="2:6" x14ac:dyDescent="0.5">
      <c r="B89" s="3" t="s">
        <v>10</v>
      </c>
      <c r="C89">
        <v>0</v>
      </c>
      <c r="D89" s="9">
        <v>0</v>
      </c>
      <c r="F89" s="9"/>
    </row>
    <row r="90" spans="2:6" x14ac:dyDescent="0.5">
      <c r="B90" s="3" t="s">
        <v>14</v>
      </c>
      <c r="C90">
        <v>0</v>
      </c>
      <c r="D90" s="9">
        <v>0</v>
      </c>
      <c r="F90" s="9"/>
    </row>
    <row r="91" spans="2:6" x14ac:dyDescent="0.5">
      <c r="B91" s="3" t="s">
        <v>47</v>
      </c>
      <c r="C91">
        <v>0</v>
      </c>
      <c r="D91" s="9">
        <v>0</v>
      </c>
      <c r="F91" s="9"/>
    </row>
    <row r="92" spans="2:6" ht="14.7" customHeight="1" thickBot="1" x14ac:dyDescent="0.55000000000000004">
      <c r="B92" s="16" t="s">
        <v>26</v>
      </c>
      <c r="C92" s="12">
        <v>8</v>
      </c>
      <c r="D92" s="13">
        <v>800</v>
      </c>
      <c r="F92" s="9"/>
    </row>
    <row r="93" spans="2:6" ht="14.7" customHeight="1" thickBot="1" x14ac:dyDescent="0.55000000000000004">
      <c r="B93" s="8"/>
      <c r="F93" s="9"/>
    </row>
    <row r="94" spans="2:6" ht="14.7" customHeight="1" thickBot="1" x14ac:dyDescent="0.55000000000000004">
      <c r="B94" s="29" t="s">
        <v>51</v>
      </c>
      <c r="C94" s="30"/>
      <c r="D94" s="31"/>
      <c r="F94" s="9"/>
    </row>
    <row r="95" spans="2:6" ht="14.7" customHeight="1" thickBot="1" x14ac:dyDescent="0.55000000000000004">
      <c r="B95" s="17" t="s">
        <v>23</v>
      </c>
      <c r="C95" s="18" t="s">
        <v>24</v>
      </c>
      <c r="D95" s="19" t="s">
        <v>25</v>
      </c>
      <c r="F95" s="9"/>
    </row>
    <row r="96" spans="2:6" ht="14.7" customHeight="1" thickBot="1" x14ac:dyDescent="0.55000000000000004">
      <c r="B96" s="24" t="s">
        <v>18</v>
      </c>
      <c r="C96" s="12">
        <v>165</v>
      </c>
      <c r="D96" s="13">
        <v>2900.7</v>
      </c>
      <c r="F96" s="9"/>
    </row>
    <row r="97" spans="2:6" ht="14.7" customHeight="1" thickBot="1" x14ac:dyDescent="0.55000000000000004">
      <c r="B97" s="8"/>
      <c r="F97" s="9"/>
    </row>
    <row r="98" spans="2:6" ht="14.7" customHeight="1" thickBot="1" x14ac:dyDescent="0.55000000000000004">
      <c r="B98" s="29" t="s">
        <v>52</v>
      </c>
      <c r="C98" s="30"/>
      <c r="D98" s="31"/>
      <c r="F98" s="9"/>
    </row>
    <row r="99" spans="2:6" ht="14.7" customHeight="1" thickBot="1" x14ac:dyDescent="0.55000000000000004">
      <c r="B99" s="17" t="s">
        <v>53</v>
      </c>
      <c r="C99" s="18" t="s">
        <v>54</v>
      </c>
      <c r="D99" s="19" t="s">
        <v>55</v>
      </c>
      <c r="F99" s="9"/>
    </row>
    <row r="100" spans="2:6" x14ac:dyDescent="0.5">
      <c r="B100" s="23" t="s">
        <v>56</v>
      </c>
      <c r="C100">
        <v>1189473.684210524</v>
      </c>
      <c r="D100" s="9">
        <f>C100*25</f>
        <v>29736842.105263099</v>
      </c>
      <c r="F100" s="9"/>
    </row>
    <row r="101" spans="2:6" x14ac:dyDescent="0.5">
      <c r="B101" s="3" t="s">
        <v>57</v>
      </c>
      <c r="C101">
        <v>904869.24342509499</v>
      </c>
      <c r="D101" s="9">
        <f>C101*25</f>
        <v>22621731.085627373</v>
      </c>
      <c r="F101" s="9"/>
    </row>
    <row r="102" spans="2:6" ht="14.7" customHeight="1" thickBot="1" x14ac:dyDescent="0.55000000000000004">
      <c r="B102" s="16" t="s">
        <v>26</v>
      </c>
      <c r="C102" s="12">
        <f>C100+C101</f>
        <v>2094342.927635619</v>
      </c>
      <c r="D102" s="13">
        <f>C102*25</f>
        <v>52358573.190890476</v>
      </c>
      <c r="F102" s="9"/>
    </row>
    <row r="103" spans="2:6" ht="14.7" customHeight="1" thickBot="1" x14ac:dyDescent="0.55000000000000004">
      <c r="B103" s="8"/>
      <c r="F103" s="9"/>
    </row>
    <row r="104" spans="2:6" ht="14.7" customHeight="1" thickBot="1" x14ac:dyDescent="0.55000000000000004">
      <c r="B104" s="29" t="s">
        <v>58</v>
      </c>
      <c r="C104" s="30"/>
      <c r="D104" s="31"/>
      <c r="F104" s="9"/>
    </row>
    <row r="105" spans="2:6" ht="14.7" customHeight="1" thickBot="1" x14ac:dyDescent="0.55000000000000004">
      <c r="B105" s="17" t="s">
        <v>53</v>
      </c>
      <c r="C105" s="18" t="s">
        <v>59</v>
      </c>
      <c r="D105" s="22" t="s">
        <v>60</v>
      </c>
      <c r="F105" s="9"/>
    </row>
    <row r="106" spans="2:6" x14ac:dyDescent="0.5">
      <c r="B106" s="23" t="s">
        <v>56</v>
      </c>
      <c r="C106">
        <f>2.6085*C100</f>
        <v>3102742.1052631517</v>
      </c>
      <c r="D106" s="9">
        <f>C106*25</f>
        <v>77568552.631578788</v>
      </c>
      <c r="F106" s="9"/>
    </row>
    <row r="107" spans="2:6" x14ac:dyDescent="0.5">
      <c r="B107" s="3" t="s">
        <v>57</v>
      </c>
      <c r="C107">
        <f>2.6085*C101</f>
        <v>2360351.4214743599</v>
      </c>
      <c r="D107" s="9">
        <f>C107*25</f>
        <v>59008785.536858998</v>
      </c>
      <c r="F107" s="9"/>
    </row>
    <row r="108" spans="2:6" ht="14.7" customHeight="1" thickBot="1" x14ac:dyDescent="0.55000000000000004">
      <c r="B108" s="16" t="s">
        <v>26</v>
      </c>
      <c r="C108" s="12">
        <f>2.6085*C102</f>
        <v>5463093.5267375121</v>
      </c>
      <c r="D108" s="13">
        <f>C108*25</f>
        <v>136577338.16843781</v>
      </c>
      <c r="E108" s="12"/>
      <c r="F108" s="13"/>
    </row>
  </sheetData>
  <mergeCells count="30">
    <mergeCell ref="H64:I64"/>
    <mergeCell ref="H50:J50"/>
    <mergeCell ref="H55:J55"/>
    <mergeCell ref="B86:D86"/>
    <mergeCell ref="B104:D104"/>
    <mergeCell ref="B73:F73"/>
    <mergeCell ref="B36:D36"/>
    <mergeCell ref="B94:D94"/>
    <mergeCell ref="B50:D50"/>
    <mergeCell ref="B68:C68"/>
    <mergeCell ref="B64:C64"/>
    <mergeCell ref="B47:C47"/>
    <mergeCell ref="B98:D98"/>
    <mergeCell ref="B72:F72"/>
    <mergeCell ref="H33:I33"/>
    <mergeCell ref="B5:L5"/>
    <mergeCell ref="B63:C63"/>
    <mergeCell ref="B43:D43"/>
    <mergeCell ref="H25:J25"/>
    <mergeCell ref="H6:L6"/>
    <mergeCell ref="H60:I60"/>
    <mergeCell ref="B60:C60"/>
    <mergeCell ref="B55:D55"/>
    <mergeCell ref="H47:I47"/>
    <mergeCell ref="B25:D25"/>
    <mergeCell ref="H43:J43"/>
    <mergeCell ref="B6:F6"/>
    <mergeCell ref="B33:C33"/>
    <mergeCell ref="H36:J36"/>
    <mergeCell ref="H63:I6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B4:N108"/>
  <sheetViews>
    <sheetView tabSelected="1" topLeftCell="A15" zoomScale="70" zoomScaleNormal="70" workbookViewId="0">
      <selection activeCell="M29" sqref="M29"/>
    </sheetView>
  </sheetViews>
  <sheetFormatPr defaultColWidth="39.234375" defaultRowHeight="14.35" x14ac:dyDescent="0.5"/>
  <cols>
    <col min="1" max="1" width="13.52734375" customWidth="1"/>
    <col min="2" max="2" width="15.234375" bestFit="1" customWidth="1"/>
    <col min="3" max="3" width="17.64453125" bestFit="1" customWidth="1"/>
    <col min="4" max="4" width="18.64453125" bestFit="1" customWidth="1"/>
    <col min="5" max="5" width="12.46875" bestFit="1" customWidth="1"/>
    <col min="6" max="6" width="14.5859375" bestFit="1" customWidth="1"/>
    <col min="7" max="7" width="12.46875" customWidth="1"/>
    <col min="8" max="8" width="15.234375" bestFit="1" customWidth="1"/>
    <col min="9" max="9" width="15.703125" bestFit="1" customWidth="1"/>
    <col min="10" max="10" width="18" bestFit="1" customWidth="1"/>
    <col min="11" max="11" width="12.46875" bestFit="1" customWidth="1"/>
    <col min="12" max="12" width="14.5859375" bestFit="1" customWidth="1"/>
    <col min="13" max="14" width="13.41015625" bestFit="1" customWidth="1"/>
    <col min="15" max="15" width="12.3515625" bestFit="1" customWidth="1"/>
  </cols>
  <sheetData>
    <row r="4" spans="2:14" ht="14.7" customHeight="1" thickBot="1" x14ac:dyDescent="0.55000000000000004"/>
    <row r="5" spans="2:14" ht="14.7" customHeight="1" thickBot="1" x14ac:dyDescent="0.55000000000000004">
      <c r="B5" s="29" t="s">
        <v>0</v>
      </c>
      <c r="C5" s="30"/>
      <c r="D5" s="30"/>
      <c r="E5" s="30"/>
      <c r="F5" s="30"/>
      <c r="G5" s="30"/>
      <c r="H5" s="30"/>
      <c r="I5" s="30"/>
      <c r="J5" s="30"/>
      <c r="K5" s="30"/>
      <c r="L5" s="31"/>
    </row>
    <row r="6" spans="2:14" ht="14.7" customHeight="1" thickBot="1" x14ac:dyDescent="0.55000000000000004">
      <c r="B6" s="29" t="s">
        <v>1</v>
      </c>
      <c r="C6" s="30"/>
      <c r="D6" s="30"/>
      <c r="E6" s="30"/>
      <c r="F6" s="31"/>
      <c r="H6" s="29" t="s">
        <v>2</v>
      </c>
      <c r="I6" s="30"/>
      <c r="J6" s="30"/>
      <c r="K6" s="30"/>
      <c r="L6" s="31"/>
    </row>
    <row r="7" spans="2:14" ht="14.7" customHeight="1" thickBot="1" x14ac:dyDescent="0.55000000000000004">
      <c r="B7" s="24" t="s">
        <v>3</v>
      </c>
      <c r="C7" s="18" t="s">
        <v>4</v>
      </c>
      <c r="D7" s="18" t="s">
        <v>5</v>
      </c>
      <c r="E7" s="18" t="s">
        <v>6</v>
      </c>
      <c r="F7" s="19" t="s">
        <v>7</v>
      </c>
      <c r="H7" s="24" t="s">
        <v>3</v>
      </c>
      <c r="I7" s="18" t="s">
        <v>4</v>
      </c>
      <c r="J7" s="18" t="s">
        <v>5</v>
      </c>
      <c r="K7" s="18" t="s">
        <v>6</v>
      </c>
      <c r="L7" s="19" t="s">
        <v>7</v>
      </c>
    </row>
    <row r="8" spans="2:14" x14ac:dyDescent="0.5">
      <c r="B8" s="3" t="s">
        <v>8</v>
      </c>
      <c r="C8" s="6">
        <f>13698 * D27*((0.05*((1.05)^25))/((1.05^25)-1))</f>
        <v>97190.676008484734</v>
      </c>
      <c r="D8" s="6">
        <f>29*D27</f>
        <v>2900</v>
      </c>
      <c r="E8" s="6">
        <f>C8+D8</f>
        <v>100090.67600848473</v>
      </c>
      <c r="F8" s="10">
        <f>E8*25</f>
        <v>2502266.9002121184</v>
      </c>
      <c r="H8" s="3" t="s">
        <v>9</v>
      </c>
      <c r="I8" s="39">
        <f>1615 * J27*((0.05*((1.05)^25))/((1.05^25)-1))</f>
        <v>34376.465561476754</v>
      </c>
      <c r="J8" s="39">
        <f>29*J27</f>
        <v>8700</v>
      </c>
      <c r="K8" s="39">
        <f>I8+J8</f>
        <v>43076.465561476754</v>
      </c>
      <c r="L8" s="10">
        <f>K8*25</f>
        <v>1076911.6390369188</v>
      </c>
    </row>
    <row r="9" spans="2:14" x14ac:dyDescent="0.5">
      <c r="B9" s="3" t="s">
        <v>10</v>
      </c>
      <c r="C9" s="6">
        <f>13698 * D28*((0.05*((1.05)^25))/((1.05^25)-1))</f>
        <v>4859533.8004242368</v>
      </c>
      <c r="D9" s="6">
        <f>29*D28</f>
        <v>145000</v>
      </c>
      <c r="E9" s="6">
        <f>C9+D9</f>
        <v>5004533.8004242368</v>
      </c>
      <c r="F9" s="10">
        <f>E9*25</f>
        <v>125113345.01060592</v>
      </c>
      <c r="H9" s="3" t="s">
        <v>10</v>
      </c>
      <c r="I9" s="39">
        <f>1615 * J28*((0.05*((1.05)^25))/((1.05^25)-1))</f>
        <v>630235.20196040708</v>
      </c>
      <c r="J9" s="39">
        <f>29*J28</f>
        <v>159500</v>
      </c>
      <c r="K9" s="39">
        <f>I9+J9</f>
        <v>789735.20196040708</v>
      </c>
      <c r="L9" s="10">
        <f>K9*25</f>
        <v>19743380.049010176</v>
      </c>
      <c r="M9" s="7"/>
      <c r="N9" s="6"/>
    </row>
    <row r="10" spans="2:14" x14ac:dyDescent="0.5">
      <c r="B10" s="3" t="s">
        <v>11</v>
      </c>
      <c r="C10" s="6">
        <f>13698 * D29*((0.05*((1.05)^25))/((1.05^25)-1))</f>
        <v>0</v>
      </c>
      <c r="D10" s="6">
        <f>29*D29</f>
        <v>0</v>
      </c>
      <c r="E10" s="6">
        <f>C10+D10</f>
        <v>0</v>
      </c>
      <c r="F10" s="10">
        <f>E10*25</f>
        <v>0</v>
      </c>
      <c r="H10" s="3" t="s">
        <v>11</v>
      </c>
      <c r="I10" s="39">
        <f>1615 * J29*((0.05*((1.05)^25))/((1.05^25)-1))</f>
        <v>0</v>
      </c>
      <c r="J10" s="39">
        <f>29*J29</f>
        <v>0</v>
      </c>
      <c r="K10" s="39">
        <f>I10+J10</f>
        <v>0</v>
      </c>
      <c r="L10" s="10">
        <f>K10*25</f>
        <v>0</v>
      </c>
      <c r="M10" s="7"/>
    </row>
    <row r="11" spans="2:14" ht="14.7" customHeight="1" thickBot="1" x14ac:dyDescent="0.55000000000000004">
      <c r="B11" s="16" t="s">
        <v>12</v>
      </c>
      <c r="C11" s="14">
        <f>13698 * D30*((0.05*((1.05)^25))/((1.05^25)-1))</f>
        <v>0</v>
      </c>
      <c r="D11" s="14">
        <f>29*D30</f>
        <v>0</v>
      </c>
      <c r="E11" s="14">
        <f>C11+D11</f>
        <v>0</v>
      </c>
      <c r="F11" s="15">
        <f>E11*25</f>
        <v>0</v>
      </c>
      <c r="H11" s="16" t="s">
        <v>12</v>
      </c>
      <c r="I11" s="14">
        <f>1615 * J30*((0.05*((1.05)^25))/((1.05^25)-1))</f>
        <v>0</v>
      </c>
      <c r="J11" s="14">
        <f>29*J30</f>
        <v>0</v>
      </c>
      <c r="K11" s="14">
        <f>I11+J11</f>
        <v>0</v>
      </c>
      <c r="L11" s="13">
        <f>K11*25</f>
        <v>0</v>
      </c>
    </row>
    <row r="12" spans="2:14" ht="14.7" customHeight="1" thickBot="1" x14ac:dyDescent="0.55000000000000004">
      <c r="B12" s="24" t="s">
        <v>13</v>
      </c>
      <c r="C12" s="18" t="s">
        <v>4</v>
      </c>
      <c r="D12" s="18" t="s">
        <v>5</v>
      </c>
      <c r="E12" s="18" t="s">
        <v>6</v>
      </c>
      <c r="F12" s="19" t="s">
        <v>7</v>
      </c>
      <c r="H12" s="24" t="s">
        <v>13</v>
      </c>
      <c r="I12" s="18" t="s">
        <v>4</v>
      </c>
      <c r="J12" s="18" t="s">
        <v>5</v>
      </c>
      <c r="K12" s="18" t="s">
        <v>6</v>
      </c>
      <c r="L12" s="19" t="s">
        <v>7</v>
      </c>
    </row>
    <row r="13" spans="2:14" x14ac:dyDescent="0.5">
      <c r="B13" s="3" t="s">
        <v>14</v>
      </c>
      <c r="C13" s="4">
        <f>2490 * D38*((0.05*((1.05)^10))/((1.05^10)-1))</f>
        <v>1289865.5666559488</v>
      </c>
      <c r="D13" s="1">
        <f>37.35*D38</f>
        <v>149400</v>
      </c>
      <c r="E13">
        <f>C13+D13</f>
        <v>1439265.5666559488</v>
      </c>
      <c r="F13" s="9">
        <f>E13*25</f>
        <v>35981639.166398719</v>
      </c>
      <c r="H13" s="3" t="s">
        <v>14</v>
      </c>
      <c r="I13" s="4">
        <f>2490 * J38*((0.05*((1.05)^10))/((1.05^10)-1))</f>
        <v>1612331.9583199359</v>
      </c>
      <c r="J13" s="1">
        <f>37.35*J38</f>
        <v>186750</v>
      </c>
      <c r="K13" s="39">
        <f>I13+J13</f>
        <v>1799081.9583199359</v>
      </c>
      <c r="L13" s="10">
        <f>K13*25</f>
        <v>44977048.957998395</v>
      </c>
    </row>
    <row r="14" spans="2:14" x14ac:dyDescent="0.5">
      <c r="B14" s="3" t="s">
        <v>15</v>
      </c>
      <c r="C14" s="4">
        <f>1570 * D39*((0.05*((1.05)^10))/((1.05^10)-1))</f>
        <v>0</v>
      </c>
      <c r="D14" s="1">
        <f>23.55*D39</f>
        <v>0</v>
      </c>
      <c r="E14">
        <f>C14+D14</f>
        <v>0</v>
      </c>
      <c r="F14" s="9">
        <f>E14*25</f>
        <v>0</v>
      </c>
      <c r="H14" s="3" t="s">
        <v>15</v>
      </c>
      <c r="I14" s="4">
        <f>1570 * J39*((0.05*((1.05)^10))/((1.05^10)-1))</f>
        <v>0</v>
      </c>
      <c r="J14" s="1">
        <f>23.55*J39</f>
        <v>0</v>
      </c>
      <c r="K14" s="38">
        <f>I14+J14</f>
        <v>0</v>
      </c>
      <c r="L14" s="10">
        <f>K14*25</f>
        <v>0</v>
      </c>
    </row>
    <row r="15" spans="2:14" ht="14.7" customHeight="1" thickBot="1" x14ac:dyDescent="0.55000000000000004">
      <c r="B15" s="16" t="s">
        <v>16</v>
      </c>
      <c r="C15" s="5">
        <f>1190 * D40*((0.05*((1.05)^10))/((1.05^10)-1))</f>
        <v>0</v>
      </c>
      <c r="D15" s="2">
        <f>17.85*D40</f>
        <v>0</v>
      </c>
      <c r="E15" s="12">
        <f>C15+D15</f>
        <v>0</v>
      </c>
      <c r="F15" s="13">
        <f>E15*25</f>
        <v>0</v>
      </c>
      <c r="H15" s="16" t="s">
        <v>16</v>
      </c>
      <c r="I15" s="5">
        <f>1190 * J40*((0.05*((1.05)^10))/((1.05^10)-1))</f>
        <v>0</v>
      </c>
      <c r="J15" s="2">
        <f>17.85*J40</f>
        <v>0</v>
      </c>
      <c r="K15" s="12">
        <f>I15+J15</f>
        <v>0</v>
      </c>
      <c r="L15" s="15">
        <f>K15*25</f>
        <v>0</v>
      </c>
    </row>
    <row r="16" spans="2:14" ht="14.7" customHeight="1" thickBot="1" x14ac:dyDescent="0.55000000000000004">
      <c r="B16" s="24" t="s">
        <v>17</v>
      </c>
      <c r="C16" s="18" t="s">
        <v>4</v>
      </c>
      <c r="D16" s="18" t="s">
        <v>5</v>
      </c>
      <c r="E16" s="18" t="s">
        <v>6</v>
      </c>
      <c r="F16" s="19" t="s">
        <v>7</v>
      </c>
      <c r="H16" s="24" t="s">
        <v>17</v>
      </c>
      <c r="I16" s="18" t="s">
        <v>4</v>
      </c>
      <c r="J16" s="18" t="s">
        <v>5</v>
      </c>
      <c r="K16" s="18" t="s">
        <v>6</v>
      </c>
      <c r="L16" s="19" t="s">
        <v>7</v>
      </c>
    </row>
    <row r="17" spans="2:14" ht="14.7" customHeight="1" thickBot="1" x14ac:dyDescent="0.55000000000000004">
      <c r="B17" s="16" t="s">
        <v>18</v>
      </c>
      <c r="C17" s="12">
        <v>69066.142870492782</v>
      </c>
      <c r="D17" s="12">
        <v>86071.679999999993</v>
      </c>
      <c r="E17" s="12">
        <f>D17+C17</f>
        <v>155137.82287049276</v>
      </c>
      <c r="F17" s="13">
        <f>E17*25</f>
        <v>3878445.5717623192</v>
      </c>
      <c r="H17" s="16" t="s">
        <v>18</v>
      </c>
      <c r="I17" s="12">
        <v>69066.142870492782</v>
      </c>
      <c r="J17" s="12">
        <v>86071.679999999993</v>
      </c>
      <c r="K17" s="12">
        <f>J17+I17</f>
        <v>155137.82287049276</v>
      </c>
      <c r="L17" s="15">
        <f>K17*25</f>
        <v>3878445.5717623192</v>
      </c>
    </row>
    <row r="18" spans="2:14" ht="14.7" customHeight="1" thickBot="1" x14ac:dyDescent="0.55000000000000004">
      <c r="B18" s="24" t="s">
        <v>19</v>
      </c>
      <c r="C18" s="18" t="s">
        <v>4</v>
      </c>
      <c r="D18" s="18" t="s">
        <v>5</v>
      </c>
      <c r="E18" s="18" t="s">
        <v>6</v>
      </c>
      <c r="F18" s="19" t="s">
        <v>7</v>
      </c>
      <c r="H18" s="24" t="s">
        <v>20</v>
      </c>
      <c r="I18" s="18" t="s">
        <v>4</v>
      </c>
      <c r="J18" s="18" t="s">
        <v>5</v>
      </c>
      <c r="K18" s="18" t="s">
        <v>6</v>
      </c>
      <c r="L18" s="19" t="s">
        <v>7</v>
      </c>
    </row>
    <row r="19" spans="2:14" ht="14.7" customHeight="1" thickBot="1" x14ac:dyDescent="0.55000000000000004">
      <c r="B19" s="11"/>
      <c r="C19" s="12">
        <f>C48*300*((0.05*((1.05)^20))/((1.05^20)-1))</f>
        <v>854342.82581929048</v>
      </c>
      <c r="D19" s="12">
        <v>0</v>
      </c>
      <c r="E19" s="12">
        <f>D19+C19</f>
        <v>854342.82581929048</v>
      </c>
      <c r="F19" s="13">
        <f>E19*25</f>
        <v>21358570.645482261</v>
      </c>
      <c r="H19" s="11"/>
      <c r="I19" s="14">
        <f>(I48/10)*3000*((0.05*((1.05)^20))/((1.05^20)-1))</f>
        <v>130233.719010492</v>
      </c>
      <c r="J19" s="12">
        <v>0</v>
      </c>
      <c r="K19" s="12">
        <f>J19+I19</f>
        <v>130233.719010492</v>
      </c>
      <c r="L19" s="15">
        <f>K19*25</f>
        <v>3255842.9752623001</v>
      </c>
    </row>
    <row r="20" spans="2:14" ht="14.7" customHeight="1" thickBot="1" x14ac:dyDescent="0.55000000000000004">
      <c r="B20" s="24" t="s">
        <v>21</v>
      </c>
      <c r="C20" s="18" t="s">
        <v>4</v>
      </c>
      <c r="D20" s="18" t="s">
        <v>5</v>
      </c>
      <c r="E20" s="18" t="s">
        <v>6</v>
      </c>
      <c r="F20" s="19" t="s">
        <v>7</v>
      </c>
      <c r="H20" s="24" t="s">
        <v>21</v>
      </c>
      <c r="I20" s="18" t="s">
        <v>4</v>
      </c>
      <c r="J20" s="18" t="s">
        <v>5</v>
      </c>
      <c r="K20" s="18" t="s">
        <v>6</v>
      </c>
      <c r="L20" s="19" t="s">
        <v>7</v>
      </c>
    </row>
    <row r="21" spans="2:14" ht="14.7" customHeight="1" thickBot="1" x14ac:dyDescent="0.55000000000000004">
      <c r="B21" s="11"/>
      <c r="C21" s="12">
        <v>0</v>
      </c>
      <c r="D21" s="12">
        <v>0</v>
      </c>
      <c r="E21" s="12">
        <f>C21+D21</f>
        <v>0</v>
      </c>
      <c r="F21" s="13">
        <f>E21*25</f>
        <v>0</v>
      </c>
      <c r="H21" s="11"/>
      <c r="I21" s="12">
        <v>271.70140022768072</v>
      </c>
      <c r="J21" s="12">
        <v>38</v>
      </c>
      <c r="K21" s="12">
        <f>J21+I21</f>
        <v>309.70140022768072</v>
      </c>
      <c r="L21" s="13">
        <f>K21*25</f>
        <v>7742.5350056920179</v>
      </c>
    </row>
    <row r="22" spans="2:14" ht="14.7" customHeight="1" thickBot="1" x14ac:dyDescent="0.55000000000000004">
      <c r="B22" s="17"/>
      <c r="C22" s="18" t="s">
        <v>4</v>
      </c>
      <c r="D22" s="18" t="s">
        <v>5</v>
      </c>
      <c r="E22" s="18" t="s">
        <v>6</v>
      </c>
      <c r="F22" s="19" t="s">
        <v>7</v>
      </c>
      <c r="H22" s="17"/>
      <c r="I22" s="18" t="s">
        <v>4</v>
      </c>
      <c r="J22" s="18" t="s">
        <v>5</v>
      </c>
      <c r="K22" s="18" t="s">
        <v>6</v>
      </c>
      <c r="L22" s="19" t="s">
        <v>7</v>
      </c>
    </row>
    <row r="23" spans="2:14" ht="14.7" customHeight="1" thickBot="1" x14ac:dyDescent="0.55000000000000004">
      <c r="B23" s="24" t="s">
        <v>22</v>
      </c>
      <c r="C23" s="12">
        <v>7176017.2058177534</v>
      </c>
      <c r="D23" s="12">
        <v>383371.68</v>
      </c>
      <c r="E23" s="25">
        <v>7559388.8858177522</v>
      </c>
      <c r="F23" s="13">
        <f>D23*25</f>
        <v>9584292</v>
      </c>
      <c r="H23" s="24" t="s">
        <v>22</v>
      </c>
      <c r="I23" s="14">
        <v>2476515.1891230312</v>
      </c>
      <c r="J23" s="14">
        <v>441059.68</v>
      </c>
      <c r="K23" s="14">
        <v>4062917.2247025901</v>
      </c>
      <c r="L23" s="15">
        <f>K23*25</f>
        <v>101572930.61756475</v>
      </c>
      <c r="M23" s="6"/>
    </row>
    <row r="24" spans="2:14" ht="14.7" customHeight="1" thickBot="1" x14ac:dyDescent="0.55000000000000004">
      <c r="B24" s="8"/>
      <c r="F24" s="9"/>
      <c r="H24" s="8"/>
      <c r="I24" s="39"/>
      <c r="J24" s="39"/>
      <c r="K24" s="39"/>
      <c r="L24" s="10"/>
      <c r="M24" s="6"/>
      <c r="N24" s="7"/>
    </row>
    <row r="25" spans="2:14" ht="14.7" customHeight="1" thickBot="1" x14ac:dyDescent="0.55000000000000004">
      <c r="B25" s="29" t="s">
        <v>3</v>
      </c>
      <c r="C25" s="30"/>
      <c r="D25" s="31"/>
      <c r="F25" s="9"/>
      <c r="H25" s="29" t="s">
        <v>3</v>
      </c>
      <c r="I25" s="30"/>
      <c r="J25" s="31"/>
      <c r="K25" s="38"/>
      <c r="L25" s="10"/>
      <c r="M25" s="6"/>
    </row>
    <row r="26" spans="2:14" ht="14.7" customHeight="1" thickBot="1" x14ac:dyDescent="0.55000000000000004">
      <c r="B26" s="17" t="s">
        <v>23</v>
      </c>
      <c r="C26" s="18" t="s">
        <v>24</v>
      </c>
      <c r="D26" s="19" t="s">
        <v>25</v>
      </c>
      <c r="F26" s="9"/>
      <c r="H26" s="17" t="s">
        <v>23</v>
      </c>
      <c r="I26" s="18" t="s">
        <v>24</v>
      </c>
      <c r="J26" s="19" t="s">
        <v>25</v>
      </c>
      <c r="K26" s="38"/>
      <c r="L26" s="10"/>
      <c r="M26" s="6"/>
    </row>
    <row r="27" spans="2:14" x14ac:dyDescent="0.5">
      <c r="B27" s="23" t="s">
        <v>9</v>
      </c>
      <c r="C27">
        <v>1</v>
      </c>
      <c r="D27" s="9">
        <v>100</v>
      </c>
      <c r="F27" s="9"/>
      <c r="H27" s="8" t="s">
        <v>9</v>
      </c>
      <c r="I27" s="38">
        <v>3</v>
      </c>
      <c r="J27" s="9">
        <v>300</v>
      </c>
      <c r="K27" s="38"/>
      <c r="L27" s="9"/>
    </row>
    <row r="28" spans="2:14" x14ac:dyDescent="0.5">
      <c r="B28" s="3" t="s">
        <v>10</v>
      </c>
      <c r="C28">
        <v>10</v>
      </c>
      <c r="D28" s="9">
        <v>5000</v>
      </c>
      <c r="F28" s="9"/>
      <c r="H28" s="8" t="s">
        <v>10</v>
      </c>
      <c r="I28" s="38">
        <v>11</v>
      </c>
      <c r="J28" s="9">
        <v>5500</v>
      </c>
      <c r="K28" s="38"/>
      <c r="L28" s="9"/>
    </row>
    <row r="29" spans="2:14" x14ac:dyDescent="0.5">
      <c r="B29" s="3" t="s">
        <v>11</v>
      </c>
      <c r="C29">
        <v>0</v>
      </c>
      <c r="D29" s="9">
        <v>0</v>
      </c>
      <c r="F29" s="9"/>
      <c r="H29" s="8" t="s">
        <v>11</v>
      </c>
      <c r="I29" s="38">
        <v>0</v>
      </c>
      <c r="J29" s="9">
        <v>0</v>
      </c>
      <c r="K29" s="38"/>
      <c r="L29" s="9"/>
    </row>
    <row r="30" spans="2:14" x14ac:dyDescent="0.5">
      <c r="B30" s="3" t="s">
        <v>12</v>
      </c>
      <c r="C30">
        <v>0</v>
      </c>
      <c r="D30" s="9">
        <v>0</v>
      </c>
      <c r="F30" s="9"/>
      <c r="H30" s="8" t="s">
        <v>12</v>
      </c>
      <c r="I30" s="38">
        <v>0</v>
      </c>
      <c r="J30" s="9">
        <v>0</v>
      </c>
      <c r="K30" s="38"/>
      <c r="L30" s="9"/>
    </row>
    <row r="31" spans="2:14" ht="14.7" customHeight="1" thickBot="1" x14ac:dyDescent="0.55000000000000004">
      <c r="B31" s="16" t="s">
        <v>26</v>
      </c>
      <c r="C31" s="12">
        <v>11</v>
      </c>
      <c r="D31" s="13">
        <v>5100</v>
      </c>
      <c r="F31" s="9"/>
      <c r="H31" s="11" t="s">
        <v>26</v>
      </c>
      <c r="I31" s="12">
        <v>14</v>
      </c>
      <c r="J31" s="13">
        <v>5800</v>
      </c>
      <c r="K31" s="38"/>
      <c r="L31" s="9"/>
    </row>
    <row r="32" spans="2:14" ht="14.7" customHeight="1" thickBot="1" x14ac:dyDescent="0.55000000000000004">
      <c r="B32" s="8"/>
      <c r="F32" s="9"/>
      <c r="H32" s="8"/>
      <c r="I32" s="38"/>
      <c r="J32" s="38"/>
      <c r="K32" s="38"/>
      <c r="L32" s="9"/>
    </row>
    <row r="33" spans="2:12" ht="14.7" customHeight="1" thickBot="1" x14ac:dyDescent="0.55000000000000004">
      <c r="B33" s="29" t="s">
        <v>21</v>
      </c>
      <c r="C33" s="31"/>
      <c r="F33" s="9"/>
      <c r="H33" s="29" t="s">
        <v>21</v>
      </c>
      <c r="I33" s="31"/>
      <c r="J33" s="38"/>
      <c r="K33" s="38"/>
      <c r="L33" s="9"/>
    </row>
    <row r="34" spans="2:12" ht="14.7" customHeight="1" thickBot="1" x14ac:dyDescent="0.55000000000000004">
      <c r="B34" s="24" t="s">
        <v>25</v>
      </c>
      <c r="C34" s="13">
        <v>0</v>
      </c>
      <c r="F34" s="9"/>
      <c r="H34" s="24" t="s">
        <v>25</v>
      </c>
      <c r="I34" s="13">
        <v>2</v>
      </c>
      <c r="J34" s="38"/>
      <c r="K34" s="38"/>
      <c r="L34" s="9"/>
    </row>
    <row r="35" spans="2:12" ht="14.7" customHeight="1" thickBot="1" x14ac:dyDescent="0.55000000000000004">
      <c r="B35" s="8"/>
      <c r="F35" s="9"/>
      <c r="H35" s="8"/>
      <c r="I35" s="38"/>
      <c r="J35" s="38"/>
      <c r="K35" s="38"/>
      <c r="L35" s="9"/>
    </row>
    <row r="36" spans="2:12" ht="14.7" customHeight="1" thickBot="1" x14ac:dyDescent="0.55000000000000004">
      <c r="B36" s="29" t="s">
        <v>13</v>
      </c>
      <c r="C36" s="30"/>
      <c r="D36" s="31"/>
      <c r="F36" s="9"/>
      <c r="H36" s="29" t="s">
        <v>13</v>
      </c>
      <c r="I36" s="30"/>
      <c r="J36" s="31"/>
      <c r="K36" s="38"/>
      <c r="L36" s="9"/>
    </row>
    <row r="37" spans="2:12" ht="14.7" customHeight="1" thickBot="1" x14ac:dyDescent="0.55000000000000004">
      <c r="B37" s="24" t="s">
        <v>23</v>
      </c>
      <c r="C37" s="18" t="s">
        <v>24</v>
      </c>
      <c r="D37" s="19" t="s">
        <v>25</v>
      </c>
      <c r="F37" s="9"/>
      <c r="H37" s="17" t="s">
        <v>23</v>
      </c>
      <c r="I37" s="18" t="s">
        <v>24</v>
      </c>
      <c r="J37" s="19" t="s">
        <v>25</v>
      </c>
      <c r="K37" s="38"/>
      <c r="L37" s="9"/>
    </row>
    <row r="38" spans="2:12" x14ac:dyDescent="0.5">
      <c r="B38" s="23" t="s">
        <v>14</v>
      </c>
      <c r="C38">
        <v>4</v>
      </c>
      <c r="D38" s="9">
        <v>4000</v>
      </c>
      <c r="F38" s="9"/>
      <c r="H38" s="23" t="s">
        <v>14</v>
      </c>
      <c r="I38" s="38">
        <v>5</v>
      </c>
      <c r="J38" s="9">
        <v>5000</v>
      </c>
      <c r="K38" s="38"/>
      <c r="L38" s="9"/>
    </row>
    <row r="39" spans="2:12" x14ac:dyDescent="0.5">
      <c r="B39" s="3" t="s">
        <v>15</v>
      </c>
      <c r="C39">
        <v>0</v>
      </c>
      <c r="D39" s="9">
        <v>0</v>
      </c>
      <c r="F39" s="9"/>
      <c r="H39" s="3" t="s">
        <v>15</v>
      </c>
      <c r="I39" s="38">
        <v>0</v>
      </c>
      <c r="J39" s="9">
        <v>0</v>
      </c>
      <c r="K39" s="38"/>
      <c r="L39" s="9"/>
    </row>
    <row r="40" spans="2:12" x14ac:dyDescent="0.5">
      <c r="B40" s="3" t="s">
        <v>16</v>
      </c>
      <c r="C40">
        <v>0</v>
      </c>
      <c r="D40" s="9">
        <v>0</v>
      </c>
      <c r="F40" s="9"/>
      <c r="H40" s="3" t="s">
        <v>16</v>
      </c>
      <c r="I40" s="38">
        <v>0</v>
      </c>
      <c r="J40" s="9">
        <v>0</v>
      </c>
      <c r="K40" s="38"/>
      <c r="L40" s="9"/>
    </row>
    <row r="41" spans="2:12" ht="14.7" customHeight="1" thickBot="1" x14ac:dyDescent="0.55000000000000004">
      <c r="B41" s="16" t="s">
        <v>26</v>
      </c>
      <c r="C41" s="12">
        <v>4</v>
      </c>
      <c r="D41" s="13">
        <v>4000</v>
      </c>
      <c r="F41" s="9"/>
      <c r="H41" s="16" t="s">
        <v>26</v>
      </c>
      <c r="I41" s="12">
        <v>5</v>
      </c>
      <c r="J41" s="13">
        <v>5000</v>
      </c>
      <c r="K41" s="38"/>
      <c r="L41" s="9"/>
    </row>
    <row r="42" spans="2:12" ht="14.7" customHeight="1" thickBot="1" x14ac:dyDescent="0.55000000000000004">
      <c r="B42" s="8"/>
      <c r="F42" s="9"/>
      <c r="H42" s="8"/>
      <c r="I42" s="38"/>
      <c r="J42" s="38"/>
      <c r="K42" s="38"/>
      <c r="L42" s="9"/>
    </row>
    <row r="43" spans="2:12" ht="14.7" customHeight="1" thickBot="1" x14ac:dyDescent="0.55000000000000004">
      <c r="B43" s="29" t="s">
        <v>27</v>
      </c>
      <c r="C43" s="30"/>
      <c r="D43" s="31"/>
      <c r="F43" s="9"/>
      <c r="H43" s="29" t="s">
        <v>27</v>
      </c>
      <c r="I43" s="30"/>
      <c r="J43" s="31"/>
      <c r="K43" s="38"/>
      <c r="L43" s="9"/>
    </row>
    <row r="44" spans="2:12" ht="14.7" customHeight="1" thickBot="1" x14ac:dyDescent="0.55000000000000004">
      <c r="B44" s="24" t="s">
        <v>23</v>
      </c>
      <c r="C44" s="18" t="s">
        <v>24</v>
      </c>
      <c r="D44" s="19" t="s">
        <v>25</v>
      </c>
      <c r="F44" s="9"/>
      <c r="H44" s="17" t="s">
        <v>23</v>
      </c>
      <c r="I44" s="18" t="s">
        <v>24</v>
      </c>
      <c r="J44" s="19" t="s">
        <v>25</v>
      </c>
      <c r="K44" s="38"/>
      <c r="L44" s="9"/>
    </row>
    <row r="45" spans="2:12" ht="14.7" customHeight="1" thickBot="1" x14ac:dyDescent="0.55000000000000004">
      <c r="B45" s="24" t="s">
        <v>18</v>
      </c>
      <c r="C45" s="12">
        <v>306</v>
      </c>
      <c r="D45" s="13">
        <v>5379.48</v>
      </c>
      <c r="F45" s="9"/>
      <c r="H45" s="24" t="s">
        <v>18</v>
      </c>
      <c r="I45" s="12">
        <v>306</v>
      </c>
      <c r="J45" s="13">
        <v>5379.48</v>
      </c>
      <c r="K45" s="38"/>
      <c r="L45" s="9"/>
    </row>
    <row r="46" spans="2:12" ht="14.7" customHeight="1" thickBot="1" x14ac:dyDescent="0.55000000000000004">
      <c r="B46" s="8"/>
      <c r="F46" s="9"/>
      <c r="H46" s="8"/>
      <c r="I46" s="38"/>
      <c r="J46" s="38"/>
      <c r="K46" s="38"/>
      <c r="L46" s="9"/>
    </row>
    <row r="47" spans="2:12" ht="14.7" customHeight="1" thickBot="1" x14ac:dyDescent="0.55000000000000004">
      <c r="B47" s="29" t="s">
        <v>28</v>
      </c>
      <c r="C47" s="31"/>
      <c r="F47" s="9"/>
      <c r="H47" s="29" t="s">
        <v>28</v>
      </c>
      <c r="I47" s="31"/>
      <c r="J47" s="38"/>
      <c r="K47" s="38"/>
      <c r="L47" s="9"/>
    </row>
    <row r="48" spans="2:12" ht="14.7" customHeight="1" thickBot="1" x14ac:dyDescent="0.55000000000000004">
      <c r="B48" s="11" t="s">
        <v>29</v>
      </c>
      <c r="C48" s="13">
        <v>35490</v>
      </c>
      <c r="F48" s="9"/>
      <c r="H48" s="24" t="s">
        <v>29</v>
      </c>
      <c r="I48" s="13">
        <v>5410</v>
      </c>
      <c r="J48" s="38"/>
      <c r="K48" s="38"/>
      <c r="L48" s="9"/>
    </row>
    <row r="49" spans="2:12" ht="14.7" customHeight="1" thickBot="1" x14ac:dyDescent="0.55000000000000004">
      <c r="B49" s="8"/>
      <c r="F49" s="9"/>
      <c r="H49" s="8"/>
      <c r="I49" s="38"/>
      <c r="J49" s="38"/>
      <c r="K49" s="38"/>
      <c r="L49" s="9"/>
    </row>
    <row r="50" spans="2:12" ht="14.7" customHeight="1" thickBot="1" x14ac:dyDescent="0.55000000000000004">
      <c r="B50" s="29" t="s">
        <v>30</v>
      </c>
      <c r="C50" s="30"/>
      <c r="D50" s="31"/>
      <c r="F50" s="9"/>
      <c r="H50" s="35" t="s">
        <v>30</v>
      </c>
      <c r="I50" s="36"/>
      <c r="J50" s="37"/>
      <c r="K50" s="38"/>
      <c r="L50" s="9"/>
    </row>
    <row r="51" spans="2:12" ht="14.7" customHeight="1" thickBot="1" x14ac:dyDescent="0.55000000000000004">
      <c r="B51" s="11" t="s">
        <v>31</v>
      </c>
      <c r="C51" s="12" t="s">
        <v>32</v>
      </c>
      <c r="D51" s="13" t="s">
        <v>33</v>
      </c>
      <c r="F51" s="9"/>
      <c r="H51" s="24" t="s">
        <v>31</v>
      </c>
      <c r="I51" s="18" t="s">
        <v>61</v>
      </c>
      <c r="J51" s="21" t="s">
        <v>33</v>
      </c>
      <c r="K51" s="38"/>
      <c r="L51" s="9"/>
    </row>
    <row r="52" spans="2:12" ht="14.7" customHeight="1" x14ac:dyDescent="0.5">
      <c r="B52" s="23" t="s">
        <v>34</v>
      </c>
      <c r="C52" s="26">
        <v>5121051.6220616801</v>
      </c>
      <c r="D52" s="27">
        <f>C52*25</f>
        <v>128026290.551542</v>
      </c>
      <c r="F52" s="9"/>
      <c r="H52" s="3" t="s">
        <v>34</v>
      </c>
      <c r="I52" s="40">
        <v>4850148.9770013299</v>
      </c>
      <c r="J52" s="27">
        <f>I52*25</f>
        <v>121253724.42503324</v>
      </c>
      <c r="K52" s="38"/>
      <c r="L52" s="9"/>
    </row>
    <row r="53" spans="2:12" ht="14.7" customHeight="1" thickBot="1" x14ac:dyDescent="0.55000000000000004">
      <c r="B53" s="16" t="s">
        <v>35</v>
      </c>
      <c r="C53" s="25">
        <v>1241094.40553762</v>
      </c>
      <c r="D53" s="28">
        <f>C53*25</f>
        <v>31027360.138440497</v>
      </c>
      <c r="F53" s="9"/>
      <c r="H53" s="16" t="s">
        <v>35</v>
      </c>
      <c r="I53" s="25">
        <v>292899.13105557061</v>
      </c>
      <c r="J53" s="28">
        <f>I53*25</f>
        <v>7322478.2763892654</v>
      </c>
      <c r="K53" s="38"/>
      <c r="L53" s="9"/>
    </row>
    <row r="54" spans="2:12" ht="14.7" customHeight="1" thickBot="1" x14ac:dyDescent="0.55000000000000004">
      <c r="B54" s="8"/>
      <c r="F54" s="9"/>
      <c r="H54" s="8"/>
      <c r="I54" s="39"/>
      <c r="J54" s="10"/>
      <c r="K54" s="38"/>
      <c r="L54" s="9"/>
    </row>
    <row r="55" spans="2:12" ht="14.7" customHeight="1" thickBot="1" x14ac:dyDescent="0.55000000000000004">
      <c r="B55" s="29" t="s">
        <v>36</v>
      </c>
      <c r="C55" s="30"/>
      <c r="D55" s="31"/>
      <c r="F55" s="9"/>
      <c r="H55" s="35" t="s">
        <v>36</v>
      </c>
      <c r="I55" s="36"/>
      <c r="J55" s="37"/>
      <c r="K55" s="38"/>
      <c r="L55" s="9"/>
    </row>
    <row r="56" spans="2:12" ht="14.7" customHeight="1" thickBot="1" x14ac:dyDescent="0.55000000000000004">
      <c r="B56" s="11" t="s">
        <v>31</v>
      </c>
      <c r="C56" s="12" t="s">
        <v>32</v>
      </c>
      <c r="D56" s="13" t="s">
        <v>33</v>
      </c>
      <c r="F56" s="9"/>
      <c r="H56" s="24" t="s">
        <v>31</v>
      </c>
      <c r="I56" s="20">
        <v>1317324.41350653</v>
      </c>
      <c r="J56" s="21" t="s">
        <v>33</v>
      </c>
      <c r="K56" s="38"/>
      <c r="L56" s="9"/>
    </row>
    <row r="57" spans="2:12" ht="14.7" customHeight="1" thickBot="1" x14ac:dyDescent="0.55000000000000004">
      <c r="B57" s="23" t="s">
        <v>34</v>
      </c>
      <c r="C57">
        <v>1390902.9096957601</v>
      </c>
      <c r="D57" s="9">
        <f>C57*25</f>
        <v>34772572.742394</v>
      </c>
      <c r="F57" s="9"/>
      <c r="H57" s="16" t="s">
        <v>34</v>
      </c>
      <c r="I57" s="14">
        <v>115017.2859130594</v>
      </c>
      <c r="J57" s="15">
        <f>I57*25</f>
        <v>2875432.1478264849</v>
      </c>
      <c r="K57" s="38"/>
      <c r="L57" s="9"/>
    </row>
    <row r="58" spans="2:12" ht="14.7" customHeight="1" thickBot="1" x14ac:dyDescent="0.55000000000000004">
      <c r="B58" s="16" t="s">
        <v>35</v>
      </c>
      <c r="C58" s="12">
        <v>571382.23823628505</v>
      </c>
      <c r="D58" s="13">
        <f>C58*25</f>
        <v>14284555.955907127</v>
      </c>
      <c r="F58" s="9"/>
      <c r="H58" s="8" t="s">
        <v>35</v>
      </c>
      <c r="I58" s="12">
        <v>292899.13105557061</v>
      </c>
      <c r="J58" s="38">
        <f>I58*25</f>
        <v>7322478.2763892654</v>
      </c>
      <c r="K58" s="38"/>
      <c r="L58" s="9"/>
    </row>
    <row r="59" spans="2:12" ht="14.7" customHeight="1" thickBot="1" x14ac:dyDescent="0.55000000000000004">
      <c r="B59" s="8"/>
      <c r="F59" s="9"/>
      <c r="H59" s="8"/>
      <c r="I59" s="38"/>
      <c r="J59" s="38"/>
      <c r="K59" s="38"/>
      <c r="L59" s="9"/>
    </row>
    <row r="60" spans="2:12" ht="14.7" customHeight="1" thickBot="1" x14ac:dyDescent="0.55000000000000004">
      <c r="B60" s="29" t="s">
        <v>37</v>
      </c>
      <c r="C60" s="31"/>
      <c r="F60" s="9"/>
      <c r="H60" s="29" t="s">
        <v>38</v>
      </c>
      <c r="I60" s="31"/>
      <c r="J60" s="38"/>
      <c r="K60" s="38"/>
      <c r="L60" s="9"/>
    </row>
    <row r="61" spans="2:12" ht="14.7" customHeight="1" thickBot="1" x14ac:dyDescent="0.55000000000000004">
      <c r="B61" s="24" t="s">
        <v>39</v>
      </c>
      <c r="C61" s="13">
        <v>321659.05720866797</v>
      </c>
      <c r="F61" s="9"/>
      <c r="H61" s="24" t="s">
        <v>39</v>
      </c>
      <c r="I61" s="13">
        <v>48688.462300597603</v>
      </c>
      <c r="J61" s="38"/>
      <c r="K61" s="38"/>
      <c r="L61" s="9"/>
    </row>
    <row r="62" spans="2:12" ht="14.7" customHeight="1" thickBot="1" x14ac:dyDescent="0.55000000000000004">
      <c r="B62" s="8"/>
      <c r="F62" s="9"/>
      <c r="H62" s="8"/>
      <c r="I62" s="38"/>
      <c r="J62" s="38"/>
      <c r="K62" s="38"/>
      <c r="L62" s="9"/>
    </row>
    <row r="63" spans="2:12" ht="14.7" customHeight="1" thickBot="1" x14ac:dyDescent="0.55000000000000004">
      <c r="B63" s="29" t="s">
        <v>40</v>
      </c>
      <c r="C63" s="31"/>
      <c r="F63" s="9"/>
      <c r="H63" s="29" t="s">
        <v>40</v>
      </c>
      <c r="I63" s="31"/>
      <c r="J63" s="38"/>
      <c r="K63" s="38"/>
      <c r="L63" s="9"/>
    </row>
    <row r="64" spans="2:12" ht="14.7" customHeight="1" thickBot="1" x14ac:dyDescent="0.55000000000000004">
      <c r="B64" s="29">
        <f>E23/B70</f>
        <v>0.69291743586720167</v>
      </c>
      <c r="C64" s="31"/>
      <c r="F64" s="9"/>
      <c r="H64" s="29">
        <f>K23/B70</f>
        <v>0.37241981170771044</v>
      </c>
      <c r="I64" s="31"/>
      <c r="J64" s="38"/>
      <c r="K64" s="38"/>
      <c r="L64" s="9"/>
    </row>
    <row r="65" spans="2:12" x14ac:dyDescent="0.5">
      <c r="B65" s="8"/>
      <c r="F65" s="9"/>
      <c r="H65" s="8"/>
      <c r="I65" s="38"/>
      <c r="J65" s="38"/>
      <c r="K65" s="38"/>
      <c r="L65" s="9"/>
    </row>
    <row r="66" spans="2:12" ht="14.7" customHeight="1" thickBot="1" x14ac:dyDescent="0.55000000000000004">
      <c r="B66" s="11"/>
      <c r="C66" s="12"/>
      <c r="D66" s="12"/>
      <c r="E66" s="12"/>
      <c r="F66" s="13"/>
      <c r="G66" s="12"/>
      <c r="H66" s="11"/>
      <c r="I66" s="12"/>
      <c r="J66" s="12"/>
      <c r="K66" s="12"/>
      <c r="L66" s="13"/>
    </row>
    <row r="67" spans="2:12" ht="14.7" customHeight="1" thickBot="1" x14ac:dyDescent="0.55000000000000004">
      <c r="B67" s="11"/>
      <c r="C67" s="12"/>
      <c r="L67" s="9"/>
    </row>
    <row r="68" spans="2:12" ht="14.7" customHeight="1" thickBot="1" x14ac:dyDescent="0.55000000000000004">
      <c r="B68" s="32" t="s">
        <v>41</v>
      </c>
      <c r="C68" s="33"/>
      <c r="L68" s="9"/>
    </row>
    <row r="69" spans="2:12" ht="14.7" customHeight="1" thickBot="1" x14ac:dyDescent="0.55000000000000004">
      <c r="B69" s="17" t="s">
        <v>42</v>
      </c>
      <c r="C69" s="19" t="s">
        <v>43</v>
      </c>
      <c r="L69" s="9"/>
    </row>
    <row r="70" spans="2:12" ht="14.7" customHeight="1" thickBot="1" x14ac:dyDescent="0.55000000000000004">
      <c r="B70" s="11">
        <f>C108</f>
        <v>10909508.831101945</v>
      </c>
      <c r="C70" s="13">
        <f>D108</f>
        <v>272737720.77754861</v>
      </c>
      <c r="D70" s="12"/>
      <c r="E70" s="12"/>
      <c r="F70" s="12"/>
      <c r="G70" s="12"/>
      <c r="H70" s="12"/>
      <c r="I70" s="12"/>
      <c r="J70" s="12"/>
      <c r="K70" s="12"/>
      <c r="L70" s="13"/>
    </row>
    <row r="71" spans="2:12" ht="14.7" customHeight="1" thickBot="1" x14ac:dyDescent="0.55000000000000004"/>
    <row r="72" spans="2:12" ht="14.7" customHeight="1" thickBot="1" x14ac:dyDescent="0.55000000000000004">
      <c r="B72" s="29" t="s">
        <v>44</v>
      </c>
      <c r="C72" s="30"/>
      <c r="D72" s="30"/>
      <c r="E72" s="30"/>
      <c r="F72" s="31"/>
    </row>
    <row r="73" spans="2:12" ht="14.7" customHeight="1" thickBot="1" x14ac:dyDescent="0.55000000000000004">
      <c r="B73" s="29" t="s">
        <v>45</v>
      </c>
      <c r="C73" s="30"/>
      <c r="D73" s="30"/>
      <c r="E73" s="30"/>
      <c r="F73" s="31"/>
    </row>
    <row r="74" spans="2:12" ht="14.7" customHeight="1" thickBot="1" x14ac:dyDescent="0.55000000000000004">
      <c r="B74" s="24" t="s">
        <v>46</v>
      </c>
      <c r="C74" s="18" t="s">
        <v>4</v>
      </c>
      <c r="D74" s="18" t="s">
        <v>5</v>
      </c>
      <c r="E74" s="18" t="s">
        <v>6</v>
      </c>
      <c r="F74" s="19" t="s">
        <v>7</v>
      </c>
    </row>
    <row r="75" spans="2:12" x14ac:dyDescent="0.5">
      <c r="B75" s="23" t="s">
        <v>9</v>
      </c>
      <c r="C75">
        <v>38314.326941583982</v>
      </c>
      <c r="D75">
        <v>89400</v>
      </c>
      <c r="E75">
        <f>C75+D75</f>
        <v>127714.32694158397</v>
      </c>
      <c r="F75" s="9">
        <f>E75*25</f>
        <v>3192858.1735395994</v>
      </c>
    </row>
    <row r="76" spans="2:12" x14ac:dyDescent="0.5">
      <c r="B76" s="3" t="s">
        <v>10</v>
      </c>
      <c r="C76">
        <v>0</v>
      </c>
      <c r="D76">
        <v>0</v>
      </c>
      <c r="E76">
        <f>C76+D76</f>
        <v>0</v>
      </c>
      <c r="F76" s="9">
        <f>E76*25</f>
        <v>0</v>
      </c>
    </row>
    <row r="77" spans="2:12" x14ac:dyDescent="0.5">
      <c r="B77" s="3" t="s">
        <v>14</v>
      </c>
      <c r="C77">
        <v>70952.457299229587</v>
      </c>
      <c r="D77">
        <v>114000</v>
      </c>
      <c r="E77">
        <f>C77+D77</f>
        <v>184952.45729922957</v>
      </c>
      <c r="F77" s="9">
        <f>E77*25</f>
        <v>4623811.4324807394</v>
      </c>
    </row>
    <row r="78" spans="2:12" x14ac:dyDescent="0.5">
      <c r="B78" s="3" t="s">
        <v>47</v>
      </c>
      <c r="C78">
        <v>0</v>
      </c>
      <c r="D78">
        <v>0</v>
      </c>
      <c r="E78">
        <f>C78+D78</f>
        <v>0</v>
      </c>
      <c r="F78" s="9">
        <f>E78*25</f>
        <v>0</v>
      </c>
    </row>
    <row r="79" spans="2:12" ht="14.7" customHeight="1" thickBot="1" x14ac:dyDescent="0.55000000000000004">
      <c r="B79" s="16" t="s">
        <v>48</v>
      </c>
      <c r="C79" s="12"/>
      <c r="D79" s="12"/>
      <c r="E79">
        <f>C79+D79</f>
        <v>0</v>
      </c>
      <c r="F79" s="9">
        <f>E79*25</f>
        <v>0</v>
      </c>
    </row>
    <row r="80" spans="2:12" ht="14.7" customHeight="1" thickBot="1" x14ac:dyDescent="0.55000000000000004">
      <c r="B80" s="17" t="s">
        <v>49</v>
      </c>
      <c r="C80" s="18" t="s">
        <v>4</v>
      </c>
      <c r="D80" s="18" t="s">
        <v>5</v>
      </c>
      <c r="E80" s="18" t="s">
        <v>6</v>
      </c>
      <c r="F80" s="19" t="s">
        <v>7</v>
      </c>
    </row>
    <row r="81" spans="2:6" x14ac:dyDescent="0.5">
      <c r="B81" s="23" t="s">
        <v>18</v>
      </c>
      <c r="C81">
        <v>69066.142870492782</v>
      </c>
      <c r="D81">
        <v>86071.679999999993</v>
      </c>
      <c r="E81">
        <f>C81+D81</f>
        <v>155137.82287049276</v>
      </c>
      <c r="F81" s="9">
        <f>E81*25</f>
        <v>3878445.5717623192</v>
      </c>
    </row>
    <row r="82" spans="2:6" ht="14.7" customHeight="1" thickBot="1" x14ac:dyDescent="0.55000000000000004">
      <c r="B82" s="16" t="s">
        <v>50</v>
      </c>
      <c r="C82" s="12"/>
      <c r="D82" s="12"/>
      <c r="E82">
        <f>C82+D82</f>
        <v>0</v>
      </c>
      <c r="F82" s="9">
        <f>E82*25</f>
        <v>0</v>
      </c>
    </row>
    <row r="83" spans="2:6" ht="14.7" customHeight="1" thickBot="1" x14ac:dyDescent="0.55000000000000004">
      <c r="B83" s="17"/>
      <c r="C83" s="18" t="s">
        <v>4</v>
      </c>
      <c r="D83" s="18" t="s">
        <v>5</v>
      </c>
      <c r="E83" s="18" t="s">
        <v>6</v>
      </c>
      <c r="F83" s="19" t="s">
        <v>7</v>
      </c>
    </row>
    <row r="84" spans="2:6" ht="14.7" customHeight="1" thickBot="1" x14ac:dyDescent="0.55000000000000004">
      <c r="B84" s="24" t="s">
        <v>22</v>
      </c>
      <c r="C84" s="12">
        <v>178332.92711130629</v>
      </c>
      <c r="D84" s="12">
        <v>9015824.0572644081</v>
      </c>
      <c r="E84" s="12">
        <v>9194156.9843757153</v>
      </c>
      <c r="F84" s="13">
        <f>E84*25</f>
        <v>229853924.60939288</v>
      </c>
    </row>
    <row r="85" spans="2:6" ht="14.7" customHeight="1" thickBot="1" x14ac:dyDescent="0.55000000000000004">
      <c r="B85" s="8"/>
      <c r="F85" s="9"/>
    </row>
    <row r="86" spans="2:6" ht="14.7" customHeight="1" thickBot="1" x14ac:dyDescent="0.55000000000000004">
      <c r="B86" s="29" t="s">
        <v>46</v>
      </c>
      <c r="C86" s="30"/>
      <c r="D86" s="31"/>
      <c r="F86" s="9"/>
    </row>
    <row r="87" spans="2:6" ht="14.7" customHeight="1" thickBot="1" x14ac:dyDescent="0.55000000000000004">
      <c r="B87" s="24" t="s">
        <v>23</v>
      </c>
      <c r="C87" s="18" t="s">
        <v>24</v>
      </c>
      <c r="D87" s="19" t="s">
        <v>25</v>
      </c>
      <c r="F87" s="9"/>
    </row>
    <row r="88" spans="2:6" x14ac:dyDescent="0.5">
      <c r="B88" s="23" t="s">
        <v>9</v>
      </c>
      <c r="C88">
        <v>6</v>
      </c>
      <c r="D88" s="9">
        <v>600</v>
      </c>
      <c r="F88" s="9"/>
    </row>
    <row r="89" spans="2:6" x14ac:dyDescent="0.5">
      <c r="B89" s="3" t="s">
        <v>10</v>
      </c>
      <c r="C89">
        <v>0</v>
      </c>
      <c r="D89" s="9">
        <v>0</v>
      </c>
      <c r="F89" s="9"/>
    </row>
    <row r="90" spans="2:6" x14ac:dyDescent="0.5">
      <c r="B90" s="3" t="s">
        <v>14</v>
      </c>
      <c r="C90">
        <v>1</v>
      </c>
      <c r="D90" s="9">
        <v>1000</v>
      </c>
      <c r="F90" s="9"/>
    </row>
    <row r="91" spans="2:6" x14ac:dyDescent="0.5">
      <c r="B91" s="3" t="s">
        <v>47</v>
      </c>
      <c r="C91">
        <v>0</v>
      </c>
      <c r="D91" s="9">
        <v>0</v>
      </c>
      <c r="F91" s="9"/>
    </row>
    <row r="92" spans="2:6" ht="14.7" customHeight="1" thickBot="1" x14ac:dyDescent="0.55000000000000004">
      <c r="B92" s="16" t="s">
        <v>26</v>
      </c>
      <c r="C92" s="12">
        <v>7</v>
      </c>
      <c r="D92" s="13">
        <v>1600</v>
      </c>
      <c r="F92" s="9"/>
    </row>
    <row r="93" spans="2:6" ht="14.7" customHeight="1" thickBot="1" x14ac:dyDescent="0.55000000000000004">
      <c r="B93" s="8"/>
      <c r="F93" s="9"/>
    </row>
    <row r="94" spans="2:6" ht="14.7" customHeight="1" thickBot="1" x14ac:dyDescent="0.55000000000000004">
      <c r="B94" s="29" t="s">
        <v>51</v>
      </c>
      <c r="C94" s="30"/>
      <c r="D94" s="31"/>
      <c r="F94" s="9"/>
    </row>
    <row r="95" spans="2:6" ht="14.7" customHeight="1" thickBot="1" x14ac:dyDescent="0.55000000000000004">
      <c r="B95" s="17" t="s">
        <v>23</v>
      </c>
      <c r="C95" s="18" t="s">
        <v>24</v>
      </c>
      <c r="D95" s="19" t="s">
        <v>25</v>
      </c>
      <c r="F95" s="9"/>
    </row>
    <row r="96" spans="2:6" ht="14.7" customHeight="1" thickBot="1" x14ac:dyDescent="0.55000000000000004">
      <c r="B96" s="24" t="s">
        <v>18</v>
      </c>
      <c r="C96" s="12">
        <v>306</v>
      </c>
      <c r="D96" s="13">
        <v>5379.48</v>
      </c>
      <c r="F96" s="9"/>
    </row>
    <row r="97" spans="2:6" ht="14.7" customHeight="1" thickBot="1" x14ac:dyDescent="0.55000000000000004">
      <c r="B97" s="8"/>
      <c r="F97" s="9"/>
    </row>
    <row r="98" spans="2:6" ht="14.7" customHeight="1" thickBot="1" x14ac:dyDescent="0.55000000000000004">
      <c r="B98" s="29" t="s">
        <v>52</v>
      </c>
      <c r="C98" s="30"/>
      <c r="D98" s="31"/>
      <c r="F98" s="9"/>
    </row>
    <row r="99" spans="2:6" ht="14.7" customHeight="1" thickBot="1" x14ac:dyDescent="0.55000000000000004">
      <c r="B99" s="17" t="s">
        <v>53</v>
      </c>
      <c r="C99" s="18" t="s">
        <v>54</v>
      </c>
      <c r="D99" s="19" t="s">
        <v>55</v>
      </c>
      <c r="F99" s="9"/>
    </row>
    <row r="100" spans="2:6" x14ac:dyDescent="0.5">
      <c r="B100" s="23" t="s">
        <v>56</v>
      </c>
      <c r="C100">
        <v>2478947.3684211052</v>
      </c>
      <c r="D100" s="9">
        <f>C100*25</f>
        <v>61973684.210527629</v>
      </c>
      <c r="F100" s="9"/>
    </row>
    <row r="101" spans="2:6" x14ac:dyDescent="0.5">
      <c r="B101" s="3" t="s">
        <v>57</v>
      </c>
      <c r="C101">
        <v>1703344.6887389279</v>
      </c>
      <c r="D101" s="9">
        <f>C101*25</f>
        <v>42583617.218473196</v>
      </c>
      <c r="F101" s="9"/>
    </row>
    <row r="102" spans="2:6" ht="14.7" customHeight="1" thickBot="1" x14ac:dyDescent="0.55000000000000004">
      <c r="B102" s="16" t="s">
        <v>26</v>
      </c>
      <c r="C102" s="12">
        <f>C100+C101</f>
        <v>4182292.0571600329</v>
      </c>
      <c r="D102" s="13">
        <f>C102*25</f>
        <v>104557301.42900082</v>
      </c>
      <c r="F102" s="9"/>
    </row>
    <row r="103" spans="2:6" ht="14.7" customHeight="1" thickBot="1" x14ac:dyDescent="0.55000000000000004">
      <c r="B103" s="8"/>
      <c r="F103" s="9"/>
    </row>
    <row r="104" spans="2:6" ht="14.7" customHeight="1" thickBot="1" x14ac:dyDescent="0.55000000000000004">
      <c r="B104" s="29" t="s">
        <v>58</v>
      </c>
      <c r="C104" s="30"/>
      <c r="D104" s="31"/>
      <c r="F104" s="9"/>
    </row>
    <row r="105" spans="2:6" ht="14.7" customHeight="1" thickBot="1" x14ac:dyDescent="0.55000000000000004">
      <c r="B105" s="17" t="s">
        <v>53</v>
      </c>
      <c r="C105" s="18" t="s">
        <v>59</v>
      </c>
      <c r="D105" s="22" t="s">
        <v>60</v>
      </c>
      <c r="F105" s="9"/>
    </row>
    <row r="106" spans="2:6" x14ac:dyDescent="0.5">
      <c r="B106" s="23" t="s">
        <v>56</v>
      </c>
      <c r="C106">
        <f>2.6085*C100</f>
        <v>6466334.2105264524</v>
      </c>
      <c r="D106" s="9">
        <f>C106*25</f>
        <v>161658355.2631613</v>
      </c>
      <c r="F106" s="9"/>
    </row>
    <row r="107" spans="2:6" x14ac:dyDescent="0.5">
      <c r="B107" s="3" t="s">
        <v>57</v>
      </c>
      <c r="C107">
        <f>2.6085*C101</f>
        <v>4443174.6205754932</v>
      </c>
      <c r="D107" s="9">
        <f>C107*25</f>
        <v>111079365.51438732</v>
      </c>
      <c r="F107" s="9"/>
    </row>
    <row r="108" spans="2:6" ht="14.7" customHeight="1" thickBot="1" x14ac:dyDescent="0.55000000000000004">
      <c r="B108" s="16" t="s">
        <v>26</v>
      </c>
      <c r="C108" s="12">
        <f>2.6085*C102</f>
        <v>10909508.831101945</v>
      </c>
      <c r="D108" s="13">
        <f>C108*25</f>
        <v>272737720.77754861</v>
      </c>
      <c r="E108" s="12"/>
      <c r="F108" s="13"/>
    </row>
  </sheetData>
  <mergeCells count="30">
    <mergeCell ref="H64:I64"/>
    <mergeCell ref="H50:J50"/>
    <mergeCell ref="H55:J55"/>
    <mergeCell ref="B86:D86"/>
    <mergeCell ref="B104:D104"/>
    <mergeCell ref="B73:F73"/>
    <mergeCell ref="B36:D36"/>
    <mergeCell ref="B94:D94"/>
    <mergeCell ref="B50:D50"/>
    <mergeCell ref="B68:C68"/>
    <mergeCell ref="B64:C64"/>
    <mergeCell ref="B47:C47"/>
    <mergeCell ref="B98:D98"/>
    <mergeCell ref="B72:F72"/>
    <mergeCell ref="H33:I33"/>
    <mergeCell ref="B5:L5"/>
    <mergeCell ref="B63:C63"/>
    <mergeCell ref="B43:D43"/>
    <mergeCell ref="H25:J25"/>
    <mergeCell ref="H6:L6"/>
    <mergeCell ref="H60:I60"/>
    <mergeCell ref="B60:C60"/>
    <mergeCell ref="B55:D55"/>
    <mergeCell ref="H47:I47"/>
    <mergeCell ref="B25:D25"/>
    <mergeCell ref="H43:J43"/>
    <mergeCell ref="B6:F6"/>
    <mergeCell ref="B33:C33"/>
    <mergeCell ref="H36:J36"/>
    <mergeCell ref="H63:I63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B4:N108"/>
  <sheetViews>
    <sheetView tabSelected="1" topLeftCell="A15" zoomScale="70" zoomScaleNormal="70" workbookViewId="0">
      <selection activeCell="M29" sqref="M29"/>
    </sheetView>
  </sheetViews>
  <sheetFormatPr defaultColWidth="39.234375" defaultRowHeight="14.35" x14ac:dyDescent="0.5"/>
  <cols>
    <col min="1" max="1" width="13.52734375" customWidth="1"/>
    <col min="2" max="2" width="15.234375" bestFit="1" customWidth="1"/>
    <col min="3" max="3" width="17.64453125" bestFit="1" customWidth="1"/>
    <col min="4" max="4" width="18.64453125" bestFit="1" customWidth="1"/>
    <col min="5" max="5" width="12.46875" bestFit="1" customWidth="1"/>
    <col min="6" max="6" width="14.5859375" bestFit="1" customWidth="1"/>
    <col min="7" max="7" width="12.46875" customWidth="1"/>
    <col min="8" max="8" width="15.234375" bestFit="1" customWidth="1"/>
    <col min="9" max="9" width="15.703125" bestFit="1" customWidth="1"/>
    <col min="10" max="10" width="18" bestFit="1" customWidth="1"/>
    <col min="11" max="11" width="12.46875" bestFit="1" customWidth="1"/>
    <col min="12" max="12" width="14.5859375" bestFit="1" customWidth="1"/>
    <col min="13" max="13" width="13.41015625" bestFit="1" customWidth="1"/>
    <col min="14" max="15" width="12.3515625" bestFit="1" customWidth="1"/>
  </cols>
  <sheetData>
    <row r="4" spans="2:14" ht="14.7" customHeight="1" thickBot="1" x14ac:dyDescent="0.55000000000000004"/>
    <row r="5" spans="2:14" ht="14.7" customHeight="1" thickBot="1" x14ac:dyDescent="0.55000000000000004">
      <c r="B5" s="29" t="s">
        <v>0</v>
      </c>
      <c r="C5" s="30"/>
      <c r="D5" s="30"/>
      <c r="E5" s="30"/>
      <c r="F5" s="30"/>
      <c r="G5" s="30"/>
      <c r="H5" s="30"/>
      <c r="I5" s="30"/>
      <c r="J5" s="30"/>
      <c r="K5" s="30"/>
      <c r="L5" s="31"/>
    </row>
    <row r="6" spans="2:14" ht="14.7" customHeight="1" thickBot="1" x14ac:dyDescent="0.55000000000000004">
      <c r="B6" s="29" t="s">
        <v>1</v>
      </c>
      <c r="C6" s="30"/>
      <c r="D6" s="30"/>
      <c r="E6" s="30"/>
      <c r="F6" s="31"/>
      <c r="H6" s="29" t="s">
        <v>2</v>
      </c>
      <c r="I6" s="30"/>
      <c r="J6" s="30"/>
      <c r="K6" s="30"/>
      <c r="L6" s="31"/>
    </row>
    <row r="7" spans="2:14" ht="14.7" customHeight="1" thickBot="1" x14ac:dyDescent="0.55000000000000004">
      <c r="B7" s="24" t="s">
        <v>3</v>
      </c>
      <c r="C7" s="18" t="s">
        <v>4</v>
      </c>
      <c r="D7" s="18" t="s">
        <v>5</v>
      </c>
      <c r="E7" s="18" t="s">
        <v>6</v>
      </c>
      <c r="F7" s="19" t="s">
        <v>7</v>
      </c>
      <c r="H7" s="24" t="s">
        <v>3</v>
      </c>
      <c r="I7" s="18" t="s">
        <v>4</v>
      </c>
      <c r="J7" s="18" t="s">
        <v>5</v>
      </c>
      <c r="K7" s="18" t="s">
        <v>6</v>
      </c>
      <c r="L7" s="19" t="s">
        <v>7</v>
      </c>
    </row>
    <row r="8" spans="2:14" x14ac:dyDescent="0.5">
      <c r="B8" s="3" t="s">
        <v>8</v>
      </c>
      <c r="C8" s="6">
        <f>13698 * D27*((0.05*((1.05)^25))/((1.05^25)-1))</f>
        <v>1457860.1401272712</v>
      </c>
      <c r="D8" s="6">
        <f>29*D27</f>
        <v>43500</v>
      </c>
      <c r="E8" s="6">
        <f>C8+D8</f>
        <v>1501360.1401272712</v>
      </c>
      <c r="F8" s="10">
        <f>E8*25</f>
        <v>37534003.503181778</v>
      </c>
      <c r="H8" s="3" t="s">
        <v>9</v>
      </c>
      <c r="I8" s="39">
        <f>1615 * J27*((0.05*((1.05)^25))/((1.05^25)-1))</f>
        <v>687529.31122953503</v>
      </c>
      <c r="J8" s="39">
        <f>29*J27</f>
        <v>174000</v>
      </c>
      <c r="K8" s="39">
        <f>I8+J8</f>
        <v>861529.31122953503</v>
      </c>
      <c r="L8" s="10">
        <f>K8*25</f>
        <v>21538232.780738376</v>
      </c>
    </row>
    <row r="9" spans="2:14" x14ac:dyDescent="0.5">
      <c r="B9" s="3" t="s">
        <v>10</v>
      </c>
      <c r="C9" s="6">
        <f>13698 * D28*((0.05*((1.05)^25))/((1.05^25)-1))</f>
        <v>3887627.0403393894</v>
      </c>
      <c r="D9" s="6">
        <f>29*D28</f>
        <v>116000</v>
      </c>
      <c r="E9" s="6">
        <f>C9+D9</f>
        <v>4003627.0403393894</v>
      </c>
      <c r="F9" s="10">
        <f>E9*25</f>
        <v>100090676.00848474</v>
      </c>
      <c r="H9" s="3" t="s">
        <v>10</v>
      </c>
      <c r="I9" s="39">
        <f>1615 * J28*((0.05*((1.05)^25))/((1.05^25)-1))</f>
        <v>57294.109269127919</v>
      </c>
      <c r="J9" s="39">
        <f>29*J28</f>
        <v>14500</v>
      </c>
      <c r="K9" s="39">
        <f>I9+J9</f>
        <v>71794.109269127919</v>
      </c>
      <c r="L9" s="10">
        <f>K9*25</f>
        <v>1794852.731728198</v>
      </c>
      <c r="M9" s="7"/>
      <c r="N9" s="6"/>
    </row>
    <row r="10" spans="2:14" x14ac:dyDescent="0.5">
      <c r="B10" s="3" t="s">
        <v>11</v>
      </c>
      <c r="C10" s="6">
        <f>13698 * D29*((0.05*((1.05)^25))/((1.05^25)-1))</f>
        <v>0</v>
      </c>
      <c r="D10" s="6">
        <f>29*D29</f>
        <v>0</v>
      </c>
      <c r="E10" s="6">
        <f>C10+D10</f>
        <v>0</v>
      </c>
      <c r="F10" s="10">
        <f>E10*25</f>
        <v>0</v>
      </c>
      <c r="H10" s="3" t="s">
        <v>11</v>
      </c>
      <c r="I10" s="39">
        <f>1615 * J29*((0.05*((1.05)^25))/((1.05^25)-1))</f>
        <v>0</v>
      </c>
      <c r="J10" s="39">
        <f>29*J29</f>
        <v>0</v>
      </c>
      <c r="K10" s="39">
        <f>I10+J10</f>
        <v>0</v>
      </c>
      <c r="L10" s="10">
        <f>K10*25</f>
        <v>0</v>
      </c>
      <c r="M10" s="7"/>
    </row>
    <row r="11" spans="2:14" ht="14.7" customHeight="1" thickBot="1" x14ac:dyDescent="0.55000000000000004">
      <c r="B11" s="16" t="s">
        <v>12</v>
      </c>
      <c r="C11" s="14">
        <f>13698 * D30*((0.05*((1.05)^25))/((1.05^25)-1))</f>
        <v>0</v>
      </c>
      <c r="D11" s="14">
        <f>29*D30</f>
        <v>0</v>
      </c>
      <c r="E11" s="14">
        <f>C11+D11</f>
        <v>0</v>
      </c>
      <c r="F11" s="15">
        <f>E11*25</f>
        <v>0</v>
      </c>
      <c r="H11" s="16" t="s">
        <v>12</v>
      </c>
      <c r="I11" s="14">
        <f>1615 * J30*((0.05*((1.05)^25))/((1.05^25)-1))</f>
        <v>0</v>
      </c>
      <c r="J11" s="14">
        <f>29*J30</f>
        <v>0</v>
      </c>
      <c r="K11" s="14">
        <f>I11+J11</f>
        <v>0</v>
      </c>
      <c r="L11" s="13">
        <f>K11*25</f>
        <v>0</v>
      </c>
    </row>
    <row r="12" spans="2:14" ht="14.7" customHeight="1" thickBot="1" x14ac:dyDescent="0.55000000000000004">
      <c r="B12" s="24" t="s">
        <v>13</v>
      </c>
      <c r="C12" s="18" t="s">
        <v>4</v>
      </c>
      <c r="D12" s="18" t="s">
        <v>5</v>
      </c>
      <c r="E12" s="18" t="s">
        <v>6</v>
      </c>
      <c r="F12" s="19" t="s">
        <v>7</v>
      </c>
      <c r="H12" s="24" t="s">
        <v>13</v>
      </c>
      <c r="I12" s="18" t="s">
        <v>4</v>
      </c>
      <c r="J12" s="18" t="s">
        <v>5</v>
      </c>
      <c r="K12" s="18" t="s">
        <v>6</v>
      </c>
      <c r="L12" s="19" t="s">
        <v>7</v>
      </c>
    </row>
    <row r="13" spans="2:14" x14ac:dyDescent="0.5">
      <c r="B13" s="3" t="s">
        <v>14</v>
      </c>
      <c r="C13" s="4">
        <f>2490 * D38*((0.05*((1.05)^10))/((1.05^10)-1))</f>
        <v>1612331.9583199359</v>
      </c>
      <c r="D13" s="1">
        <f>37.35*D38</f>
        <v>186750</v>
      </c>
      <c r="E13">
        <f>C13+D13</f>
        <v>1799081.9583199359</v>
      </c>
      <c r="F13" s="9">
        <f>E13*25</f>
        <v>44977048.957998395</v>
      </c>
      <c r="H13" s="3" t="s">
        <v>14</v>
      </c>
      <c r="I13" s="4">
        <f>2490 * J38*((0.05*((1.05)^10))/((1.05^10)-1))</f>
        <v>1934798.3499839231</v>
      </c>
      <c r="J13" s="1">
        <f>37.35*J38</f>
        <v>224100</v>
      </c>
      <c r="K13" s="39">
        <f>I13+J13</f>
        <v>2158898.3499839231</v>
      </c>
      <c r="L13" s="10">
        <f>K13*25</f>
        <v>53972458.749598078</v>
      </c>
    </row>
    <row r="14" spans="2:14" x14ac:dyDescent="0.5">
      <c r="B14" s="3" t="s">
        <v>15</v>
      </c>
      <c r="C14" s="4">
        <f>1570 * D39*((0.05*((1.05)^10))/((1.05^10)-1))</f>
        <v>0</v>
      </c>
      <c r="D14" s="1">
        <f>23.55*D39</f>
        <v>0</v>
      </c>
      <c r="E14">
        <f>C14+D14</f>
        <v>0</v>
      </c>
      <c r="F14" s="9">
        <f>E14*25</f>
        <v>0</v>
      </c>
      <c r="H14" s="3" t="s">
        <v>15</v>
      </c>
      <c r="I14" s="4">
        <f>1570 * J39*((0.05*((1.05)^10))/((1.05^10)-1))</f>
        <v>0</v>
      </c>
      <c r="J14" s="1">
        <f>23.55*J39</f>
        <v>0</v>
      </c>
      <c r="K14" s="38">
        <f>I14+J14</f>
        <v>0</v>
      </c>
      <c r="L14" s="10">
        <f>K14*25</f>
        <v>0</v>
      </c>
    </row>
    <row r="15" spans="2:14" ht="14.7" customHeight="1" thickBot="1" x14ac:dyDescent="0.55000000000000004">
      <c r="B15" s="16" t="s">
        <v>16</v>
      </c>
      <c r="C15" s="5">
        <f>1190 * D40*((0.05*((1.05)^10))/((1.05^10)-1))</f>
        <v>0</v>
      </c>
      <c r="D15" s="2">
        <f>17.85*D40</f>
        <v>0</v>
      </c>
      <c r="E15" s="12">
        <f>C15+D15</f>
        <v>0</v>
      </c>
      <c r="F15" s="13">
        <f>E15*25</f>
        <v>0</v>
      </c>
      <c r="H15" s="16" t="s">
        <v>16</v>
      </c>
      <c r="I15" s="5">
        <f>1190 * J40*((0.05*((1.05)^10))/((1.05^10)-1))</f>
        <v>0</v>
      </c>
      <c r="J15" s="2">
        <f>17.85*J40</f>
        <v>0</v>
      </c>
      <c r="K15" s="12">
        <f>I15+J15</f>
        <v>0</v>
      </c>
      <c r="L15" s="15">
        <f>K15*25</f>
        <v>0</v>
      </c>
    </row>
    <row r="16" spans="2:14" ht="14.7" customHeight="1" thickBot="1" x14ac:dyDescent="0.55000000000000004">
      <c r="B16" s="24" t="s">
        <v>17</v>
      </c>
      <c r="C16" s="18" t="s">
        <v>4</v>
      </c>
      <c r="D16" s="18" t="s">
        <v>5</v>
      </c>
      <c r="E16" s="18" t="s">
        <v>6</v>
      </c>
      <c r="F16" s="19" t="s">
        <v>7</v>
      </c>
      <c r="H16" s="24" t="s">
        <v>17</v>
      </c>
      <c r="I16" s="18" t="s">
        <v>4</v>
      </c>
      <c r="J16" s="18" t="s">
        <v>5</v>
      </c>
      <c r="K16" s="18" t="s">
        <v>6</v>
      </c>
      <c r="L16" s="19" t="s">
        <v>7</v>
      </c>
    </row>
    <row r="17" spans="2:14" ht="14.7" customHeight="1" thickBot="1" x14ac:dyDescent="0.55000000000000004">
      <c r="B17" s="16" t="s">
        <v>18</v>
      </c>
      <c r="C17" s="12">
        <v>72226.03175999246</v>
      </c>
      <c r="D17" s="12">
        <v>90009.600000000006</v>
      </c>
      <c r="E17" s="12">
        <f>D17+C17</f>
        <v>162235.63175999245</v>
      </c>
      <c r="F17" s="13">
        <f>E17*25</f>
        <v>4055890.7939998112</v>
      </c>
      <c r="H17" s="16" t="s">
        <v>18</v>
      </c>
      <c r="I17" s="12">
        <v>72226.03175999246</v>
      </c>
      <c r="J17" s="12">
        <v>90009.600000000006</v>
      </c>
      <c r="K17" s="12">
        <f>J17+I17</f>
        <v>162235.63175999245</v>
      </c>
      <c r="L17" s="15">
        <f>K17*25</f>
        <v>4055890.7939998112</v>
      </c>
    </row>
    <row r="18" spans="2:14" ht="14.7" customHeight="1" thickBot="1" x14ac:dyDescent="0.55000000000000004">
      <c r="B18" s="24" t="s">
        <v>19</v>
      </c>
      <c r="C18" s="18" t="s">
        <v>4</v>
      </c>
      <c r="D18" s="18" t="s">
        <v>5</v>
      </c>
      <c r="E18" s="18" t="s">
        <v>6</v>
      </c>
      <c r="F18" s="19" t="s">
        <v>7</v>
      </c>
      <c r="H18" s="24" t="s">
        <v>20</v>
      </c>
      <c r="I18" s="18" t="s">
        <v>4</v>
      </c>
      <c r="J18" s="18" t="s">
        <v>5</v>
      </c>
      <c r="K18" s="18" t="s">
        <v>6</v>
      </c>
      <c r="L18" s="19" t="s">
        <v>7</v>
      </c>
    </row>
    <row r="19" spans="2:14" ht="14.7" customHeight="1" thickBot="1" x14ac:dyDescent="0.55000000000000004">
      <c r="B19" s="11"/>
      <c r="C19" s="12">
        <f>C48*300*((0.05*((1.05)^20))/((1.05^20)-1))</f>
        <v>792957.24661841162</v>
      </c>
      <c r="D19" s="12">
        <v>0</v>
      </c>
      <c r="E19" s="12">
        <f>D19+C19</f>
        <v>792957.24661841162</v>
      </c>
      <c r="F19" s="13">
        <f>E19*25</f>
        <v>19823931.165460292</v>
      </c>
      <c r="H19" s="11"/>
      <c r="I19" s="14">
        <f>(I48/10)*3000*((0.05*((1.05)^20))/((1.05^20)-1))</f>
        <v>139622.10171180288</v>
      </c>
      <c r="J19" s="12">
        <v>0</v>
      </c>
      <c r="K19" s="12">
        <f>J19+I19</f>
        <v>139622.10171180288</v>
      </c>
      <c r="L19" s="15">
        <f>K19*25</f>
        <v>3490552.5427950723</v>
      </c>
    </row>
    <row r="20" spans="2:14" ht="14.7" customHeight="1" thickBot="1" x14ac:dyDescent="0.55000000000000004">
      <c r="B20" s="24" t="s">
        <v>21</v>
      </c>
      <c r="C20" s="18" t="s">
        <v>4</v>
      </c>
      <c r="D20" s="18" t="s">
        <v>5</v>
      </c>
      <c r="E20" s="18" t="s">
        <v>6</v>
      </c>
      <c r="F20" s="19" t="s">
        <v>7</v>
      </c>
      <c r="H20" s="24" t="s">
        <v>21</v>
      </c>
      <c r="I20" s="18" t="s">
        <v>4</v>
      </c>
      <c r="J20" s="18" t="s">
        <v>5</v>
      </c>
      <c r="K20" s="18" t="s">
        <v>6</v>
      </c>
      <c r="L20" s="19" t="s">
        <v>7</v>
      </c>
    </row>
    <row r="21" spans="2:14" ht="14.7" customHeight="1" thickBot="1" x14ac:dyDescent="0.55000000000000004">
      <c r="B21" s="11"/>
      <c r="C21" s="12">
        <v>0</v>
      </c>
      <c r="D21" s="12">
        <v>0</v>
      </c>
      <c r="E21" s="12">
        <f>C21+D21</f>
        <v>0</v>
      </c>
      <c r="F21" s="13">
        <f>E21*25</f>
        <v>0</v>
      </c>
      <c r="H21" s="11"/>
      <c r="I21" s="12">
        <v>271.70140022768072</v>
      </c>
      <c r="J21" s="12">
        <v>38</v>
      </c>
      <c r="K21" s="12">
        <f>J21+I21</f>
        <v>309.70140022768072</v>
      </c>
      <c r="L21" s="13">
        <f>K21*25</f>
        <v>7742.5350056920179</v>
      </c>
    </row>
    <row r="22" spans="2:14" ht="14.7" customHeight="1" thickBot="1" x14ac:dyDescent="0.55000000000000004">
      <c r="B22" s="17"/>
      <c r="C22" s="18" t="s">
        <v>4</v>
      </c>
      <c r="D22" s="18" t="s">
        <v>5</v>
      </c>
      <c r="E22" s="18" t="s">
        <v>6</v>
      </c>
      <c r="F22" s="19" t="s">
        <v>7</v>
      </c>
      <c r="H22" s="17"/>
      <c r="I22" s="18" t="s">
        <v>4</v>
      </c>
      <c r="J22" s="18" t="s">
        <v>5</v>
      </c>
      <c r="K22" s="18" t="s">
        <v>6</v>
      </c>
      <c r="L22" s="19" t="s">
        <v>7</v>
      </c>
    </row>
    <row r="23" spans="2:14" ht="14.7" customHeight="1" thickBot="1" x14ac:dyDescent="0.55000000000000004">
      <c r="B23" s="24" t="s">
        <v>22</v>
      </c>
      <c r="C23" s="12">
        <v>7823002.4171649972</v>
      </c>
      <c r="D23" s="12">
        <v>436259.6</v>
      </c>
      <c r="E23" s="25">
        <v>8259262.0171649968</v>
      </c>
      <c r="F23" s="13">
        <f>D23*25</f>
        <v>10906490</v>
      </c>
      <c r="H23" s="24" t="s">
        <v>22</v>
      </c>
      <c r="I23" s="14">
        <v>2891741.605354608</v>
      </c>
      <c r="J23" s="14">
        <v>502647.6</v>
      </c>
      <c r="K23" s="14">
        <v>4062917.2247025901</v>
      </c>
      <c r="L23" s="15">
        <f>K23*25</f>
        <v>101572930.61756475</v>
      </c>
      <c r="M23" s="6"/>
    </row>
    <row r="24" spans="2:14" ht="14.7" customHeight="1" thickBot="1" x14ac:dyDescent="0.55000000000000004">
      <c r="B24" s="8"/>
      <c r="F24" s="9"/>
      <c r="H24" s="8"/>
      <c r="I24" s="39"/>
      <c r="J24" s="39"/>
      <c r="K24" s="39"/>
      <c r="L24" s="10"/>
      <c r="M24" s="6"/>
      <c r="N24" s="7"/>
    </row>
    <row r="25" spans="2:14" ht="14.7" customHeight="1" thickBot="1" x14ac:dyDescent="0.55000000000000004">
      <c r="B25" s="29" t="s">
        <v>3</v>
      </c>
      <c r="C25" s="30"/>
      <c r="D25" s="31"/>
      <c r="F25" s="9"/>
      <c r="H25" s="29" t="s">
        <v>3</v>
      </c>
      <c r="I25" s="30"/>
      <c r="J25" s="31"/>
      <c r="K25" s="38"/>
      <c r="L25" s="10"/>
      <c r="M25" s="6"/>
    </row>
    <row r="26" spans="2:14" ht="14.7" customHeight="1" thickBot="1" x14ac:dyDescent="0.55000000000000004">
      <c r="B26" s="17" t="s">
        <v>23</v>
      </c>
      <c r="C26" s="18" t="s">
        <v>24</v>
      </c>
      <c r="D26" s="19" t="s">
        <v>25</v>
      </c>
      <c r="F26" s="9"/>
      <c r="H26" s="17" t="s">
        <v>23</v>
      </c>
      <c r="I26" s="18" t="s">
        <v>24</v>
      </c>
      <c r="J26" s="19" t="s">
        <v>25</v>
      </c>
      <c r="K26" s="38"/>
      <c r="L26" s="10"/>
      <c r="M26" s="6"/>
    </row>
    <row r="27" spans="2:14" x14ac:dyDescent="0.5">
      <c r="B27" s="23" t="s">
        <v>9</v>
      </c>
      <c r="C27">
        <v>15</v>
      </c>
      <c r="D27" s="9">
        <v>1500</v>
      </c>
      <c r="F27" s="9"/>
      <c r="H27" s="8" t="s">
        <v>9</v>
      </c>
      <c r="I27" s="38">
        <v>60</v>
      </c>
      <c r="J27" s="9">
        <v>6000</v>
      </c>
      <c r="K27" s="38"/>
      <c r="L27" s="9"/>
    </row>
    <row r="28" spans="2:14" x14ac:dyDescent="0.5">
      <c r="B28" s="3" t="s">
        <v>10</v>
      </c>
      <c r="C28">
        <v>8</v>
      </c>
      <c r="D28" s="9">
        <v>4000</v>
      </c>
      <c r="F28" s="9"/>
      <c r="H28" s="8" t="s">
        <v>10</v>
      </c>
      <c r="I28" s="38">
        <v>1</v>
      </c>
      <c r="J28" s="9">
        <v>500</v>
      </c>
      <c r="K28" s="38"/>
      <c r="L28" s="9"/>
    </row>
    <row r="29" spans="2:14" x14ac:dyDescent="0.5">
      <c r="B29" s="3" t="s">
        <v>11</v>
      </c>
      <c r="C29">
        <v>0</v>
      </c>
      <c r="D29" s="9">
        <v>0</v>
      </c>
      <c r="F29" s="9"/>
      <c r="H29" s="8" t="s">
        <v>11</v>
      </c>
      <c r="I29" s="38">
        <v>0</v>
      </c>
      <c r="J29" s="9">
        <v>0</v>
      </c>
      <c r="K29" s="38"/>
      <c r="L29" s="9"/>
    </row>
    <row r="30" spans="2:14" x14ac:dyDescent="0.5">
      <c r="B30" s="3" t="s">
        <v>12</v>
      </c>
      <c r="C30">
        <v>0</v>
      </c>
      <c r="D30" s="9">
        <v>0</v>
      </c>
      <c r="F30" s="9"/>
      <c r="H30" s="8" t="s">
        <v>12</v>
      </c>
      <c r="I30" s="38">
        <v>0</v>
      </c>
      <c r="J30" s="9">
        <v>0</v>
      </c>
      <c r="K30" s="38"/>
      <c r="L30" s="9"/>
    </row>
    <row r="31" spans="2:14" ht="14.7" customHeight="1" thickBot="1" x14ac:dyDescent="0.55000000000000004">
      <c r="B31" s="16" t="s">
        <v>26</v>
      </c>
      <c r="C31" s="12">
        <v>23</v>
      </c>
      <c r="D31" s="13">
        <v>5500</v>
      </c>
      <c r="F31" s="9"/>
      <c r="H31" s="11" t="s">
        <v>26</v>
      </c>
      <c r="I31" s="12">
        <v>61</v>
      </c>
      <c r="J31" s="13">
        <v>6500</v>
      </c>
      <c r="K31" s="38"/>
      <c r="L31" s="9"/>
    </row>
    <row r="32" spans="2:14" ht="14.7" customHeight="1" thickBot="1" x14ac:dyDescent="0.55000000000000004">
      <c r="B32" s="8"/>
      <c r="F32" s="9"/>
      <c r="H32" s="8"/>
      <c r="I32" s="38"/>
      <c r="J32" s="38"/>
      <c r="K32" s="38"/>
      <c r="L32" s="9"/>
    </row>
    <row r="33" spans="2:12" ht="14.7" customHeight="1" thickBot="1" x14ac:dyDescent="0.55000000000000004">
      <c r="B33" s="29" t="s">
        <v>21</v>
      </c>
      <c r="C33" s="31"/>
      <c r="F33" s="9"/>
      <c r="H33" s="29" t="s">
        <v>21</v>
      </c>
      <c r="I33" s="31"/>
      <c r="J33" s="38"/>
      <c r="K33" s="38"/>
      <c r="L33" s="9"/>
    </row>
    <row r="34" spans="2:12" ht="14.7" customHeight="1" thickBot="1" x14ac:dyDescent="0.55000000000000004">
      <c r="B34" s="24" t="s">
        <v>25</v>
      </c>
      <c r="C34" s="13">
        <v>0</v>
      </c>
      <c r="F34" s="9"/>
      <c r="H34" s="24" t="s">
        <v>25</v>
      </c>
      <c r="I34" s="13">
        <v>2</v>
      </c>
      <c r="J34" s="38"/>
      <c r="K34" s="38"/>
      <c r="L34" s="9"/>
    </row>
    <row r="35" spans="2:12" ht="14.7" customHeight="1" thickBot="1" x14ac:dyDescent="0.55000000000000004">
      <c r="B35" s="8"/>
      <c r="F35" s="9"/>
      <c r="H35" s="8"/>
      <c r="I35" s="38"/>
      <c r="J35" s="38"/>
      <c r="K35" s="38"/>
      <c r="L35" s="9"/>
    </row>
    <row r="36" spans="2:12" ht="14.7" customHeight="1" thickBot="1" x14ac:dyDescent="0.55000000000000004">
      <c r="B36" s="29" t="s">
        <v>13</v>
      </c>
      <c r="C36" s="30"/>
      <c r="D36" s="31"/>
      <c r="F36" s="9"/>
      <c r="H36" s="29" t="s">
        <v>13</v>
      </c>
      <c r="I36" s="30"/>
      <c r="J36" s="31"/>
      <c r="K36" s="38"/>
      <c r="L36" s="9"/>
    </row>
    <row r="37" spans="2:12" ht="14.7" customHeight="1" thickBot="1" x14ac:dyDescent="0.55000000000000004">
      <c r="B37" s="24" t="s">
        <v>23</v>
      </c>
      <c r="C37" s="18" t="s">
        <v>24</v>
      </c>
      <c r="D37" s="19" t="s">
        <v>25</v>
      </c>
      <c r="F37" s="9"/>
      <c r="H37" s="17" t="s">
        <v>23</v>
      </c>
      <c r="I37" s="18" t="s">
        <v>24</v>
      </c>
      <c r="J37" s="19" t="s">
        <v>25</v>
      </c>
      <c r="K37" s="38"/>
      <c r="L37" s="9"/>
    </row>
    <row r="38" spans="2:12" x14ac:dyDescent="0.5">
      <c r="B38" s="23" t="s">
        <v>14</v>
      </c>
      <c r="C38">
        <v>5</v>
      </c>
      <c r="D38" s="9">
        <v>5000</v>
      </c>
      <c r="F38" s="9"/>
      <c r="H38" s="23" t="s">
        <v>14</v>
      </c>
      <c r="I38" s="38">
        <v>6</v>
      </c>
      <c r="J38" s="9">
        <v>6000</v>
      </c>
      <c r="K38" s="38"/>
      <c r="L38" s="9"/>
    </row>
    <row r="39" spans="2:12" x14ac:dyDescent="0.5">
      <c r="B39" s="3" t="s">
        <v>15</v>
      </c>
      <c r="C39">
        <v>0</v>
      </c>
      <c r="D39" s="9">
        <v>0</v>
      </c>
      <c r="F39" s="9"/>
      <c r="H39" s="3" t="s">
        <v>15</v>
      </c>
      <c r="I39" s="38">
        <v>0</v>
      </c>
      <c r="J39" s="9">
        <v>0</v>
      </c>
      <c r="K39" s="38"/>
      <c r="L39" s="9"/>
    </row>
    <row r="40" spans="2:12" x14ac:dyDescent="0.5">
      <c r="B40" s="3" t="s">
        <v>16</v>
      </c>
      <c r="C40">
        <v>0</v>
      </c>
      <c r="D40" s="9">
        <v>0</v>
      </c>
      <c r="F40" s="9"/>
      <c r="H40" s="3" t="s">
        <v>16</v>
      </c>
      <c r="I40" s="38">
        <v>0</v>
      </c>
      <c r="J40" s="9">
        <v>0</v>
      </c>
      <c r="K40" s="38"/>
      <c r="L40" s="9"/>
    </row>
    <row r="41" spans="2:12" ht="14.7" customHeight="1" thickBot="1" x14ac:dyDescent="0.55000000000000004">
      <c r="B41" s="16" t="s">
        <v>26</v>
      </c>
      <c r="C41" s="12">
        <v>5</v>
      </c>
      <c r="D41" s="13">
        <v>5000</v>
      </c>
      <c r="F41" s="9"/>
      <c r="H41" s="16" t="s">
        <v>26</v>
      </c>
      <c r="I41" s="12">
        <v>6</v>
      </c>
      <c r="J41" s="13">
        <v>6000</v>
      </c>
      <c r="K41" s="38"/>
      <c r="L41" s="9"/>
    </row>
    <row r="42" spans="2:12" ht="14.7" customHeight="1" thickBot="1" x14ac:dyDescent="0.55000000000000004">
      <c r="B42" s="8"/>
      <c r="F42" s="9"/>
      <c r="H42" s="8"/>
      <c r="I42" s="38"/>
      <c r="J42" s="38"/>
      <c r="K42" s="38"/>
      <c r="L42" s="9"/>
    </row>
    <row r="43" spans="2:12" ht="14.7" customHeight="1" thickBot="1" x14ac:dyDescent="0.55000000000000004">
      <c r="B43" s="29" t="s">
        <v>27</v>
      </c>
      <c r="C43" s="30"/>
      <c r="D43" s="31"/>
      <c r="F43" s="9"/>
      <c r="H43" s="29" t="s">
        <v>27</v>
      </c>
      <c r="I43" s="30"/>
      <c r="J43" s="31"/>
      <c r="K43" s="38"/>
      <c r="L43" s="9"/>
    </row>
    <row r="44" spans="2:12" ht="14.7" customHeight="1" thickBot="1" x14ac:dyDescent="0.55000000000000004">
      <c r="B44" s="24" t="s">
        <v>23</v>
      </c>
      <c r="C44" s="18" t="s">
        <v>24</v>
      </c>
      <c r="D44" s="19" t="s">
        <v>25</v>
      </c>
      <c r="F44" s="9"/>
      <c r="H44" s="17" t="s">
        <v>23</v>
      </c>
      <c r="I44" s="18" t="s">
        <v>24</v>
      </c>
      <c r="J44" s="19" t="s">
        <v>25</v>
      </c>
      <c r="K44" s="38"/>
      <c r="L44" s="9"/>
    </row>
    <row r="45" spans="2:12" ht="14.7" customHeight="1" thickBot="1" x14ac:dyDescent="0.55000000000000004">
      <c r="B45" s="24" t="s">
        <v>18</v>
      </c>
      <c r="C45" s="12">
        <v>320</v>
      </c>
      <c r="D45" s="13">
        <v>5625.6</v>
      </c>
      <c r="F45" s="9"/>
      <c r="H45" s="24" t="s">
        <v>18</v>
      </c>
      <c r="I45" s="12">
        <v>320</v>
      </c>
      <c r="J45" s="13">
        <v>5625.6</v>
      </c>
      <c r="K45" s="38"/>
      <c r="L45" s="9"/>
    </row>
    <row r="46" spans="2:12" ht="14.7" customHeight="1" thickBot="1" x14ac:dyDescent="0.55000000000000004">
      <c r="B46" s="8"/>
      <c r="F46" s="9"/>
      <c r="H46" s="8"/>
      <c r="I46" s="38"/>
      <c r="J46" s="38"/>
      <c r="K46" s="38"/>
      <c r="L46" s="9"/>
    </row>
    <row r="47" spans="2:12" ht="14.7" customHeight="1" thickBot="1" x14ac:dyDescent="0.55000000000000004">
      <c r="B47" s="29" t="s">
        <v>28</v>
      </c>
      <c r="C47" s="31"/>
      <c r="F47" s="9"/>
      <c r="H47" s="29" t="s">
        <v>28</v>
      </c>
      <c r="I47" s="31"/>
      <c r="J47" s="38"/>
      <c r="K47" s="38"/>
      <c r="L47" s="9"/>
    </row>
    <row r="48" spans="2:12" ht="14.7" customHeight="1" thickBot="1" x14ac:dyDescent="0.55000000000000004">
      <c r="B48" s="11" t="s">
        <v>29</v>
      </c>
      <c r="C48" s="13">
        <v>32940</v>
      </c>
      <c r="F48" s="9"/>
      <c r="H48" s="24" t="s">
        <v>29</v>
      </c>
      <c r="I48" s="13">
        <v>5800</v>
      </c>
      <c r="J48" s="38"/>
      <c r="K48" s="38"/>
      <c r="L48" s="9"/>
    </row>
    <row r="49" spans="2:12" ht="14.7" customHeight="1" thickBot="1" x14ac:dyDescent="0.55000000000000004">
      <c r="B49" s="8"/>
      <c r="F49" s="9"/>
      <c r="H49" s="8"/>
      <c r="I49" s="38"/>
      <c r="J49" s="38"/>
      <c r="K49" s="38"/>
      <c r="L49" s="9"/>
    </row>
    <row r="50" spans="2:12" ht="14.7" customHeight="1" thickBot="1" x14ac:dyDescent="0.55000000000000004">
      <c r="B50" s="29" t="s">
        <v>30</v>
      </c>
      <c r="C50" s="30"/>
      <c r="D50" s="31"/>
      <c r="F50" s="9"/>
      <c r="H50" s="35" t="s">
        <v>30</v>
      </c>
      <c r="I50" s="36"/>
      <c r="J50" s="37"/>
      <c r="K50" s="38"/>
      <c r="L50" s="9"/>
    </row>
    <row r="51" spans="2:12" ht="14.7" customHeight="1" thickBot="1" x14ac:dyDescent="0.55000000000000004">
      <c r="B51" s="11" t="s">
        <v>31</v>
      </c>
      <c r="C51" s="12" t="s">
        <v>32</v>
      </c>
      <c r="D51" s="13" t="s">
        <v>33</v>
      </c>
      <c r="F51" s="9"/>
      <c r="H51" s="24" t="s">
        <v>31</v>
      </c>
      <c r="I51" s="18" t="s">
        <v>61</v>
      </c>
      <c r="J51" s="21" t="s">
        <v>33</v>
      </c>
      <c r="K51" s="38"/>
      <c r="L51" s="9"/>
    </row>
    <row r="52" spans="2:12" ht="14.7" customHeight="1" x14ac:dyDescent="0.5">
      <c r="B52" s="23" t="s">
        <v>34</v>
      </c>
      <c r="C52" s="26">
        <v>6615643.3368993001</v>
      </c>
      <c r="D52" s="27">
        <f>C52*25</f>
        <v>165391083.42248249</v>
      </c>
      <c r="F52" s="9"/>
      <c r="H52" s="3" t="s">
        <v>34</v>
      </c>
      <c r="I52" s="40">
        <v>5656968.8072830997</v>
      </c>
      <c r="J52" s="27">
        <f>I52*25</f>
        <v>141424220.1820775</v>
      </c>
      <c r="K52" s="38"/>
      <c r="L52" s="9"/>
    </row>
    <row r="53" spans="2:12" ht="14.7" customHeight="1" thickBot="1" x14ac:dyDescent="0.55000000000000004">
      <c r="B53" s="16" t="s">
        <v>35</v>
      </c>
      <c r="C53" s="25">
        <v>1475753.536777941</v>
      </c>
      <c r="D53" s="28">
        <f>C53*25</f>
        <v>36893838.419448525</v>
      </c>
      <c r="F53" s="9"/>
      <c r="H53" s="16" t="s">
        <v>35</v>
      </c>
      <c r="I53" s="25">
        <v>303339.62043933442</v>
      </c>
      <c r="J53" s="28">
        <f>I53*25</f>
        <v>7583490.5109833609</v>
      </c>
      <c r="K53" s="38"/>
      <c r="L53" s="9"/>
    </row>
    <row r="54" spans="2:12" ht="14.7" customHeight="1" thickBot="1" x14ac:dyDescent="0.55000000000000004">
      <c r="B54" s="8"/>
      <c r="F54" s="9"/>
      <c r="H54" s="8"/>
      <c r="I54" s="39"/>
      <c r="J54" s="10"/>
      <c r="K54" s="38"/>
      <c r="L54" s="9"/>
    </row>
    <row r="55" spans="2:12" ht="14.7" customHeight="1" thickBot="1" x14ac:dyDescent="0.55000000000000004">
      <c r="B55" s="29" t="s">
        <v>36</v>
      </c>
      <c r="C55" s="30"/>
      <c r="D55" s="31"/>
      <c r="F55" s="9"/>
      <c r="H55" s="35" t="s">
        <v>36</v>
      </c>
      <c r="I55" s="36"/>
      <c r="J55" s="37"/>
      <c r="K55" s="38"/>
      <c r="L55" s="9"/>
    </row>
    <row r="56" spans="2:12" ht="14.7" customHeight="1" thickBot="1" x14ac:dyDescent="0.55000000000000004">
      <c r="B56" s="11" t="s">
        <v>31</v>
      </c>
      <c r="C56" s="12" t="s">
        <v>32</v>
      </c>
      <c r="D56" s="13" t="s">
        <v>33</v>
      </c>
      <c r="F56" s="9"/>
      <c r="H56" s="24" t="s">
        <v>31</v>
      </c>
      <c r="I56" s="20">
        <v>1536460.6637065101</v>
      </c>
      <c r="J56" s="21" t="s">
        <v>33</v>
      </c>
      <c r="K56" s="38"/>
      <c r="L56" s="9"/>
    </row>
    <row r="57" spans="2:12" ht="14.7" customHeight="1" thickBot="1" x14ac:dyDescent="0.55000000000000004">
      <c r="B57" s="23" t="s">
        <v>34</v>
      </c>
      <c r="C57">
        <v>1796841.40014549</v>
      </c>
      <c r="D57" s="9">
        <f>C57*25</f>
        <v>44921035.003637247</v>
      </c>
      <c r="F57" s="9"/>
      <c r="H57" s="16" t="s">
        <v>34</v>
      </c>
      <c r="I57" s="14">
        <v>120371.3602562945</v>
      </c>
      <c r="J57" s="15">
        <f>I57*25</f>
        <v>3009284.0064073624</v>
      </c>
      <c r="K57" s="38"/>
      <c r="L57" s="9"/>
    </row>
    <row r="58" spans="2:12" ht="14.7" customHeight="1" thickBot="1" x14ac:dyDescent="0.55000000000000004">
      <c r="B58" s="16" t="s">
        <v>35</v>
      </c>
      <c r="C58" s="12">
        <v>616758.40872427099</v>
      </c>
      <c r="D58" s="13">
        <f>C58*25</f>
        <v>15418960.218106775</v>
      </c>
      <c r="F58" s="9"/>
      <c r="H58" s="8" t="s">
        <v>35</v>
      </c>
      <c r="I58" s="12">
        <v>303339.62043933442</v>
      </c>
      <c r="J58" s="38">
        <f>I58*25</f>
        <v>7583490.5109833609</v>
      </c>
      <c r="K58" s="38"/>
      <c r="L58" s="9"/>
    </row>
    <row r="59" spans="2:12" ht="14.7" customHeight="1" thickBot="1" x14ac:dyDescent="0.55000000000000004">
      <c r="B59" s="8"/>
      <c r="F59" s="9"/>
      <c r="H59" s="8"/>
      <c r="I59" s="38"/>
      <c r="J59" s="38"/>
      <c r="K59" s="38"/>
      <c r="L59" s="9"/>
    </row>
    <row r="60" spans="2:12" ht="14.7" customHeight="1" thickBot="1" x14ac:dyDescent="0.55000000000000004">
      <c r="B60" s="29" t="s">
        <v>37</v>
      </c>
      <c r="C60" s="31"/>
      <c r="F60" s="9"/>
      <c r="H60" s="29" t="s">
        <v>38</v>
      </c>
      <c r="I60" s="31"/>
      <c r="J60" s="38"/>
      <c r="K60" s="38"/>
      <c r="L60" s="9"/>
    </row>
    <row r="61" spans="2:12" ht="14.7" customHeight="1" thickBot="1" x14ac:dyDescent="0.55000000000000004">
      <c r="B61" s="24" t="s">
        <v>39</v>
      </c>
      <c r="C61" s="13">
        <v>296455.14063646097</v>
      </c>
      <c r="F61" s="9"/>
      <c r="H61" s="24" t="s">
        <v>39</v>
      </c>
      <c r="I61" s="13">
        <v>52145.9073066864</v>
      </c>
      <c r="J61" s="38"/>
      <c r="K61" s="38"/>
      <c r="L61" s="9"/>
    </row>
    <row r="62" spans="2:12" ht="14.7" customHeight="1" thickBot="1" x14ac:dyDescent="0.55000000000000004">
      <c r="B62" s="8"/>
      <c r="F62" s="9"/>
      <c r="H62" s="8"/>
      <c r="I62" s="38"/>
      <c r="J62" s="38"/>
      <c r="K62" s="38"/>
      <c r="L62" s="9"/>
    </row>
    <row r="63" spans="2:12" ht="14.7" customHeight="1" thickBot="1" x14ac:dyDescent="0.55000000000000004">
      <c r="B63" s="29" t="s">
        <v>40</v>
      </c>
      <c r="C63" s="31"/>
      <c r="F63" s="9"/>
      <c r="H63" s="29" t="s">
        <v>40</v>
      </c>
      <c r="I63" s="31"/>
      <c r="J63" s="38"/>
      <c r="K63" s="38"/>
      <c r="L63" s="9"/>
    </row>
    <row r="64" spans="2:12" ht="14.7" customHeight="1" thickBot="1" x14ac:dyDescent="0.55000000000000004">
      <c r="B64" s="29">
        <f>E23/B70</f>
        <v>1.0134478774412823</v>
      </c>
      <c r="C64" s="31"/>
      <c r="F64" s="9"/>
      <c r="H64" s="29">
        <f>K23/B70</f>
        <v>0.4985378631937169</v>
      </c>
      <c r="I64" s="31"/>
      <c r="J64" s="38"/>
      <c r="K64" s="38"/>
      <c r="L64" s="9"/>
    </row>
    <row r="65" spans="2:12" x14ac:dyDescent="0.5">
      <c r="B65" s="8"/>
      <c r="F65" s="9"/>
      <c r="H65" s="8"/>
      <c r="I65" s="38"/>
      <c r="J65" s="38"/>
      <c r="K65" s="38"/>
      <c r="L65" s="9"/>
    </row>
    <row r="66" spans="2:12" ht="14.7" customHeight="1" thickBot="1" x14ac:dyDescent="0.55000000000000004">
      <c r="B66" s="11"/>
      <c r="C66" s="12"/>
      <c r="D66" s="12"/>
      <c r="E66" s="12"/>
      <c r="F66" s="13"/>
      <c r="G66" s="12"/>
      <c r="H66" s="11"/>
      <c r="I66" s="12"/>
      <c r="J66" s="12"/>
      <c r="K66" s="12"/>
      <c r="L66" s="13"/>
    </row>
    <row r="67" spans="2:12" ht="14.7" customHeight="1" thickBot="1" x14ac:dyDescent="0.55000000000000004">
      <c r="B67" s="11"/>
      <c r="C67" s="12"/>
      <c r="L67" s="9"/>
    </row>
    <row r="68" spans="2:12" ht="14.7" customHeight="1" thickBot="1" x14ac:dyDescent="0.55000000000000004">
      <c r="B68" s="32" t="s">
        <v>41</v>
      </c>
      <c r="C68" s="33"/>
      <c r="L68" s="9"/>
    </row>
    <row r="69" spans="2:12" ht="14.7" customHeight="1" thickBot="1" x14ac:dyDescent="0.55000000000000004">
      <c r="B69" s="17" t="s">
        <v>42</v>
      </c>
      <c r="C69" s="19" t="s">
        <v>43</v>
      </c>
      <c r="L69" s="9"/>
    </row>
    <row r="70" spans="2:12" ht="14.7" customHeight="1" thickBot="1" x14ac:dyDescent="0.55000000000000004">
      <c r="B70" s="11">
        <f>C108</f>
        <v>8149666.3035278069</v>
      </c>
      <c r="C70" s="13">
        <f>D108</f>
        <v>203741657.58819517</v>
      </c>
      <c r="D70" s="12"/>
      <c r="E70" s="12"/>
      <c r="F70" s="12"/>
      <c r="G70" s="12"/>
      <c r="H70" s="12"/>
      <c r="I70" s="12"/>
      <c r="J70" s="12"/>
      <c r="K70" s="12"/>
      <c r="L70" s="13"/>
    </row>
    <row r="71" spans="2:12" ht="14.7" customHeight="1" thickBot="1" x14ac:dyDescent="0.55000000000000004"/>
    <row r="72" spans="2:12" ht="14.7" customHeight="1" thickBot="1" x14ac:dyDescent="0.55000000000000004">
      <c r="B72" s="29" t="s">
        <v>44</v>
      </c>
      <c r="C72" s="30"/>
      <c r="D72" s="30"/>
      <c r="E72" s="30"/>
      <c r="F72" s="31"/>
    </row>
    <row r="73" spans="2:12" ht="14.7" customHeight="1" thickBot="1" x14ac:dyDescent="0.55000000000000004">
      <c r="B73" s="29" t="s">
        <v>45</v>
      </c>
      <c r="C73" s="30"/>
      <c r="D73" s="30"/>
      <c r="E73" s="30"/>
      <c r="F73" s="31"/>
    </row>
    <row r="74" spans="2:12" ht="14.7" customHeight="1" thickBot="1" x14ac:dyDescent="0.55000000000000004">
      <c r="B74" s="24" t="s">
        <v>46</v>
      </c>
      <c r="C74" s="18" t="s">
        <v>4</v>
      </c>
      <c r="D74" s="18" t="s">
        <v>5</v>
      </c>
      <c r="E74" s="18" t="s">
        <v>6</v>
      </c>
      <c r="F74" s="19" t="s">
        <v>7</v>
      </c>
    </row>
    <row r="75" spans="2:12" x14ac:dyDescent="0.5">
      <c r="B75" s="23" t="s">
        <v>9</v>
      </c>
      <c r="C75">
        <v>12771.442313861329</v>
      </c>
      <c r="D75">
        <v>29800</v>
      </c>
      <c r="E75">
        <f>C75+D75</f>
        <v>42571.442313861327</v>
      </c>
      <c r="F75" s="9">
        <f>E75*25</f>
        <v>1064286.0578465331</v>
      </c>
    </row>
    <row r="76" spans="2:12" x14ac:dyDescent="0.5">
      <c r="B76" s="3" t="s">
        <v>10</v>
      </c>
      <c r="C76">
        <v>31928.605784653319</v>
      </c>
      <c r="D76">
        <v>74500</v>
      </c>
      <c r="E76">
        <f>C76+D76</f>
        <v>106428.60578465332</v>
      </c>
      <c r="F76" s="9">
        <f>E76*25</f>
        <v>2660715.1446163328</v>
      </c>
    </row>
    <row r="77" spans="2:12" x14ac:dyDescent="0.5">
      <c r="B77" s="3" t="s">
        <v>14</v>
      </c>
      <c r="C77">
        <v>0</v>
      </c>
      <c r="D77">
        <v>0</v>
      </c>
      <c r="E77">
        <f>C77+D77</f>
        <v>0</v>
      </c>
      <c r="F77" s="9">
        <f>E77*25</f>
        <v>0</v>
      </c>
    </row>
    <row r="78" spans="2:12" x14ac:dyDescent="0.5">
      <c r="B78" s="3" t="s">
        <v>47</v>
      </c>
      <c r="C78">
        <v>0</v>
      </c>
      <c r="D78">
        <v>0</v>
      </c>
      <c r="E78">
        <f>C78+D78</f>
        <v>0</v>
      </c>
      <c r="F78" s="9">
        <f>E78*25</f>
        <v>0</v>
      </c>
    </row>
    <row r="79" spans="2:12" ht="14.7" customHeight="1" thickBot="1" x14ac:dyDescent="0.55000000000000004">
      <c r="B79" s="16" t="s">
        <v>48</v>
      </c>
      <c r="C79" s="12"/>
      <c r="D79" s="12"/>
      <c r="E79">
        <f>C79+D79</f>
        <v>0</v>
      </c>
      <c r="F79" s="9">
        <f>E79*25</f>
        <v>0</v>
      </c>
    </row>
    <row r="80" spans="2:12" ht="14.7" customHeight="1" thickBot="1" x14ac:dyDescent="0.55000000000000004">
      <c r="B80" s="17" t="s">
        <v>49</v>
      </c>
      <c r="C80" s="18" t="s">
        <v>4</v>
      </c>
      <c r="D80" s="18" t="s">
        <v>5</v>
      </c>
      <c r="E80" s="18" t="s">
        <v>6</v>
      </c>
      <c r="F80" s="19" t="s">
        <v>7</v>
      </c>
    </row>
    <row r="81" spans="2:6" x14ac:dyDescent="0.5">
      <c r="B81" s="23" t="s">
        <v>18</v>
      </c>
      <c r="C81">
        <v>72226.03175999246</v>
      </c>
      <c r="D81">
        <v>90009.599999999991</v>
      </c>
      <c r="E81">
        <f>C81+D81</f>
        <v>162235.63175999245</v>
      </c>
      <c r="F81" s="9">
        <f>E81*25</f>
        <v>4055890.7939998112</v>
      </c>
    </row>
    <row r="82" spans="2:6" ht="14.7" customHeight="1" thickBot="1" x14ac:dyDescent="0.55000000000000004">
      <c r="B82" s="16" t="s">
        <v>50</v>
      </c>
      <c r="C82" s="12"/>
      <c r="D82" s="12"/>
      <c r="E82">
        <f>C82+D82</f>
        <v>0</v>
      </c>
      <c r="F82" s="9">
        <f>E82*25</f>
        <v>0</v>
      </c>
    </row>
    <row r="83" spans="2:6" ht="14.7" customHeight="1" thickBot="1" x14ac:dyDescent="0.55000000000000004">
      <c r="B83" s="17"/>
      <c r="C83" s="18" t="s">
        <v>4</v>
      </c>
      <c r="D83" s="18" t="s">
        <v>5</v>
      </c>
      <c r="E83" s="18" t="s">
        <v>6</v>
      </c>
      <c r="F83" s="19" t="s">
        <v>7</v>
      </c>
    </row>
    <row r="84" spans="2:6" ht="14.7" customHeight="1" thickBot="1" x14ac:dyDescent="0.55000000000000004">
      <c r="B84" s="24" t="s">
        <v>22</v>
      </c>
      <c r="C84" s="12">
        <v>116926.0798585071</v>
      </c>
      <c r="D84" s="12">
        <v>6713105.3609011956</v>
      </c>
      <c r="E84" s="12">
        <v>6830031.4407597026</v>
      </c>
      <c r="F84" s="13">
        <f>E84*25</f>
        <v>170750786.01899257</v>
      </c>
    </row>
    <row r="85" spans="2:6" ht="14.7" customHeight="1" thickBot="1" x14ac:dyDescent="0.55000000000000004">
      <c r="B85" s="8"/>
      <c r="F85" s="9"/>
    </row>
    <row r="86" spans="2:6" ht="14.7" customHeight="1" thickBot="1" x14ac:dyDescent="0.55000000000000004">
      <c r="B86" s="29" t="s">
        <v>46</v>
      </c>
      <c r="C86" s="30"/>
      <c r="D86" s="31"/>
      <c r="F86" s="9"/>
    </row>
    <row r="87" spans="2:6" ht="14.7" customHeight="1" thickBot="1" x14ac:dyDescent="0.55000000000000004">
      <c r="B87" s="24" t="s">
        <v>23</v>
      </c>
      <c r="C87" s="18" t="s">
        <v>24</v>
      </c>
      <c r="D87" s="19" t="s">
        <v>25</v>
      </c>
      <c r="F87" s="9"/>
    </row>
    <row r="88" spans="2:6" x14ac:dyDescent="0.5">
      <c r="B88" s="23" t="s">
        <v>9</v>
      </c>
      <c r="C88">
        <v>2</v>
      </c>
      <c r="D88" s="9">
        <v>200</v>
      </c>
      <c r="F88" s="9"/>
    </row>
    <row r="89" spans="2:6" x14ac:dyDescent="0.5">
      <c r="B89" s="3" t="s">
        <v>10</v>
      </c>
      <c r="C89">
        <v>1</v>
      </c>
      <c r="D89" s="9">
        <v>500</v>
      </c>
      <c r="F89" s="9"/>
    </row>
    <row r="90" spans="2:6" x14ac:dyDescent="0.5">
      <c r="B90" s="3" t="s">
        <v>14</v>
      </c>
      <c r="C90">
        <v>0</v>
      </c>
      <c r="D90" s="9">
        <v>0</v>
      </c>
      <c r="F90" s="9"/>
    </row>
    <row r="91" spans="2:6" x14ac:dyDescent="0.5">
      <c r="B91" s="3" t="s">
        <v>47</v>
      </c>
      <c r="C91">
        <v>0</v>
      </c>
      <c r="D91" s="9">
        <v>0</v>
      </c>
      <c r="F91" s="9"/>
    </row>
    <row r="92" spans="2:6" ht="14.7" customHeight="1" thickBot="1" x14ac:dyDescent="0.55000000000000004">
      <c r="B92" s="16" t="s">
        <v>26</v>
      </c>
      <c r="C92" s="12">
        <v>3</v>
      </c>
      <c r="D92" s="13">
        <v>700</v>
      </c>
      <c r="F92" s="9"/>
    </row>
    <row r="93" spans="2:6" ht="14.7" customHeight="1" thickBot="1" x14ac:dyDescent="0.55000000000000004">
      <c r="B93" s="8"/>
      <c r="F93" s="9"/>
    </row>
    <row r="94" spans="2:6" ht="14.7" customHeight="1" thickBot="1" x14ac:dyDescent="0.55000000000000004">
      <c r="B94" s="29" t="s">
        <v>51</v>
      </c>
      <c r="C94" s="30"/>
      <c r="D94" s="31"/>
      <c r="F94" s="9"/>
    </row>
    <row r="95" spans="2:6" ht="14.7" customHeight="1" thickBot="1" x14ac:dyDescent="0.55000000000000004">
      <c r="B95" s="17" t="s">
        <v>23</v>
      </c>
      <c r="C95" s="18" t="s">
        <v>24</v>
      </c>
      <c r="D95" s="19" t="s">
        <v>25</v>
      </c>
      <c r="F95" s="9"/>
    </row>
    <row r="96" spans="2:6" ht="14.7" customHeight="1" thickBot="1" x14ac:dyDescent="0.55000000000000004">
      <c r="B96" s="24" t="s">
        <v>18</v>
      </c>
      <c r="C96" s="12">
        <v>320</v>
      </c>
      <c r="D96" s="13">
        <v>5625.5999999999995</v>
      </c>
      <c r="F96" s="9"/>
    </row>
    <row r="97" spans="2:6" ht="14.7" customHeight="1" thickBot="1" x14ac:dyDescent="0.55000000000000004">
      <c r="B97" s="8"/>
      <c r="F97" s="9"/>
    </row>
    <row r="98" spans="2:6" ht="14.7" customHeight="1" thickBot="1" x14ac:dyDescent="0.55000000000000004">
      <c r="B98" s="29" t="s">
        <v>52</v>
      </c>
      <c r="C98" s="30"/>
      <c r="D98" s="31"/>
      <c r="F98" s="9"/>
    </row>
    <row r="99" spans="2:6" ht="14.7" customHeight="1" thickBot="1" x14ac:dyDescent="0.55000000000000004">
      <c r="B99" s="17" t="s">
        <v>53</v>
      </c>
      <c r="C99" s="18" t="s">
        <v>54</v>
      </c>
      <c r="D99" s="19" t="s">
        <v>55</v>
      </c>
      <c r="F99" s="9"/>
    </row>
    <row r="100" spans="2:6" x14ac:dyDescent="0.5">
      <c r="B100" s="23" t="s">
        <v>56</v>
      </c>
      <c r="C100">
        <v>1082894.7368420821</v>
      </c>
      <c r="D100" s="9">
        <f>C100*25</f>
        <v>27072368.421052054</v>
      </c>
      <c r="F100" s="9"/>
    </row>
    <row r="101" spans="2:6" x14ac:dyDescent="0.5">
      <c r="B101" s="3" t="s">
        <v>57</v>
      </c>
      <c r="C101">
        <v>2041378.3333238401</v>
      </c>
      <c r="D101" s="9">
        <f>C101*25</f>
        <v>51034458.333095998</v>
      </c>
      <c r="F101" s="9"/>
    </row>
    <row r="102" spans="2:6" ht="14.7" customHeight="1" thickBot="1" x14ac:dyDescent="0.55000000000000004">
      <c r="B102" s="16" t="s">
        <v>26</v>
      </c>
      <c r="C102" s="12">
        <f>C100+C101</f>
        <v>3124273.0701659219</v>
      </c>
      <c r="D102" s="13">
        <f>C102*25</f>
        <v>78106826.754148051</v>
      </c>
      <c r="F102" s="9"/>
    </row>
    <row r="103" spans="2:6" ht="14.7" customHeight="1" thickBot="1" x14ac:dyDescent="0.55000000000000004">
      <c r="B103" s="8"/>
      <c r="F103" s="9"/>
    </row>
    <row r="104" spans="2:6" ht="14.7" customHeight="1" thickBot="1" x14ac:dyDescent="0.55000000000000004">
      <c r="B104" s="29" t="s">
        <v>58</v>
      </c>
      <c r="C104" s="30"/>
      <c r="D104" s="31"/>
      <c r="F104" s="9"/>
    </row>
    <row r="105" spans="2:6" ht="14.7" customHeight="1" thickBot="1" x14ac:dyDescent="0.55000000000000004">
      <c r="B105" s="17" t="s">
        <v>53</v>
      </c>
      <c r="C105" s="18" t="s">
        <v>59</v>
      </c>
      <c r="D105" s="22" t="s">
        <v>60</v>
      </c>
      <c r="F105" s="9"/>
    </row>
    <row r="106" spans="2:6" x14ac:dyDescent="0.5">
      <c r="B106" s="23" t="s">
        <v>56</v>
      </c>
      <c r="C106">
        <f>2.6085*C100</f>
        <v>2824730.9210525709</v>
      </c>
      <c r="D106" s="9">
        <f>C106*25</f>
        <v>70618273.026314273</v>
      </c>
      <c r="F106" s="9"/>
    </row>
    <row r="107" spans="2:6" x14ac:dyDescent="0.5">
      <c r="B107" s="3" t="s">
        <v>57</v>
      </c>
      <c r="C107">
        <f>2.6085*C101</f>
        <v>5324935.3824752364</v>
      </c>
      <c r="D107" s="9">
        <f>C107*25</f>
        <v>133123384.56188092</v>
      </c>
      <c r="F107" s="9"/>
    </row>
    <row r="108" spans="2:6" ht="14.7" customHeight="1" thickBot="1" x14ac:dyDescent="0.55000000000000004">
      <c r="B108" s="16" t="s">
        <v>26</v>
      </c>
      <c r="C108" s="12">
        <f>2.6085*C102</f>
        <v>8149666.3035278069</v>
      </c>
      <c r="D108" s="13">
        <f>C108*25</f>
        <v>203741657.58819517</v>
      </c>
      <c r="E108" s="12"/>
      <c r="F108" s="13"/>
    </row>
  </sheetData>
  <mergeCells count="30">
    <mergeCell ref="H64:I64"/>
    <mergeCell ref="H50:J50"/>
    <mergeCell ref="H55:J55"/>
    <mergeCell ref="B86:D86"/>
    <mergeCell ref="B104:D104"/>
    <mergeCell ref="B73:F73"/>
    <mergeCell ref="B36:D36"/>
    <mergeCell ref="B94:D94"/>
    <mergeCell ref="B50:D50"/>
    <mergeCell ref="B68:C68"/>
    <mergeCell ref="B64:C64"/>
    <mergeCell ref="B47:C47"/>
    <mergeCell ref="B98:D98"/>
    <mergeCell ref="B72:F72"/>
    <mergeCell ref="H33:I33"/>
    <mergeCell ref="B5:L5"/>
    <mergeCell ref="B63:C63"/>
    <mergeCell ref="B43:D43"/>
    <mergeCell ref="H25:J25"/>
    <mergeCell ref="H6:L6"/>
    <mergeCell ref="H60:I60"/>
    <mergeCell ref="B60:C60"/>
    <mergeCell ref="B55:D55"/>
    <mergeCell ref="H47:I47"/>
    <mergeCell ref="B25:D25"/>
    <mergeCell ref="H43:J43"/>
    <mergeCell ref="B6:F6"/>
    <mergeCell ref="B33:C33"/>
    <mergeCell ref="H36:J36"/>
    <mergeCell ref="H63:I63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B4:N108"/>
  <sheetViews>
    <sheetView tabSelected="1" topLeftCell="A15" zoomScale="70" zoomScaleNormal="70" workbookViewId="0">
      <selection activeCell="M29" sqref="M29"/>
    </sheetView>
  </sheetViews>
  <sheetFormatPr defaultColWidth="39.234375" defaultRowHeight="14.35" x14ac:dyDescent="0.5"/>
  <cols>
    <col min="1" max="1" width="13.52734375" customWidth="1"/>
    <col min="2" max="2" width="15.234375" bestFit="1" customWidth="1"/>
    <col min="3" max="3" width="17.64453125" bestFit="1" customWidth="1"/>
    <col min="4" max="4" width="18.64453125" bestFit="1" customWidth="1"/>
    <col min="5" max="5" width="12.46875" bestFit="1" customWidth="1"/>
    <col min="6" max="6" width="13.5859375" bestFit="1" customWidth="1"/>
    <col min="7" max="7" width="12.46875" customWidth="1"/>
    <col min="8" max="8" width="15.234375" bestFit="1" customWidth="1"/>
    <col min="9" max="9" width="15.703125" bestFit="1" customWidth="1"/>
    <col min="10" max="10" width="18" bestFit="1" customWidth="1"/>
    <col min="11" max="11" width="12.46875" bestFit="1" customWidth="1"/>
    <col min="12" max="12" width="14.5859375" bestFit="1" customWidth="1"/>
    <col min="13" max="14" width="13.41015625" bestFit="1" customWidth="1"/>
    <col min="15" max="15" width="1.76171875" bestFit="1" customWidth="1"/>
  </cols>
  <sheetData>
    <row r="4" spans="2:14" ht="14.7" customHeight="1" thickBot="1" x14ac:dyDescent="0.55000000000000004"/>
    <row r="5" spans="2:14" ht="14.7" customHeight="1" thickBot="1" x14ac:dyDescent="0.55000000000000004">
      <c r="B5" s="29" t="s">
        <v>0</v>
      </c>
      <c r="C5" s="30"/>
      <c r="D5" s="30"/>
      <c r="E5" s="30"/>
      <c r="F5" s="30"/>
      <c r="G5" s="30"/>
      <c r="H5" s="30"/>
      <c r="I5" s="30"/>
      <c r="J5" s="30"/>
      <c r="K5" s="30"/>
      <c r="L5" s="31"/>
    </row>
    <row r="6" spans="2:14" ht="14.7" customHeight="1" thickBot="1" x14ac:dyDescent="0.55000000000000004">
      <c r="B6" s="29" t="s">
        <v>1</v>
      </c>
      <c r="C6" s="30"/>
      <c r="D6" s="30"/>
      <c r="E6" s="30"/>
      <c r="F6" s="31"/>
      <c r="H6" s="29" t="s">
        <v>2</v>
      </c>
      <c r="I6" s="30"/>
      <c r="J6" s="30"/>
      <c r="K6" s="30"/>
      <c r="L6" s="31"/>
    </row>
    <row r="7" spans="2:14" ht="14.7" customHeight="1" thickBot="1" x14ac:dyDescent="0.55000000000000004">
      <c r="B7" s="24" t="s">
        <v>3</v>
      </c>
      <c r="C7" s="18" t="s">
        <v>4</v>
      </c>
      <c r="D7" s="18" t="s">
        <v>5</v>
      </c>
      <c r="E7" s="18" t="s">
        <v>6</v>
      </c>
      <c r="F7" s="19" t="s">
        <v>7</v>
      </c>
      <c r="H7" s="24" t="s">
        <v>3</v>
      </c>
      <c r="I7" s="18" t="s">
        <v>4</v>
      </c>
      <c r="J7" s="18" t="s">
        <v>5</v>
      </c>
      <c r="K7" s="18" t="s">
        <v>6</v>
      </c>
      <c r="L7" s="19" t="s">
        <v>7</v>
      </c>
    </row>
    <row r="8" spans="2:14" x14ac:dyDescent="0.5">
      <c r="B8" s="3" t="s">
        <v>8</v>
      </c>
      <c r="C8" s="6">
        <f>13698 * D27*((0.05*((1.05)^25))/((1.05^25)-1))</f>
        <v>2235385.5481951488</v>
      </c>
      <c r="D8" s="6">
        <f>29*D27</f>
        <v>66700</v>
      </c>
      <c r="E8" s="6">
        <f>C8+D8</f>
        <v>2302085.5481951488</v>
      </c>
      <c r="F8" s="10">
        <f>E8*25</f>
        <v>57552138.704878718</v>
      </c>
      <c r="H8" s="3" t="s">
        <v>9</v>
      </c>
      <c r="I8" s="39">
        <f>1615 * J27*((0.05*((1.05)^25))/((1.05^25)-1))</f>
        <v>34376.465561476754</v>
      </c>
      <c r="J8" s="39">
        <f>29*J27</f>
        <v>8700</v>
      </c>
      <c r="K8" s="39">
        <f>I8+J8</f>
        <v>43076.465561476754</v>
      </c>
      <c r="L8" s="10">
        <f>K8*25</f>
        <v>1076911.6390369188</v>
      </c>
    </row>
    <row r="9" spans="2:14" x14ac:dyDescent="0.5">
      <c r="B9" s="3" t="s">
        <v>10</v>
      </c>
      <c r="C9" s="6">
        <f>13698 * D28*((0.05*((1.05)^25))/((1.05^25)-1))</f>
        <v>0</v>
      </c>
      <c r="D9" s="6">
        <f>29*D28</f>
        <v>0</v>
      </c>
      <c r="E9" s="6">
        <f>C9+D9</f>
        <v>0</v>
      </c>
      <c r="F9" s="10">
        <f>E9*25</f>
        <v>0</v>
      </c>
      <c r="H9" s="3" t="s">
        <v>10</v>
      </c>
      <c r="I9" s="39">
        <f>1615 * J28*((0.05*((1.05)^25))/((1.05^25)-1))</f>
        <v>343764.65561476751</v>
      </c>
      <c r="J9" s="39">
        <f>29*J28</f>
        <v>87000</v>
      </c>
      <c r="K9" s="39">
        <f>I9+J9</f>
        <v>430764.65561476751</v>
      </c>
      <c r="L9" s="10">
        <f>K9*25</f>
        <v>10769116.390369188</v>
      </c>
      <c r="M9" s="7"/>
      <c r="N9" s="6"/>
    </row>
    <row r="10" spans="2:14" x14ac:dyDescent="0.5">
      <c r="B10" s="3" t="s">
        <v>11</v>
      </c>
      <c r="C10" s="6">
        <f>13698 * D29*((0.05*((1.05)^25))/((1.05^25)-1))</f>
        <v>0</v>
      </c>
      <c r="D10" s="6">
        <f>29*D29</f>
        <v>0</v>
      </c>
      <c r="E10" s="6">
        <f>C10+D10</f>
        <v>0</v>
      </c>
      <c r="F10" s="10">
        <f>E10*25</f>
        <v>0</v>
      </c>
      <c r="H10" s="3" t="s">
        <v>11</v>
      </c>
      <c r="I10" s="39">
        <f>1615 * J29*((0.05*((1.05)^25))/((1.05^25)-1))</f>
        <v>0</v>
      </c>
      <c r="J10" s="39">
        <f>29*J29</f>
        <v>0</v>
      </c>
      <c r="K10" s="39">
        <f>I10+J10</f>
        <v>0</v>
      </c>
      <c r="L10" s="10">
        <f>K10*25</f>
        <v>0</v>
      </c>
      <c r="M10" s="7"/>
    </row>
    <row r="11" spans="2:14" ht="14.7" customHeight="1" thickBot="1" x14ac:dyDescent="0.55000000000000004">
      <c r="B11" s="16" t="s">
        <v>12</v>
      </c>
      <c r="C11" s="14">
        <f>13698 * D30*((0.05*((1.05)^25))/((1.05^25)-1))</f>
        <v>0</v>
      </c>
      <c r="D11" s="14">
        <f>29*D30</f>
        <v>0</v>
      </c>
      <c r="E11" s="14">
        <f>C11+D11</f>
        <v>0</v>
      </c>
      <c r="F11" s="15">
        <f>E11*25</f>
        <v>0</v>
      </c>
      <c r="H11" s="16" t="s">
        <v>12</v>
      </c>
      <c r="I11" s="14">
        <f>1615 * J30*((0.05*((1.05)^25))/((1.05^25)-1))</f>
        <v>0</v>
      </c>
      <c r="J11" s="14">
        <f>29*J30</f>
        <v>0</v>
      </c>
      <c r="K11" s="14">
        <f>I11+J11</f>
        <v>0</v>
      </c>
      <c r="L11" s="13">
        <f>K11*25</f>
        <v>0</v>
      </c>
    </row>
    <row r="12" spans="2:14" ht="14.7" customHeight="1" thickBot="1" x14ac:dyDescent="0.55000000000000004">
      <c r="B12" s="24" t="s">
        <v>13</v>
      </c>
      <c r="C12" s="18" t="s">
        <v>4</v>
      </c>
      <c r="D12" s="18" t="s">
        <v>5</v>
      </c>
      <c r="E12" s="18" t="s">
        <v>6</v>
      </c>
      <c r="F12" s="19" t="s">
        <v>7</v>
      </c>
      <c r="H12" s="24" t="s">
        <v>13</v>
      </c>
      <c r="I12" s="18" t="s">
        <v>4</v>
      </c>
      <c r="J12" s="18" t="s">
        <v>5</v>
      </c>
      <c r="K12" s="18" t="s">
        <v>6</v>
      </c>
      <c r="L12" s="19" t="s">
        <v>7</v>
      </c>
    </row>
    <row r="13" spans="2:14" x14ac:dyDescent="0.5">
      <c r="B13" s="3" t="s">
        <v>14</v>
      </c>
      <c r="C13" s="4">
        <f>2490 * D38*((0.05*((1.05)^10))/((1.05^10)-1))</f>
        <v>644932.78332797438</v>
      </c>
      <c r="D13" s="1">
        <f>37.35*D38</f>
        <v>74700</v>
      </c>
      <c r="E13">
        <f>C13+D13</f>
        <v>719632.78332797438</v>
      </c>
      <c r="F13" s="9">
        <f>E13*25</f>
        <v>17990819.583199359</v>
      </c>
      <c r="H13" s="3" t="s">
        <v>14</v>
      </c>
      <c r="I13" s="4">
        <f>2490 * J38*((0.05*((1.05)^10))/((1.05^10)-1))</f>
        <v>967399.17499196157</v>
      </c>
      <c r="J13" s="1">
        <f>37.35*J38</f>
        <v>112050</v>
      </c>
      <c r="K13" s="39">
        <f>I13+J13</f>
        <v>1079449.1749919616</v>
      </c>
      <c r="L13" s="10">
        <f>K13*25</f>
        <v>26986229.374799039</v>
      </c>
    </row>
    <row r="14" spans="2:14" x14ac:dyDescent="0.5">
      <c r="B14" s="3" t="s">
        <v>15</v>
      </c>
      <c r="C14" s="4">
        <f>1570 * D39*((0.05*((1.05)^10))/((1.05^10)-1))</f>
        <v>0</v>
      </c>
      <c r="D14" s="1">
        <f>23.55*D39</f>
        <v>0</v>
      </c>
      <c r="E14">
        <f>C14+D14</f>
        <v>0</v>
      </c>
      <c r="F14" s="9">
        <f>E14*25</f>
        <v>0</v>
      </c>
      <c r="H14" s="3" t="s">
        <v>15</v>
      </c>
      <c r="I14" s="4">
        <f>1570 * J39*((0.05*((1.05)^10))/((1.05^10)-1))</f>
        <v>0</v>
      </c>
      <c r="J14" s="1">
        <f>23.55*J39</f>
        <v>0</v>
      </c>
      <c r="K14" s="38">
        <f>I14+J14</f>
        <v>0</v>
      </c>
      <c r="L14" s="10">
        <f>K14*25</f>
        <v>0</v>
      </c>
    </row>
    <row r="15" spans="2:14" ht="14.7" customHeight="1" thickBot="1" x14ac:dyDescent="0.55000000000000004">
      <c r="B15" s="16" t="s">
        <v>16</v>
      </c>
      <c r="C15" s="5">
        <f>1190 * D40*((0.05*((1.05)^10))/((1.05^10)-1))</f>
        <v>0</v>
      </c>
      <c r="D15" s="2">
        <f>17.85*D40</f>
        <v>0</v>
      </c>
      <c r="E15" s="12">
        <f>C15+D15</f>
        <v>0</v>
      </c>
      <c r="F15" s="13">
        <f>E15*25</f>
        <v>0</v>
      </c>
      <c r="H15" s="16" t="s">
        <v>16</v>
      </c>
      <c r="I15" s="5">
        <f>1190 * J40*((0.05*((1.05)^10))/((1.05^10)-1))</f>
        <v>0</v>
      </c>
      <c r="J15" s="2">
        <f>17.85*J40</f>
        <v>0</v>
      </c>
      <c r="K15" s="12">
        <f>I15+J15</f>
        <v>0</v>
      </c>
      <c r="L15" s="15">
        <f>K15*25</f>
        <v>0</v>
      </c>
    </row>
    <row r="16" spans="2:14" ht="14.7" customHeight="1" thickBot="1" x14ac:dyDescent="0.55000000000000004">
      <c r="B16" s="24" t="s">
        <v>17</v>
      </c>
      <c r="C16" s="18" t="s">
        <v>4</v>
      </c>
      <c r="D16" s="18" t="s">
        <v>5</v>
      </c>
      <c r="E16" s="18" t="s">
        <v>6</v>
      </c>
      <c r="F16" s="19" t="s">
        <v>7</v>
      </c>
      <c r="H16" s="24" t="s">
        <v>17</v>
      </c>
      <c r="I16" s="18" t="s">
        <v>4</v>
      </c>
      <c r="J16" s="18" t="s">
        <v>5</v>
      </c>
      <c r="K16" s="18" t="s">
        <v>6</v>
      </c>
      <c r="L16" s="19" t="s">
        <v>7</v>
      </c>
    </row>
    <row r="17" spans="2:14" ht="14.7" customHeight="1" thickBot="1" x14ac:dyDescent="0.55000000000000004">
      <c r="B17" s="16" t="s">
        <v>18</v>
      </c>
      <c r="C17" s="12">
        <v>33855.952387496458</v>
      </c>
      <c r="D17" s="12">
        <v>42191.999999999993</v>
      </c>
      <c r="E17" s="12">
        <f>D17+C17</f>
        <v>76047.952387496451</v>
      </c>
      <c r="F17" s="13">
        <f>E17*25</f>
        <v>1901198.8096874112</v>
      </c>
      <c r="H17" s="16" t="s">
        <v>18</v>
      </c>
      <c r="I17" s="12">
        <v>33855.952387496458</v>
      </c>
      <c r="J17" s="12">
        <v>42192</v>
      </c>
      <c r="K17" s="12">
        <f>J17+I17</f>
        <v>76047.952387496451</v>
      </c>
      <c r="L17" s="15">
        <f>K17*25</f>
        <v>1901198.8096874112</v>
      </c>
    </row>
    <row r="18" spans="2:14" ht="14.7" customHeight="1" thickBot="1" x14ac:dyDescent="0.55000000000000004">
      <c r="B18" s="24" t="s">
        <v>19</v>
      </c>
      <c r="C18" s="18" t="s">
        <v>4</v>
      </c>
      <c r="D18" s="18" t="s">
        <v>5</v>
      </c>
      <c r="E18" s="18" t="s">
        <v>6</v>
      </c>
      <c r="F18" s="19" t="s">
        <v>7</v>
      </c>
      <c r="H18" s="24" t="s">
        <v>20</v>
      </c>
      <c r="I18" s="18" t="s">
        <v>4</v>
      </c>
      <c r="J18" s="18" t="s">
        <v>5</v>
      </c>
      <c r="K18" s="18" t="s">
        <v>6</v>
      </c>
      <c r="L18" s="19" t="s">
        <v>7</v>
      </c>
    </row>
    <row r="19" spans="2:14" ht="14.7" customHeight="1" thickBot="1" x14ac:dyDescent="0.55000000000000004">
      <c r="B19" s="11"/>
      <c r="C19" s="12">
        <f>C48*300*((0.05*((1.05)^20))/((1.05^20)-1))</f>
        <v>962670.31852672365</v>
      </c>
      <c r="D19" s="12">
        <v>0</v>
      </c>
      <c r="E19" s="12">
        <f>D19+C19</f>
        <v>962670.31852672365</v>
      </c>
      <c r="F19" s="13">
        <f>E19*25</f>
        <v>24066757.963168092</v>
      </c>
      <c r="H19" s="11"/>
      <c r="I19" s="14">
        <f>(I48/10)*3000*((0.05*((1.05)^20))/((1.05^20)-1))</f>
        <v>85699.083119658317</v>
      </c>
      <c r="J19" s="12">
        <v>0</v>
      </c>
      <c r="K19" s="12">
        <f>J19+I19</f>
        <v>85699.083119658317</v>
      </c>
      <c r="L19" s="15">
        <f>K19*25</f>
        <v>2142477.0779914581</v>
      </c>
    </row>
    <row r="20" spans="2:14" ht="14.7" customHeight="1" thickBot="1" x14ac:dyDescent="0.55000000000000004">
      <c r="B20" s="24" t="s">
        <v>21</v>
      </c>
      <c r="C20" s="18" t="s">
        <v>4</v>
      </c>
      <c r="D20" s="18" t="s">
        <v>5</v>
      </c>
      <c r="E20" s="18" t="s">
        <v>6</v>
      </c>
      <c r="F20" s="19" t="s">
        <v>7</v>
      </c>
      <c r="H20" s="24" t="s">
        <v>21</v>
      </c>
      <c r="I20" s="18" t="s">
        <v>4</v>
      </c>
      <c r="J20" s="18" t="s">
        <v>5</v>
      </c>
      <c r="K20" s="18" t="s">
        <v>6</v>
      </c>
      <c r="L20" s="19" t="s">
        <v>7</v>
      </c>
    </row>
    <row r="21" spans="2:14" ht="14.7" customHeight="1" thickBot="1" x14ac:dyDescent="0.55000000000000004">
      <c r="B21" s="11"/>
      <c r="C21" s="12">
        <v>0</v>
      </c>
      <c r="D21" s="12">
        <v>0</v>
      </c>
      <c r="E21" s="12">
        <f>C21+D21</f>
        <v>0</v>
      </c>
      <c r="F21" s="13">
        <f>E21*25</f>
        <v>0</v>
      </c>
      <c r="H21" s="11"/>
      <c r="I21" s="12">
        <v>0</v>
      </c>
      <c r="J21" s="12">
        <v>0</v>
      </c>
      <c r="K21" s="12">
        <f>J21+I21</f>
        <v>0</v>
      </c>
      <c r="L21" s="13">
        <f>K21*25</f>
        <v>0</v>
      </c>
    </row>
    <row r="22" spans="2:14" ht="14.7" customHeight="1" thickBot="1" x14ac:dyDescent="0.55000000000000004">
      <c r="B22" s="17"/>
      <c r="C22" s="18" t="s">
        <v>4</v>
      </c>
      <c r="D22" s="18" t="s">
        <v>5</v>
      </c>
      <c r="E22" s="18" t="s">
        <v>6</v>
      </c>
      <c r="F22" s="19" t="s">
        <v>7</v>
      </c>
      <c r="H22" s="17"/>
      <c r="I22" s="18" t="s">
        <v>4</v>
      </c>
      <c r="J22" s="18" t="s">
        <v>5</v>
      </c>
      <c r="K22" s="18" t="s">
        <v>6</v>
      </c>
      <c r="L22" s="19" t="s">
        <v>7</v>
      </c>
    </row>
    <row r="23" spans="2:14" ht="14.7" customHeight="1" thickBot="1" x14ac:dyDescent="0.55000000000000004">
      <c r="B23" s="24" t="s">
        <v>22</v>
      </c>
      <c r="C23" s="12">
        <v>3872030.0472058998</v>
      </c>
      <c r="D23" s="12">
        <v>183592</v>
      </c>
      <c r="E23" s="25">
        <v>4055622.0472058998</v>
      </c>
      <c r="F23" s="13">
        <f>D23*25</f>
        <v>4589800</v>
      </c>
      <c r="H23" s="24" t="s">
        <v>22</v>
      </c>
      <c r="I23" s="14">
        <v>1465095.33167536</v>
      </c>
      <c r="J23" s="14">
        <v>249942</v>
      </c>
      <c r="K23" s="14">
        <v>4062917.2247025901</v>
      </c>
      <c r="L23" s="15">
        <f>K23*25</f>
        <v>101572930.61756475</v>
      </c>
      <c r="M23" s="6"/>
    </row>
    <row r="24" spans="2:14" ht="14.7" customHeight="1" thickBot="1" x14ac:dyDescent="0.55000000000000004">
      <c r="B24" s="8"/>
      <c r="F24" s="9"/>
      <c r="H24" s="8"/>
      <c r="I24" s="39"/>
      <c r="J24" s="39"/>
      <c r="K24" s="39"/>
      <c r="L24" s="10"/>
      <c r="M24" s="6"/>
      <c r="N24" s="7"/>
    </row>
    <row r="25" spans="2:14" ht="14.7" customHeight="1" thickBot="1" x14ac:dyDescent="0.55000000000000004">
      <c r="B25" s="29" t="s">
        <v>3</v>
      </c>
      <c r="C25" s="30"/>
      <c r="D25" s="31"/>
      <c r="F25" s="9"/>
      <c r="H25" s="29" t="s">
        <v>3</v>
      </c>
      <c r="I25" s="30"/>
      <c r="J25" s="31"/>
      <c r="K25" s="38"/>
      <c r="L25" s="10"/>
      <c r="M25" s="6"/>
    </row>
    <row r="26" spans="2:14" ht="14.7" customHeight="1" thickBot="1" x14ac:dyDescent="0.55000000000000004">
      <c r="B26" s="17" t="s">
        <v>23</v>
      </c>
      <c r="C26" s="18" t="s">
        <v>24</v>
      </c>
      <c r="D26" s="19" t="s">
        <v>25</v>
      </c>
      <c r="F26" s="9"/>
      <c r="H26" s="17" t="s">
        <v>23</v>
      </c>
      <c r="I26" s="18" t="s">
        <v>24</v>
      </c>
      <c r="J26" s="19" t="s">
        <v>25</v>
      </c>
      <c r="K26" s="38"/>
      <c r="L26" s="10"/>
      <c r="M26" s="6"/>
    </row>
    <row r="27" spans="2:14" x14ac:dyDescent="0.5">
      <c r="B27" s="23" t="s">
        <v>9</v>
      </c>
      <c r="C27">
        <v>23</v>
      </c>
      <c r="D27" s="9">
        <v>2300</v>
      </c>
      <c r="F27" s="9"/>
      <c r="H27" s="8" t="s">
        <v>9</v>
      </c>
      <c r="I27" s="38">
        <v>3</v>
      </c>
      <c r="J27" s="9">
        <v>300</v>
      </c>
      <c r="K27" s="38"/>
      <c r="L27" s="9"/>
    </row>
    <row r="28" spans="2:14" x14ac:dyDescent="0.5">
      <c r="B28" s="3" t="s">
        <v>10</v>
      </c>
      <c r="C28">
        <v>0</v>
      </c>
      <c r="D28" s="9">
        <v>0</v>
      </c>
      <c r="F28" s="9"/>
      <c r="H28" s="8" t="s">
        <v>10</v>
      </c>
      <c r="I28" s="38">
        <v>6</v>
      </c>
      <c r="J28" s="9">
        <v>3000</v>
      </c>
      <c r="K28" s="38"/>
      <c r="L28" s="9"/>
    </row>
    <row r="29" spans="2:14" x14ac:dyDescent="0.5">
      <c r="B29" s="3" t="s">
        <v>11</v>
      </c>
      <c r="C29">
        <v>0</v>
      </c>
      <c r="D29" s="9">
        <v>0</v>
      </c>
      <c r="F29" s="9"/>
      <c r="H29" s="8" t="s">
        <v>11</v>
      </c>
      <c r="I29" s="38">
        <v>0</v>
      </c>
      <c r="J29" s="9">
        <v>0</v>
      </c>
      <c r="K29" s="38"/>
      <c r="L29" s="9"/>
    </row>
    <row r="30" spans="2:14" x14ac:dyDescent="0.5">
      <c r="B30" s="3" t="s">
        <v>12</v>
      </c>
      <c r="C30">
        <v>0</v>
      </c>
      <c r="D30" s="9">
        <v>0</v>
      </c>
      <c r="F30" s="9"/>
      <c r="H30" s="8" t="s">
        <v>12</v>
      </c>
      <c r="I30" s="38">
        <v>0</v>
      </c>
      <c r="J30" s="9">
        <v>0</v>
      </c>
      <c r="K30" s="38"/>
      <c r="L30" s="9"/>
    </row>
    <row r="31" spans="2:14" ht="14.7" customHeight="1" thickBot="1" x14ac:dyDescent="0.55000000000000004">
      <c r="B31" s="16" t="s">
        <v>26</v>
      </c>
      <c r="C31" s="12">
        <v>23</v>
      </c>
      <c r="D31" s="13">
        <v>2300</v>
      </c>
      <c r="F31" s="9"/>
      <c r="H31" s="11" t="s">
        <v>26</v>
      </c>
      <c r="I31" s="12">
        <v>9</v>
      </c>
      <c r="J31" s="13">
        <v>3300</v>
      </c>
      <c r="K31" s="38"/>
      <c r="L31" s="9"/>
    </row>
    <row r="32" spans="2:14" ht="14.7" customHeight="1" thickBot="1" x14ac:dyDescent="0.55000000000000004">
      <c r="B32" s="8"/>
      <c r="F32" s="9"/>
      <c r="H32" s="8"/>
      <c r="I32" s="38"/>
      <c r="J32" s="38"/>
      <c r="K32" s="38"/>
      <c r="L32" s="9"/>
    </row>
    <row r="33" spans="2:12" ht="14.7" customHeight="1" thickBot="1" x14ac:dyDescent="0.55000000000000004">
      <c r="B33" s="29" t="s">
        <v>21</v>
      </c>
      <c r="C33" s="31"/>
      <c r="F33" s="9"/>
      <c r="H33" s="29" t="s">
        <v>21</v>
      </c>
      <c r="I33" s="31"/>
      <c r="J33" s="38"/>
      <c r="K33" s="38"/>
      <c r="L33" s="9"/>
    </row>
    <row r="34" spans="2:12" ht="14.7" customHeight="1" thickBot="1" x14ac:dyDescent="0.55000000000000004">
      <c r="B34" s="24" t="s">
        <v>25</v>
      </c>
      <c r="C34" s="13">
        <v>0</v>
      </c>
      <c r="F34" s="9"/>
      <c r="H34" s="24" t="s">
        <v>25</v>
      </c>
      <c r="I34" s="13">
        <v>0</v>
      </c>
      <c r="J34" s="38"/>
      <c r="K34" s="38"/>
      <c r="L34" s="9"/>
    </row>
    <row r="35" spans="2:12" ht="14.7" customHeight="1" thickBot="1" x14ac:dyDescent="0.55000000000000004">
      <c r="B35" s="8"/>
      <c r="F35" s="9"/>
      <c r="H35" s="8"/>
      <c r="I35" s="38"/>
      <c r="J35" s="38"/>
      <c r="K35" s="38"/>
      <c r="L35" s="9"/>
    </row>
    <row r="36" spans="2:12" ht="14.7" customHeight="1" thickBot="1" x14ac:dyDescent="0.55000000000000004">
      <c r="B36" s="29" t="s">
        <v>13</v>
      </c>
      <c r="C36" s="30"/>
      <c r="D36" s="31"/>
      <c r="F36" s="9"/>
      <c r="H36" s="29" t="s">
        <v>13</v>
      </c>
      <c r="I36" s="30"/>
      <c r="J36" s="31"/>
      <c r="K36" s="38"/>
      <c r="L36" s="9"/>
    </row>
    <row r="37" spans="2:12" ht="14.7" customHeight="1" thickBot="1" x14ac:dyDescent="0.55000000000000004">
      <c r="B37" s="24" t="s">
        <v>23</v>
      </c>
      <c r="C37" s="18" t="s">
        <v>24</v>
      </c>
      <c r="D37" s="19" t="s">
        <v>25</v>
      </c>
      <c r="F37" s="9"/>
      <c r="H37" s="17" t="s">
        <v>23</v>
      </c>
      <c r="I37" s="18" t="s">
        <v>24</v>
      </c>
      <c r="J37" s="19" t="s">
        <v>25</v>
      </c>
      <c r="K37" s="38"/>
      <c r="L37" s="9"/>
    </row>
    <row r="38" spans="2:12" x14ac:dyDescent="0.5">
      <c r="B38" s="23" t="s">
        <v>14</v>
      </c>
      <c r="C38">
        <v>2</v>
      </c>
      <c r="D38" s="9">
        <v>2000</v>
      </c>
      <c r="F38" s="9"/>
      <c r="H38" s="23" t="s">
        <v>14</v>
      </c>
      <c r="I38" s="38">
        <v>3</v>
      </c>
      <c r="J38" s="9">
        <v>3000</v>
      </c>
      <c r="K38" s="38"/>
      <c r="L38" s="9"/>
    </row>
    <row r="39" spans="2:12" x14ac:dyDescent="0.5">
      <c r="B39" s="3" t="s">
        <v>15</v>
      </c>
      <c r="C39">
        <v>0</v>
      </c>
      <c r="D39" s="9">
        <v>0</v>
      </c>
      <c r="F39" s="9"/>
      <c r="H39" s="3" t="s">
        <v>15</v>
      </c>
      <c r="I39" s="38">
        <v>0</v>
      </c>
      <c r="J39" s="9">
        <v>0</v>
      </c>
      <c r="K39" s="38"/>
      <c r="L39" s="9"/>
    </row>
    <row r="40" spans="2:12" x14ac:dyDescent="0.5">
      <c r="B40" s="3" t="s">
        <v>16</v>
      </c>
      <c r="C40">
        <v>0</v>
      </c>
      <c r="D40" s="9">
        <v>0</v>
      </c>
      <c r="F40" s="9"/>
      <c r="H40" s="3" t="s">
        <v>16</v>
      </c>
      <c r="I40" s="38">
        <v>0</v>
      </c>
      <c r="J40" s="9">
        <v>0</v>
      </c>
      <c r="K40" s="38"/>
      <c r="L40" s="9"/>
    </row>
    <row r="41" spans="2:12" ht="14.7" customHeight="1" thickBot="1" x14ac:dyDescent="0.55000000000000004">
      <c r="B41" s="16" t="s">
        <v>26</v>
      </c>
      <c r="C41" s="12">
        <v>2</v>
      </c>
      <c r="D41" s="13">
        <v>2000</v>
      </c>
      <c r="F41" s="9"/>
      <c r="H41" s="16" t="s">
        <v>26</v>
      </c>
      <c r="I41" s="12">
        <v>3</v>
      </c>
      <c r="J41" s="13">
        <v>3000</v>
      </c>
      <c r="K41" s="38"/>
      <c r="L41" s="9"/>
    </row>
    <row r="42" spans="2:12" ht="14.7" customHeight="1" thickBot="1" x14ac:dyDescent="0.55000000000000004">
      <c r="B42" s="8"/>
      <c r="F42" s="9"/>
      <c r="H42" s="8"/>
      <c r="I42" s="38"/>
      <c r="J42" s="38"/>
      <c r="K42" s="38"/>
      <c r="L42" s="9"/>
    </row>
    <row r="43" spans="2:12" ht="14.7" customHeight="1" thickBot="1" x14ac:dyDescent="0.55000000000000004">
      <c r="B43" s="29" t="s">
        <v>27</v>
      </c>
      <c r="C43" s="30"/>
      <c r="D43" s="31"/>
      <c r="F43" s="9"/>
      <c r="H43" s="29" t="s">
        <v>27</v>
      </c>
      <c r="I43" s="30"/>
      <c r="J43" s="31"/>
      <c r="K43" s="38"/>
      <c r="L43" s="9"/>
    </row>
    <row r="44" spans="2:12" ht="14.7" customHeight="1" thickBot="1" x14ac:dyDescent="0.55000000000000004">
      <c r="B44" s="24" t="s">
        <v>23</v>
      </c>
      <c r="C44" s="18" t="s">
        <v>24</v>
      </c>
      <c r="D44" s="19" t="s">
        <v>25</v>
      </c>
      <c r="F44" s="9"/>
      <c r="H44" s="17" t="s">
        <v>23</v>
      </c>
      <c r="I44" s="18" t="s">
        <v>24</v>
      </c>
      <c r="J44" s="19" t="s">
        <v>25</v>
      </c>
      <c r="K44" s="38"/>
      <c r="L44" s="9"/>
    </row>
    <row r="45" spans="2:12" ht="14.7" customHeight="1" thickBot="1" x14ac:dyDescent="0.55000000000000004">
      <c r="B45" s="24" t="s">
        <v>18</v>
      </c>
      <c r="C45" s="12">
        <v>150</v>
      </c>
      <c r="D45" s="13">
        <v>2637</v>
      </c>
      <c r="F45" s="9"/>
      <c r="H45" s="24" t="s">
        <v>18</v>
      </c>
      <c r="I45" s="12">
        <v>150</v>
      </c>
      <c r="J45" s="13">
        <v>2637</v>
      </c>
      <c r="K45" s="38"/>
      <c r="L45" s="9"/>
    </row>
    <row r="46" spans="2:12" ht="14.7" customHeight="1" thickBot="1" x14ac:dyDescent="0.55000000000000004">
      <c r="B46" s="8"/>
      <c r="F46" s="9"/>
      <c r="H46" s="8"/>
      <c r="I46" s="38"/>
      <c r="J46" s="38"/>
      <c r="K46" s="38"/>
      <c r="L46" s="9"/>
    </row>
    <row r="47" spans="2:12" ht="14.7" customHeight="1" thickBot="1" x14ac:dyDescent="0.55000000000000004">
      <c r="B47" s="29" t="s">
        <v>28</v>
      </c>
      <c r="C47" s="31"/>
      <c r="F47" s="9"/>
      <c r="H47" s="29" t="s">
        <v>28</v>
      </c>
      <c r="I47" s="31"/>
      <c r="J47" s="38"/>
      <c r="K47" s="38"/>
      <c r="L47" s="9"/>
    </row>
    <row r="48" spans="2:12" ht="14.7" customHeight="1" thickBot="1" x14ac:dyDescent="0.55000000000000004">
      <c r="B48" s="11" t="s">
        <v>29</v>
      </c>
      <c r="C48" s="13">
        <v>39990</v>
      </c>
      <c r="F48" s="9"/>
      <c r="H48" s="24" t="s">
        <v>29</v>
      </c>
      <c r="I48" s="13">
        <v>3560</v>
      </c>
      <c r="J48" s="38"/>
      <c r="K48" s="38"/>
      <c r="L48" s="9"/>
    </row>
    <row r="49" spans="2:12" ht="14.7" customHeight="1" thickBot="1" x14ac:dyDescent="0.55000000000000004">
      <c r="B49" s="8"/>
      <c r="F49" s="9"/>
      <c r="H49" s="8"/>
      <c r="I49" s="38"/>
      <c r="J49" s="38"/>
      <c r="K49" s="38"/>
      <c r="L49" s="9"/>
    </row>
    <row r="50" spans="2:12" ht="14.7" customHeight="1" thickBot="1" x14ac:dyDescent="0.55000000000000004">
      <c r="B50" s="29" t="s">
        <v>30</v>
      </c>
      <c r="C50" s="30"/>
      <c r="D50" s="31"/>
      <c r="F50" s="9"/>
      <c r="H50" s="35" t="s">
        <v>30</v>
      </c>
      <c r="I50" s="36"/>
      <c r="J50" s="37"/>
      <c r="K50" s="38"/>
      <c r="L50" s="9"/>
    </row>
    <row r="51" spans="2:12" ht="14.7" customHeight="1" thickBot="1" x14ac:dyDescent="0.55000000000000004">
      <c r="B51" s="11" t="s">
        <v>31</v>
      </c>
      <c r="C51" s="12" t="s">
        <v>32</v>
      </c>
      <c r="D51" s="13" t="s">
        <v>33</v>
      </c>
      <c r="F51" s="9"/>
      <c r="H51" s="24" t="s">
        <v>31</v>
      </c>
      <c r="I51" s="18" t="s">
        <v>61</v>
      </c>
      <c r="J51" s="21" t="s">
        <v>33</v>
      </c>
      <c r="K51" s="38"/>
      <c r="L51" s="9"/>
    </row>
    <row r="52" spans="2:12" ht="14.7" customHeight="1" x14ac:dyDescent="0.5">
      <c r="B52" s="23" t="s">
        <v>34</v>
      </c>
      <c r="C52" s="26">
        <v>3267662.7711928501</v>
      </c>
      <c r="D52" s="27">
        <f>C52*25</f>
        <v>81691569.279821247</v>
      </c>
      <c r="F52" s="9"/>
      <c r="H52" s="3" t="s">
        <v>34</v>
      </c>
      <c r="I52" s="40">
        <v>4246586.5847602701</v>
      </c>
      <c r="J52" s="27">
        <f>I52*25</f>
        <v>106164664.61900675</v>
      </c>
      <c r="K52" s="38"/>
      <c r="L52" s="9"/>
    </row>
    <row r="53" spans="2:12" ht="14.7" customHeight="1" thickBot="1" x14ac:dyDescent="0.55000000000000004">
      <c r="B53" s="16" t="s">
        <v>35</v>
      </c>
      <c r="C53" s="25">
        <v>1541634.711692838</v>
      </c>
      <c r="D53" s="28">
        <f>C53*25</f>
        <v>38540867.792320952</v>
      </c>
      <c r="F53" s="9"/>
      <c r="H53" s="16" t="s">
        <v>35</v>
      </c>
      <c r="I53" s="25">
        <v>217746.034793778</v>
      </c>
      <c r="J53" s="28">
        <f>I53*25</f>
        <v>5443650.8698444497</v>
      </c>
      <c r="K53" s="38"/>
      <c r="L53" s="9"/>
    </row>
    <row r="54" spans="2:12" ht="14.7" customHeight="1" thickBot="1" x14ac:dyDescent="0.55000000000000004">
      <c r="B54" s="8"/>
      <c r="F54" s="9"/>
      <c r="H54" s="8"/>
      <c r="I54" s="39"/>
      <c r="J54" s="10"/>
      <c r="K54" s="38"/>
      <c r="L54" s="9"/>
    </row>
    <row r="55" spans="2:12" ht="14.7" customHeight="1" thickBot="1" x14ac:dyDescent="0.55000000000000004">
      <c r="B55" s="29" t="s">
        <v>36</v>
      </c>
      <c r="C55" s="30"/>
      <c r="D55" s="31"/>
      <c r="F55" s="9"/>
      <c r="H55" s="35" t="s">
        <v>36</v>
      </c>
      <c r="I55" s="36"/>
      <c r="J55" s="37"/>
      <c r="K55" s="38"/>
      <c r="L55" s="9"/>
    </row>
    <row r="56" spans="2:12" ht="14.7" customHeight="1" thickBot="1" x14ac:dyDescent="0.55000000000000004">
      <c r="B56" s="11" t="s">
        <v>31</v>
      </c>
      <c r="C56" s="12" t="s">
        <v>32</v>
      </c>
      <c r="D56" s="13" t="s">
        <v>33</v>
      </c>
      <c r="F56" s="9"/>
      <c r="H56" s="24" t="s">
        <v>31</v>
      </c>
      <c r="I56" s="20">
        <v>1153393.8872188299</v>
      </c>
      <c r="J56" s="21" t="s">
        <v>33</v>
      </c>
      <c r="K56" s="38"/>
      <c r="L56" s="9"/>
    </row>
    <row r="57" spans="2:12" ht="14.7" customHeight="1" thickBot="1" x14ac:dyDescent="0.55000000000000004">
      <c r="B57" s="23" t="s">
        <v>34</v>
      </c>
      <c r="C57">
        <v>887513.34526225599</v>
      </c>
      <c r="D57" s="9">
        <f>C57*25</f>
        <v>22187833.631556399</v>
      </c>
      <c r="F57" s="9"/>
      <c r="H57" s="16" t="s">
        <v>34</v>
      </c>
      <c r="I57" s="14">
        <v>82478.67611682869</v>
      </c>
      <c r="J57" s="15">
        <f>I57*25</f>
        <v>2061966.9029207174</v>
      </c>
      <c r="K57" s="38"/>
      <c r="L57" s="9"/>
    </row>
    <row r="58" spans="2:12" ht="14.7" customHeight="1" thickBot="1" x14ac:dyDescent="0.55000000000000004">
      <c r="B58" s="16" t="s">
        <v>35</v>
      </c>
      <c r="C58" s="12">
        <v>679560.15396017104</v>
      </c>
      <c r="D58" s="13">
        <f>C58*25</f>
        <v>16989003.849004276</v>
      </c>
      <c r="F58" s="9"/>
      <c r="H58" s="8" t="s">
        <v>35</v>
      </c>
      <c r="I58" s="12">
        <v>217746.034793778</v>
      </c>
      <c r="J58" s="38">
        <f>I58*25</f>
        <v>5443650.8698444497</v>
      </c>
      <c r="K58" s="38"/>
      <c r="L58" s="9"/>
    </row>
    <row r="59" spans="2:12" ht="14.7" customHeight="1" thickBot="1" x14ac:dyDescent="0.55000000000000004">
      <c r="B59" s="8"/>
      <c r="F59" s="9"/>
      <c r="H59" s="8"/>
      <c r="I59" s="38"/>
      <c r="J59" s="38"/>
      <c r="K59" s="38"/>
      <c r="L59" s="9"/>
    </row>
    <row r="60" spans="2:12" ht="14.7" customHeight="1" thickBot="1" x14ac:dyDescent="0.55000000000000004">
      <c r="B60" s="29" t="s">
        <v>37</v>
      </c>
      <c r="C60" s="31"/>
      <c r="F60" s="9"/>
      <c r="H60" s="29" t="s">
        <v>38</v>
      </c>
      <c r="I60" s="31"/>
      <c r="J60" s="38"/>
      <c r="K60" s="38"/>
      <c r="L60" s="9"/>
    </row>
    <row r="61" spans="2:12" ht="14.7" customHeight="1" thickBot="1" x14ac:dyDescent="0.55000000000000004">
      <c r="B61" s="24" t="s">
        <v>39</v>
      </c>
      <c r="C61" s="13">
        <v>358108.62395815802</v>
      </c>
      <c r="F61" s="9"/>
      <c r="H61" s="24" t="s">
        <v>39</v>
      </c>
      <c r="I61" s="13">
        <v>32040</v>
      </c>
      <c r="J61" s="38"/>
      <c r="K61" s="38"/>
      <c r="L61" s="9"/>
    </row>
    <row r="62" spans="2:12" ht="14.7" customHeight="1" thickBot="1" x14ac:dyDescent="0.55000000000000004">
      <c r="B62" s="8"/>
      <c r="F62" s="9"/>
      <c r="H62" s="8"/>
      <c r="I62" s="38"/>
      <c r="J62" s="38"/>
      <c r="K62" s="38"/>
      <c r="L62" s="9"/>
    </row>
    <row r="63" spans="2:12" ht="14.7" customHeight="1" thickBot="1" x14ac:dyDescent="0.55000000000000004">
      <c r="B63" s="29" t="s">
        <v>40</v>
      </c>
      <c r="C63" s="31"/>
      <c r="F63" s="9"/>
      <c r="H63" s="29" t="s">
        <v>40</v>
      </c>
      <c r="I63" s="31"/>
      <c r="J63" s="38"/>
      <c r="K63" s="38"/>
      <c r="L63" s="9"/>
    </row>
    <row r="64" spans="2:12" ht="14.7" customHeight="1" thickBot="1" x14ac:dyDescent="0.55000000000000004">
      <c r="B64" s="29">
        <f>E23/B70</f>
        <v>1.0021739964341019</v>
      </c>
      <c r="C64" s="31"/>
      <c r="F64" s="9"/>
      <c r="H64" s="29">
        <f>K23/B70</f>
        <v>1.0039766883766588</v>
      </c>
      <c r="I64" s="31"/>
      <c r="J64" s="38"/>
      <c r="K64" s="38"/>
      <c r="L64" s="9"/>
    </row>
    <row r="65" spans="2:12" x14ac:dyDescent="0.5">
      <c r="B65" s="8"/>
      <c r="F65" s="9"/>
      <c r="H65" s="8"/>
      <c r="I65" s="38"/>
      <c r="J65" s="38"/>
      <c r="K65" s="38"/>
      <c r="L65" s="9"/>
    </row>
    <row r="66" spans="2:12" ht="14.7" customHeight="1" thickBot="1" x14ac:dyDescent="0.55000000000000004">
      <c r="B66" s="11"/>
      <c r="C66" s="12"/>
      <c r="D66" s="12"/>
      <c r="E66" s="12"/>
      <c r="F66" s="13"/>
      <c r="G66" s="12"/>
      <c r="H66" s="11"/>
      <c r="I66" s="12"/>
      <c r="J66" s="12"/>
      <c r="K66" s="12"/>
      <c r="L66" s="13"/>
    </row>
    <row r="67" spans="2:12" ht="14.7" customHeight="1" thickBot="1" x14ac:dyDescent="0.55000000000000004">
      <c r="B67" s="11"/>
      <c r="C67" s="12"/>
      <c r="L67" s="9"/>
    </row>
    <row r="68" spans="2:12" ht="14.7" customHeight="1" thickBot="1" x14ac:dyDescent="0.55000000000000004">
      <c r="B68" s="32" t="s">
        <v>41</v>
      </c>
      <c r="C68" s="33"/>
      <c r="L68" s="9"/>
    </row>
    <row r="69" spans="2:12" ht="14.7" customHeight="1" thickBot="1" x14ac:dyDescent="0.55000000000000004">
      <c r="B69" s="17" t="s">
        <v>42</v>
      </c>
      <c r="C69" s="19" t="s">
        <v>43</v>
      </c>
      <c r="L69" s="9"/>
    </row>
    <row r="70" spans="2:12" ht="14.7" customHeight="1" thickBot="1" x14ac:dyDescent="0.55000000000000004">
      <c r="B70" s="11">
        <f>C108</f>
        <v>4046824.2656828682</v>
      </c>
      <c r="C70" s="13">
        <f>D108</f>
        <v>101170606.64207171</v>
      </c>
      <c r="D70" s="12"/>
      <c r="E70" s="12"/>
      <c r="F70" s="12"/>
      <c r="G70" s="12"/>
      <c r="H70" s="12"/>
      <c r="I70" s="12"/>
      <c r="J70" s="12"/>
      <c r="K70" s="12"/>
      <c r="L70" s="13"/>
    </row>
    <row r="71" spans="2:12" ht="14.7" customHeight="1" thickBot="1" x14ac:dyDescent="0.55000000000000004"/>
    <row r="72" spans="2:12" ht="14.7" customHeight="1" thickBot="1" x14ac:dyDescent="0.55000000000000004">
      <c r="B72" s="29" t="s">
        <v>44</v>
      </c>
      <c r="C72" s="30"/>
      <c r="D72" s="30"/>
      <c r="E72" s="30"/>
      <c r="F72" s="31"/>
    </row>
    <row r="73" spans="2:12" ht="14.7" customHeight="1" thickBot="1" x14ac:dyDescent="0.55000000000000004">
      <c r="B73" s="29" t="s">
        <v>45</v>
      </c>
      <c r="C73" s="30"/>
      <c r="D73" s="30"/>
      <c r="E73" s="30"/>
      <c r="F73" s="31"/>
    </row>
    <row r="74" spans="2:12" ht="14.7" customHeight="1" thickBot="1" x14ac:dyDescent="0.55000000000000004">
      <c r="B74" s="24" t="s">
        <v>46</v>
      </c>
      <c r="C74" s="18" t="s">
        <v>4</v>
      </c>
      <c r="D74" s="18" t="s">
        <v>5</v>
      </c>
      <c r="E74" s="18" t="s">
        <v>6</v>
      </c>
      <c r="F74" s="19" t="s">
        <v>7</v>
      </c>
    </row>
    <row r="75" spans="2:12" x14ac:dyDescent="0.5">
      <c r="B75" s="23" t="s">
        <v>9</v>
      </c>
      <c r="C75">
        <v>25542.884627722651</v>
      </c>
      <c r="D75">
        <v>59600</v>
      </c>
      <c r="E75">
        <f>C75+D75</f>
        <v>85142.884627722655</v>
      </c>
      <c r="F75" s="9">
        <f>E75*25</f>
        <v>2128572.1156930663</v>
      </c>
    </row>
    <row r="76" spans="2:12" x14ac:dyDescent="0.5">
      <c r="B76" s="3" t="s">
        <v>10</v>
      </c>
      <c r="C76">
        <v>0</v>
      </c>
      <c r="D76">
        <v>0</v>
      </c>
      <c r="E76">
        <f>C76+D76</f>
        <v>0</v>
      </c>
      <c r="F76" s="9">
        <f>E76*25</f>
        <v>0</v>
      </c>
    </row>
    <row r="77" spans="2:12" x14ac:dyDescent="0.5">
      <c r="B77" s="3" t="s">
        <v>14</v>
      </c>
      <c r="C77">
        <v>0</v>
      </c>
      <c r="D77">
        <v>0</v>
      </c>
      <c r="E77">
        <f>C77+D77</f>
        <v>0</v>
      </c>
      <c r="F77" s="9">
        <f>E77*25</f>
        <v>0</v>
      </c>
    </row>
    <row r="78" spans="2:12" x14ac:dyDescent="0.5">
      <c r="B78" s="3" t="s">
        <v>47</v>
      </c>
      <c r="C78">
        <v>0</v>
      </c>
      <c r="D78">
        <v>0</v>
      </c>
      <c r="E78">
        <f>C78+D78</f>
        <v>0</v>
      </c>
      <c r="F78" s="9">
        <f>E78*25</f>
        <v>0</v>
      </c>
    </row>
    <row r="79" spans="2:12" ht="14.7" customHeight="1" thickBot="1" x14ac:dyDescent="0.55000000000000004">
      <c r="B79" s="16" t="s">
        <v>48</v>
      </c>
      <c r="C79" s="12"/>
      <c r="D79" s="12"/>
      <c r="E79">
        <f>C79+D79</f>
        <v>0</v>
      </c>
      <c r="F79" s="9">
        <f>E79*25</f>
        <v>0</v>
      </c>
    </row>
    <row r="80" spans="2:12" ht="14.7" customHeight="1" thickBot="1" x14ac:dyDescent="0.55000000000000004">
      <c r="B80" s="17" t="s">
        <v>49</v>
      </c>
      <c r="C80" s="18" t="s">
        <v>4</v>
      </c>
      <c r="D80" s="18" t="s">
        <v>5</v>
      </c>
      <c r="E80" s="18" t="s">
        <v>6</v>
      </c>
      <c r="F80" s="19" t="s">
        <v>7</v>
      </c>
    </row>
    <row r="81" spans="2:6" x14ac:dyDescent="0.5">
      <c r="B81" s="23" t="s">
        <v>18</v>
      </c>
      <c r="C81">
        <v>33855.952387496458</v>
      </c>
      <c r="D81">
        <v>42191.999999999993</v>
      </c>
      <c r="E81">
        <f>C81+D81</f>
        <v>76047.952387496451</v>
      </c>
      <c r="F81" s="9">
        <f>E81*25</f>
        <v>1901198.8096874112</v>
      </c>
    </row>
    <row r="82" spans="2:6" ht="14.7" customHeight="1" thickBot="1" x14ac:dyDescent="0.55000000000000004">
      <c r="B82" s="16" t="s">
        <v>50</v>
      </c>
      <c r="C82" s="12"/>
      <c r="D82" s="12"/>
      <c r="E82">
        <f>C82+D82</f>
        <v>0</v>
      </c>
      <c r="F82" s="9">
        <f>E82*25</f>
        <v>0</v>
      </c>
    </row>
    <row r="83" spans="2:6" ht="14.7" customHeight="1" thickBot="1" x14ac:dyDescent="0.55000000000000004">
      <c r="B83" s="17"/>
      <c r="C83" s="18" t="s">
        <v>4</v>
      </c>
      <c r="D83" s="18" t="s">
        <v>5</v>
      </c>
      <c r="E83" s="18" t="s">
        <v>6</v>
      </c>
      <c r="F83" s="19" t="s">
        <v>7</v>
      </c>
    </row>
    <row r="84" spans="2:6" ht="14.7" customHeight="1" thickBot="1" x14ac:dyDescent="0.55000000000000004">
      <c r="B84" s="24" t="s">
        <v>22</v>
      </c>
      <c r="C84" s="12">
        <v>59398.837015219113</v>
      </c>
      <c r="D84" s="12">
        <v>3338785.9928492638</v>
      </c>
      <c r="E84" s="12">
        <v>3398184.8298644829</v>
      </c>
      <c r="F84" s="13">
        <f>E84*25</f>
        <v>84954620.746612072</v>
      </c>
    </row>
    <row r="85" spans="2:6" ht="14.7" customHeight="1" thickBot="1" x14ac:dyDescent="0.55000000000000004">
      <c r="B85" s="8"/>
      <c r="F85" s="9"/>
    </row>
    <row r="86" spans="2:6" ht="14.7" customHeight="1" thickBot="1" x14ac:dyDescent="0.55000000000000004">
      <c r="B86" s="29" t="s">
        <v>46</v>
      </c>
      <c r="C86" s="30"/>
      <c r="D86" s="31"/>
      <c r="F86" s="9"/>
    </row>
    <row r="87" spans="2:6" ht="14.7" customHeight="1" thickBot="1" x14ac:dyDescent="0.55000000000000004">
      <c r="B87" s="24" t="s">
        <v>23</v>
      </c>
      <c r="C87" s="18" t="s">
        <v>24</v>
      </c>
      <c r="D87" s="19" t="s">
        <v>25</v>
      </c>
      <c r="F87" s="9"/>
    </row>
    <row r="88" spans="2:6" x14ac:dyDescent="0.5">
      <c r="B88" s="23" t="s">
        <v>9</v>
      </c>
      <c r="C88">
        <v>4</v>
      </c>
      <c r="D88" s="9">
        <v>400</v>
      </c>
      <c r="F88" s="9"/>
    </row>
    <row r="89" spans="2:6" x14ac:dyDescent="0.5">
      <c r="B89" s="3" t="s">
        <v>10</v>
      </c>
      <c r="C89">
        <v>0</v>
      </c>
      <c r="D89" s="9">
        <v>0</v>
      </c>
      <c r="F89" s="9"/>
    </row>
    <row r="90" spans="2:6" x14ac:dyDescent="0.5">
      <c r="B90" s="3" t="s">
        <v>14</v>
      </c>
      <c r="C90">
        <v>0</v>
      </c>
      <c r="D90" s="9">
        <v>0</v>
      </c>
      <c r="F90" s="9"/>
    </row>
    <row r="91" spans="2:6" x14ac:dyDescent="0.5">
      <c r="B91" s="3" t="s">
        <v>47</v>
      </c>
      <c r="C91">
        <v>0</v>
      </c>
      <c r="D91" s="9">
        <v>0</v>
      </c>
      <c r="F91" s="9"/>
    </row>
    <row r="92" spans="2:6" ht="14.7" customHeight="1" thickBot="1" x14ac:dyDescent="0.55000000000000004">
      <c r="B92" s="16" t="s">
        <v>26</v>
      </c>
      <c r="C92" s="12">
        <v>4</v>
      </c>
      <c r="D92" s="13">
        <v>400</v>
      </c>
      <c r="F92" s="9"/>
    </row>
    <row r="93" spans="2:6" ht="14.7" customHeight="1" thickBot="1" x14ac:dyDescent="0.55000000000000004">
      <c r="B93" s="8"/>
      <c r="F93" s="9"/>
    </row>
    <row r="94" spans="2:6" ht="14.7" customHeight="1" thickBot="1" x14ac:dyDescent="0.55000000000000004">
      <c r="B94" s="29" t="s">
        <v>51</v>
      </c>
      <c r="C94" s="30"/>
      <c r="D94" s="31"/>
      <c r="F94" s="9"/>
    </row>
    <row r="95" spans="2:6" ht="14.7" customHeight="1" thickBot="1" x14ac:dyDescent="0.55000000000000004">
      <c r="B95" s="17" t="s">
        <v>23</v>
      </c>
      <c r="C95" s="18" t="s">
        <v>24</v>
      </c>
      <c r="D95" s="19" t="s">
        <v>25</v>
      </c>
      <c r="F95" s="9"/>
    </row>
    <row r="96" spans="2:6" ht="14.7" customHeight="1" thickBot="1" x14ac:dyDescent="0.55000000000000004">
      <c r="B96" s="24" t="s">
        <v>18</v>
      </c>
      <c r="C96" s="12">
        <v>150</v>
      </c>
      <c r="D96" s="13">
        <v>2637</v>
      </c>
      <c r="F96" s="9"/>
    </row>
    <row r="97" spans="2:6" ht="14.7" customHeight="1" thickBot="1" x14ac:dyDescent="0.55000000000000004">
      <c r="B97" s="8"/>
      <c r="F97" s="9"/>
    </row>
    <row r="98" spans="2:6" ht="14.7" customHeight="1" thickBot="1" x14ac:dyDescent="0.55000000000000004">
      <c r="B98" s="29" t="s">
        <v>52</v>
      </c>
      <c r="C98" s="30"/>
      <c r="D98" s="31"/>
      <c r="F98" s="9"/>
    </row>
    <row r="99" spans="2:6" ht="14.7" customHeight="1" thickBot="1" x14ac:dyDescent="0.55000000000000004">
      <c r="B99" s="17" t="s">
        <v>53</v>
      </c>
      <c r="C99" s="18" t="s">
        <v>54</v>
      </c>
      <c r="D99" s="19" t="s">
        <v>55</v>
      </c>
      <c r="F99" s="9"/>
    </row>
    <row r="100" spans="2:6" x14ac:dyDescent="0.5">
      <c r="B100" s="23" t="s">
        <v>56</v>
      </c>
      <c r="C100">
        <v>618421.05263157724</v>
      </c>
      <c r="D100" s="9">
        <f>C100*25</f>
        <v>15460526.315789431</v>
      </c>
      <c r="F100" s="9"/>
    </row>
    <row r="101" spans="2:6" x14ac:dyDescent="0.5">
      <c r="B101" s="3" t="s">
        <v>57</v>
      </c>
      <c r="C101">
        <v>932977.93747111352</v>
      </c>
      <c r="D101" s="9">
        <f>C101*25</f>
        <v>23324448.436777838</v>
      </c>
      <c r="F101" s="9"/>
    </row>
    <row r="102" spans="2:6" ht="14.7" customHeight="1" thickBot="1" x14ac:dyDescent="0.55000000000000004">
      <c r="B102" s="16" t="s">
        <v>26</v>
      </c>
      <c r="C102" s="12">
        <f>C100+C101</f>
        <v>1551398.9901026906</v>
      </c>
      <c r="D102" s="13">
        <f>C102*25</f>
        <v>38784974.752567269</v>
      </c>
      <c r="F102" s="9"/>
    </row>
    <row r="103" spans="2:6" ht="14.7" customHeight="1" thickBot="1" x14ac:dyDescent="0.55000000000000004">
      <c r="B103" s="8"/>
      <c r="F103" s="9"/>
    </row>
    <row r="104" spans="2:6" ht="14.7" customHeight="1" thickBot="1" x14ac:dyDescent="0.55000000000000004">
      <c r="B104" s="29" t="s">
        <v>58</v>
      </c>
      <c r="C104" s="30"/>
      <c r="D104" s="31"/>
      <c r="F104" s="9"/>
    </row>
    <row r="105" spans="2:6" ht="14.7" customHeight="1" thickBot="1" x14ac:dyDescent="0.55000000000000004">
      <c r="B105" s="17" t="s">
        <v>53</v>
      </c>
      <c r="C105" s="18" t="s">
        <v>59</v>
      </c>
      <c r="D105" s="22" t="s">
        <v>60</v>
      </c>
      <c r="F105" s="9"/>
    </row>
    <row r="106" spans="2:6" x14ac:dyDescent="0.5">
      <c r="B106" s="23" t="s">
        <v>56</v>
      </c>
      <c r="C106">
        <f>2.6085*C100</f>
        <v>1613151.3157894691</v>
      </c>
      <c r="D106" s="9">
        <f>C106*25</f>
        <v>40328782.89473673</v>
      </c>
      <c r="F106" s="9"/>
    </row>
    <row r="107" spans="2:6" x14ac:dyDescent="0.5">
      <c r="B107" s="3" t="s">
        <v>57</v>
      </c>
      <c r="C107">
        <f>2.6085*C101</f>
        <v>2433672.9498933996</v>
      </c>
      <c r="D107" s="9">
        <f>C107*25</f>
        <v>60841823.747334987</v>
      </c>
      <c r="F107" s="9"/>
    </row>
    <row r="108" spans="2:6" ht="14.7" customHeight="1" thickBot="1" x14ac:dyDescent="0.55000000000000004">
      <c r="B108" s="16" t="s">
        <v>26</v>
      </c>
      <c r="C108" s="12">
        <f>2.6085*C102</f>
        <v>4046824.2656828682</v>
      </c>
      <c r="D108" s="13">
        <f>C108*25</f>
        <v>101170606.64207171</v>
      </c>
      <c r="E108" s="12"/>
      <c r="F108" s="13"/>
    </row>
  </sheetData>
  <mergeCells count="30">
    <mergeCell ref="H64:I64"/>
    <mergeCell ref="H50:J50"/>
    <mergeCell ref="H55:J55"/>
    <mergeCell ref="B86:D86"/>
    <mergeCell ref="B104:D104"/>
    <mergeCell ref="B73:F73"/>
    <mergeCell ref="B36:D36"/>
    <mergeCell ref="B94:D94"/>
    <mergeCell ref="B50:D50"/>
    <mergeCell ref="B68:C68"/>
    <mergeCell ref="B64:C64"/>
    <mergeCell ref="B47:C47"/>
    <mergeCell ref="B98:D98"/>
    <mergeCell ref="B72:F72"/>
    <mergeCell ref="H33:I33"/>
    <mergeCell ref="B5:L5"/>
    <mergeCell ref="B63:C63"/>
    <mergeCell ref="B43:D43"/>
    <mergeCell ref="H25:J25"/>
    <mergeCell ref="H6:L6"/>
    <mergeCell ref="H60:I60"/>
    <mergeCell ref="B60:C60"/>
    <mergeCell ref="B55:D55"/>
    <mergeCell ref="H47:I47"/>
    <mergeCell ref="B25:D25"/>
    <mergeCell ref="H43:J43"/>
    <mergeCell ref="B6:F6"/>
    <mergeCell ref="B33:C33"/>
    <mergeCell ref="H36:J36"/>
    <mergeCell ref="H63:I63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B4:N108"/>
  <sheetViews>
    <sheetView tabSelected="1" topLeftCell="A15" zoomScale="70" zoomScaleNormal="70" workbookViewId="0">
      <selection activeCell="M29" sqref="M29"/>
    </sheetView>
  </sheetViews>
  <sheetFormatPr defaultColWidth="39.234375" defaultRowHeight="14.35" x14ac:dyDescent="0.5"/>
  <cols>
    <col min="1" max="1" width="13.52734375" customWidth="1"/>
    <col min="2" max="2" width="15.234375" bestFit="1" customWidth="1"/>
    <col min="3" max="3" width="17.64453125" bestFit="1" customWidth="1"/>
    <col min="4" max="4" width="18.64453125" bestFit="1" customWidth="1"/>
    <col min="5" max="5" width="13.5859375" bestFit="1" customWidth="1"/>
    <col min="6" max="6" width="14.5859375" bestFit="1" customWidth="1"/>
    <col min="7" max="7" width="12.46875" customWidth="1"/>
    <col min="8" max="8" width="15.234375" bestFit="1" customWidth="1"/>
    <col min="9" max="9" width="15.703125" bestFit="1" customWidth="1"/>
    <col min="10" max="10" width="18" bestFit="1" customWidth="1"/>
    <col min="11" max="11" width="12.46875" bestFit="1" customWidth="1"/>
    <col min="12" max="12" width="14.5859375" bestFit="1" customWidth="1"/>
    <col min="13" max="13" width="13.41015625" bestFit="1" customWidth="1"/>
    <col min="14" max="14" width="12.3515625" bestFit="1" customWidth="1"/>
    <col min="15" max="15" width="11.76171875" bestFit="1" customWidth="1"/>
  </cols>
  <sheetData>
    <row r="4" spans="2:14" ht="14.7" customHeight="1" thickBot="1" x14ac:dyDescent="0.55000000000000004"/>
    <row r="5" spans="2:14" ht="14.7" customHeight="1" thickBot="1" x14ac:dyDescent="0.55000000000000004">
      <c r="B5" s="29" t="s">
        <v>0</v>
      </c>
      <c r="C5" s="30"/>
      <c r="D5" s="30"/>
      <c r="E5" s="30"/>
      <c r="F5" s="30"/>
      <c r="G5" s="30"/>
      <c r="H5" s="30"/>
      <c r="I5" s="30"/>
      <c r="J5" s="30"/>
      <c r="K5" s="30"/>
      <c r="L5" s="31"/>
    </row>
    <row r="6" spans="2:14" ht="14.7" customHeight="1" thickBot="1" x14ac:dyDescent="0.55000000000000004">
      <c r="B6" s="29" t="s">
        <v>1</v>
      </c>
      <c r="C6" s="30"/>
      <c r="D6" s="30"/>
      <c r="E6" s="30"/>
      <c r="F6" s="31"/>
      <c r="H6" s="29" t="s">
        <v>2</v>
      </c>
      <c r="I6" s="30"/>
      <c r="J6" s="30"/>
      <c r="K6" s="30"/>
      <c r="L6" s="31"/>
    </row>
    <row r="7" spans="2:14" ht="14.7" customHeight="1" thickBot="1" x14ac:dyDescent="0.55000000000000004">
      <c r="B7" s="24" t="s">
        <v>3</v>
      </c>
      <c r="C7" s="18" t="s">
        <v>4</v>
      </c>
      <c r="D7" s="18" t="s">
        <v>5</v>
      </c>
      <c r="E7" s="18" t="s">
        <v>6</v>
      </c>
      <c r="F7" s="19" t="s">
        <v>7</v>
      </c>
      <c r="H7" s="24" t="s">
        <v>3</v>
      </c>
      <c r="I7" s="18" t="s">
        <v>4</v>
      </c>
      <c r="J7" s="18" t="s">
        <v>5</v>
      </c>
      <c r="K7" s="18" t="s">
        <v>6</v>
      </c>
      <c r="L7" s="19" t="s">
        <v>7</v>
      </c>
    </row>
    <row r="8" spans="2:14" x14ac:dyDescent="0.5">
      <c r="B8" s="3" t="s">
        <v>8</v>
      </c>
      <c r="C8" s="6">
        <f>13698 * D27*((0.05*((1.05)^25))/((1.05^25)-1))</f>
        <v>7386491.3766448405</v>
      </c>
      <c r="D8" s="6">
        <f>29*D27</f>
        <v>220400</v>
      </c>
      <c r="E8" s="6">
        <f>C8+D8</f>
        <v>7606891.3766448405</v>
      </c>
      <c r="F8" s="10">
        <f>E8*25</f>
        <v>190172284.41612101</v>
      </c>
      <c r="H8" s="3" t="s">
        <v>9</v>
      </c>
      <c r="I8" s="39">
        <f>1615 * J27*((0.05*((1.05)^25))/((1.05^25)-1))</f>
        <v>1019835.144990477</v>
      </c>
      <c r="J8" s="39">
        <f>29*J27</f>
        <v>258100</v>
      </c>
      <c r="K8" s="39">
        <f>I8+J8</f>
        <v>1277935.144990477</v>
      </c>
      <c r="L8" s="10">
        <f>K8*25</f>
        <v>31948378.624761924</v>
      </c>
    </row>
    <row r="9" spans="2:14" x14ac:dyDescent="0.5">
      <c r="B9" s="3" t="s">
        <v>10</v>
      </c>
      <c r="C9" s="6">
        <f>13698 * D28*((0.05*((1.05)^25))/((1.05^25)-1))</f>
        <v>485953.38004242367</v>
      </c>
      <c r="D9" s="6">
        <f>29*D28</f>
        <v>14500</v>
      </c>
      <c r="E9" s="6">
        <f>C9+D9</f>
        <v>500453.38004242367</v>
      </c>
      <c r="F9" s="10">
        <f>E9*25</f>
        <v>12511334.501060592</v>
      </c>
      <c r="H9" s="3" t="s">
        <v>10</v>
      </c>
      <c r="I9" s="39">
        <f>1615 * J28*((0.05*((1.05)^25))/((1.05^25)-1))</f>
        <v>0</v>
      </c>
      <c r="J9" s="39">
        <f>29*J28</f>
        <v>0</v>
      </c>
      <c r="K9" s="39">
        <f>I9+J9</f>
        <v>0</v>
      </c>
      <c r="L9" s="10">
        <f>K9*25</f>
        <v>0</v>
      </c>
      <c r="M9" s="7"/>
      <c r="N9" s="6"/>
    </row>
    <row r="10" spans="2:14" x14ac:dyDescent="0.5">
      <c r="B10" s="3" t="s">
        <v>11</v>
      </c>
      <c r="C10" s="6">
        <f>13698 * D29*((0.05*((1.05)^25))/((1.05^25)-1))</f>
        <v>0</v>
      </c>
      <c r="D10" s="6">
        <f>29*D29</f>
        <v>0</v>
      </c>
      <c r="E10" s="6">
        <f>C10+D10</f>
        <v>0</v>
      </c>
      <c r="F10" s="10">
        <f>E10*25</f>
        <v>0</v>
      </c>
      <c r="H10" s="3" t="s">
        <v>11</v>
      </c>
      <c r="I10" s="39">
        <f>1615 * J29*((0.05*((1.05)^25))/((1.05^25)-1))</f>
        <v>0</v>
      </c>
      <c r="J10" s="39">
        <f>29*J29</f>
        <v>0</v>
      </c>
      <c r="K10" s="39">
        <f>I10+J10</f>
        <v>0</v>
      </c>
      <c r="L10" s="10">
        <f>K10*25</f>
        <v>0</v>
      </c>
      <c r="M10" s="7"/>
    </row>
    <row r="11" spans="2:14" ht="14.7" customHeight="1" thickBot="1" x14ac:dyDescent="0.55000000000000004">
      <c r="B11" s="16" t="s">
        <v>12</v>
      </c>
      <c r="C11" s="14">
        <f>13698 * D30*((0.05*((1.05)^25))/((1.05^25)-1))</f>
        <v>0</v>
      </c>
      <c r="D11" s="14">
        <f>29*D30</f>
        <v>0</v>
      </c>
      <c r="E11" s="14">
        <f>C11+D11</f>
        <v>0</v>
      </c>
      <c r="F11" s="15">
        <f>E11*25</f>
        <v>0</v>
      </c>
      <c r="H11" s="16" t="s">
        <v>12</v>
      </c>
      <c r="I11" s="14">
        <f>1615 * J30*((0.05*((1.05)^25))/((1.05^25)-1))</f>
        <v>0</v>
      </c>
      <c r="J11" s="14">
        <f>29*J30</f>
        <v>0</v>
      </c>
      <c r="K11" s="14">
        <f>I11+J11</f>
        <v>0</v>
      </c>
      <c r="L11" s="13">
        <f>K11*25</f>
        <v>0</v>
      </c>
    </row>
    <row r="12" spans="2:14" ht="14.7" customHeight="1" thickBot="1" x14ac:dyDescent="0.55000000000000004">
      <c r="B12" s="24" t="s">
        <v>13</v>
      </c>
      <c r="C12" s="18" t="s">
        <v>4</v>
      </c>
      <c r="D12" s="18" t="s">
        <v>5</v>
      </c>
      <c r="E12" s="18" t="s">
        <v>6</v>
      </c>
      <c r="F12" s="19" t="s">
        <v>7</v>
      </c>
      <c r="H12" s="24" t="s">
        <v>13</v>
      </c>
      <c r="I12" s="18" t="s">
        <v>4</v>
      </c>
      <c r="J12" s="18" t="s">
        <v>5</v>
      </c>
      <c r="K12" s="18" t="s">
        <v>6</v>
      </c>
      <c r="L12" s="19" t="s">
        <v>7</v>
      </c>
    </row>
    <row r="13" spans="2:14" x14ac:dyDescent="0.5">
      <c r="B13" s="3" t="s">
        <v>14</v>
      </c>
      <c r="C13" s="4">
        <f>2490 * D38*((0.05*((1.05)^10))/((1.05^10)-1))</f>
        <v>1612331.9583199359</v>
      </c>
      <c r="D13" s="1">
        <f>37.35*D38</f>
        <v>186750</v>
      </c>
      <c r="E13">
        <f>C13+D13</f>
        <v>1799081.9583199359</v>
      </c>
      <c r="F13" s="9">
        <f>E13*25</f>
        <v>44977048.957998395</v>
      </c>
      <c r="H13" s="3" t="s">
        <v>14</v>
      </c>
      <c r="I13" s="4">
        <f>2490 * J38*((0.05*((1.05)^10))/((1.05^10)-1))</f>
        <v>1612331.9583199359</v>
      </c>
      <c r="J13" s="1">
        <f>37.35*J38</f>
        <v>186750</v>
      </c>
      <c r="K13" s="39">
        <f>I13+J13</f>
        <v>1799081.9583199359</v>
      </c>
      <c r="L13" s="10">
        <f>K13*25</f>
        <v>44977048.957998395</v>
      </c>
    </row>
    <row r="14" spans="2:14" x14ac:dyDescent="0.5">
      <c r="B14" s="3" t="s">
        <v>15</v>
      </c>
      <c r="C14" s="4">
        <f>1570 * D39*((0.05*((1.05)^10))/((1.05^10)-1))</f>
        <v>0</v>
      </c>
      <c r="D14" s="1">
        <f>23.55*D39</f>
        <v>0</v>
      </c>
      <c r="E14">
        <f>C14+D14</f>
        <v>0</v>
      </c>
      <c r="F14" s="9">
        <f>E14*25</f>
        <v>0</v>
      </c>
      <c r="H14" s="3" t="s">
        <v>15</v>
      </c>
      <c r="I14" s="4">
        <f>1570 * J39*((0.05*((1.05)^10))/((1.05^10)-1))</f>
        <v>0</v>
      </c>
      <c r="J14" s="1">
        <f>23.55*J39</f>
        <v>0</v>
      </c>
      <c r="K14" s="38">
        <f>I14+J14</f>
        <v>0</v>
      </c>
      <c r="L14" s="10">
        <f>K14*25</f>
        <v>0</v>
      </c>
    </row>
    <row r="15" spans="2:14" ht="14.7" customHeight="1" thickBot="1" x14ac:dyDescent="0.55000000000000004">
      <c r="B15" s="16" t="s">
        <v>16</v>
      </c>
      <c r="C15" s="5">
        <f>1190 * D40*((0.05*((1.05)^10))/((1.05^10)-1))</f>
        <v>0</v>
      </c>
      <c r="D15" s="2">
        <f>17.85*D40</f>
        <v>0</v>
      </c>
      <c r="E15" s="12">
        <f>C15+D15</f>
        <v>0</v>
      </c>
      <c r="F15" s="13">
        <f>E15*25</f>
        <v>0</v>
      </c>
      <c r="H15" s="16" t="s">
        <v>16</v>
      </c>
      <c r="I15" s="5">
        <f>1190 * J40*((0.05*((1.05)^10))/((1.05^10)-1))</f>
        <v>0</v>
      </c>
      <c r="J15" s="2">
        <f>17.85*J40</f>
        <v>0</v>
      </c>
      <c r="K15" s="12">
        <f>I15+J15</f>
        <v>0</v>
      </c>
      <c r="L15" s="15">
        <f>K15*25</f>
        <v>0</v>
      </c>
    </row>
    <row r="16" spans="2:14" ht="14.7" customHeight="1" thickBot="1" x14ac:dyDescent="0.55000000000000004">
      <c r="B16" s="24" t="s">
        <v>17</v>
      </c>
      <c r="C16" s="18" t="s">
        <v>4</v>
      </c>
      <c r="D16" s="18" t="s">
        <v>5</v>
      </c>
      <c r="E16" s="18" t="s">
        <v>6</v>
      </c>
      <c r="F16" s="19" t="s">
        <v>7</v>
      </c>
      <c r="H16" s="24" t="s">
        <v>17</v>
      </c>
      <c r="I16" s="18" t="s">
        <v>4</v>
      </c>
      <c r="J16" s="18" t="s">
        <v>5</v>
      </c>
      <c r="K16" s="18" t="s">
        <v>6</v>
      </c>
      <c r="L16" s="19" t="s">
        <v>7</v>
      </c>
    </row>
    <row r="17" spans="2:14" ht="14.7" customHeight="1" thickBot="1" x14ac:dyDescent="0.55000000000000004">
      <c r="B17" s="16" t="s">
        <v>18</v>
      </c>
      <c r="C17" s="12">
        <v>73805.976204742299</v>
      </c>
      <c r="D17" s="12">
        <v>91978.559999999998</v>
      </c>
      <c r="E17" s="12">
        <f>D17+C17</f>
        <v>165784.5362047423</v>
      </c>
      <c r="F17" s="13">
        <f>E17*25</f>
        <v>4144613.4051185576</v>
      </c>
      <c r="H17" s="16" t="s">
        <v>18</v>
      </c>
      <c r="I17" s="12">
        <v>73805.976204742299</v>
      </c>
      <c r="J17" s="12">
        <v>91978.559999999998</v>
      </c>
      <c r="K17" s="12">
        <f>J17+I17</f>
        <v>165784.5362047423</v>
      </c>
      <c r="L17" s="15">
        <f>K17*25</f>
        <v>4144613.4051185576</v>
      </c>
    </row>
    <row r="18" spans="2:14" ht="14.7" customHeight="1" thickBot="1" x14ac:dyDescent="0.55000000000000004">
      <c r="B18" s="24" t="s">
        <v>19</v>
      </c>
      <c r="C18" s="18" t="s">
        <v>4</v>
      </c>
      <c r="D18" s="18" t="s">
        <v>5</v>
      </c>
      <c r="E18" s="18" t="s">
        <v>6</v>
      </c>
      <c r="F18" s="19" t="s">
        <v>7</v>
      </c>
      <c r="H18" s="24" t="s">
        <v>20</v>
      </c>
      <c r="I18" s="18" t="s">
        <v>4</v>
      </c>
      <c r="J18" s="18" t="s">
        <v>5</v>
      </c>
      <c r="K18" s="18" t="s">
        <v>6</v>
      </c>
      <c r="L18" s="19" t="s">
        <v>7</v>
      </c>
    </row>
    <row r="19" spans="2:14" ht="14.7" customHeight="1" thickBot="1" x14ac:dyDescent="0.55000000000000004">
      <c r="B19" s="11"/>
      <c r="C19" s="12">
        <f>C48*300*((0.05*((1.05)^20))/((1.05^20)-1))</f>
        <v>971336.51794331835</v>
      </c>
      <c r="D19" s="12">
        <v>0</v>
      </c>
      <c r="E19" s="12">
        <f>D19+C19</f>
        <v>971336.51794331835</v>
      </c>
      <c r="F19" s="13">
        <f>E19*25</f>
        <v>24283412.948582958</v>
      </c>
      <c r="H19" s="11"/>
      <c r="I19" s="14">
        <f>(I48/10)*3000*((0.05*((1.05)^20))/((1.05^20)-1))</f>
        <v>467974.76849611173</v>
      </c>
      <c r="J19" s="12">
        <v>0</v>
      </c>
      <c r="K19" s="12">
        <f>J19+I19</f>
        <v>467974.76849611173</v>
      </c>
      <c r="L19" s="15">
        <f>K19*25</f>
        <v>11699369.212402793</v>
      </c>
    </row>
    <row r="20" spans="2:14" ht="14.7" customHeight="1" thickBot="1" x14ac:dyDescent="0.55000000000000004">
      <c r="B20" s="24" t="s">
        <v>21</v>
      </c>
      <c r="C20" s="18" t="s">
        <v>4</v>
      </c>
      <c r="D20" s="18" t="s">
        <v>5</v>
      </c>
      <c r="E20" s="18" t="s">
        <v>6</v>
      </c>
      <c r="F20" s="19" t="s">
        <v>7</v>
      </c>
      <c r="H20" s="24" t="s">
        <v>21</v>
      </c>
      <c r="I20" s="18" t="s">
        <v>4</v>
      </c>
      <c r="J20" s="18" t="s">
        <v>5</v>
      </c>
      <c r="K20" s="18" t="s">
        <v>6</v>
      </c>
      <c r="L20" s="19" t="s">
        <v>7</v>
      </c>
    </row>
    <row r="21" spans="2:14" ht="14.7" customHeight="1" thickBot="1" x14ac:dyDescent="0.55000000000000004">
      <c r="B21" s="11"/>
      <c r="C21" s="12">
        <v>0</v>
      </c>
      <c r="D21" s="12">
        <v>0</v>
      </c>
      <c r="E21" s="12">
        <f>C21+D21</f>
        <v>0</v>
      </c>
      <c r="F21" s="13">
        <f>E21*25</f>
        <v>0</v>
      </c>
      <c r="H21" s="11"/>
      <c r="I21" s="12">
        <v>271.70140022768072</v>
      </c>
      <c r="J21" s="12">
        <v>38</v>
      </c>
      <c r="K21" s="12">
        <f>J21+I21</f>
        <v>309.70140022768072</v>
      </c>
      <c r="L21" s="13">
        <f>K21*25</f>
        <v>7742.5350056920179</v>
      </c>
    </row>
    <row r="22" spans="2:14" ht="14.7" customHeight="1" thickBot="1" x14ac:dyDescent="0.55000000000000004">
      <c r="B22" s="17"/>
      <c r="C22" s="18" t="s">
        <v>4</v>
      </c>
      <c r="D22" s="18" t="s">
        <v>5</v>
      </c>
      <c r="E22" s="18" t="s">
        <v>6</v>
      </c>
      <c r="F22" s="19" t="s">
        <v>7</v>
      </c>
      <c r="H22" s="17"/>
      <c r="I22" s="18" t="s">
        <v>4</v>
      </c>
      <c r="J22" s="18" t="s">
        <v>5</v>
      </c>
      <c r="K22" s="18" t="s">
        <v>6</v>
      </c>
      <c r="L22" s="19" t="s">
        <v>7</v>
      </c>
    </row>
    <row r="23" spans="2:14" ht="14.7" customHeight="1" thickBot="1" x14ac:dyDescent="0.55000000000000004">
      <c r="B23" s="24" t="s">
        <v>22</v>
      </c>
      <c r="C23" s="12">
        <v>10452886.32545219</v>
      </c>
      <c r="D23" s="12">
        <v>513628.56</v>
      </c>
      <c r="E23" s="25">
        <v>10966514.88545219</v>
      </c>
      <c r="F23" s="13">
        <f>D23*25</f>
        <v>12840714</v>
      </c>
      <c r="H23" s="24" t="s">
        <v>22</v>
      </c>
      <c r="I23" s="14">
        <v>3174219.5494114929</v>
      </c>
      <c r="J23" s="14">
        <v>536866.56000000006</v>
      </c>
      <c r="K23" s="14">
        <v>4062917.2247025901</v>
      </c>
      <c r="L23" s="15">
        <f>K23*25</f>
        <v>101572930.61756475</v>
      </c>
      <c r="M23" s="6"/>
    </row>
    <row r="24" spans="2:14" ht="14.7" customHeight="1" thickBot="1" x14ac:dyDescent="0.55000000000000004">
      <c r="B24" s="8"/>
      <c r="F24" s="9"/>
      <c r="H24" s="8"/>
      <c r="I24" s="39"/>
      <c r="J24" s="39"/>
      <c r="K24" s="39"/>
      <c r="L24" s="10"/>
      <c r="M24" s="6"/>
      <c r="N24" s="7"/>
    </row>
    <row r="25" spans="2:14" ht="14.7" customHeight="1" thickBot="1" x14ac:dyDescent="0.55000000000000004">
      <c r="B25" s="29" t="s">
        <v>3</v>
      </c>
      <c r="C25" s="30"/>
      <c r="D25" s="31"/>
      <c r="F25" s="9"/>
      <c r="H25" s="29" t="s">
        <v>3</v>
      </c>
      <c r="I25" s="30"/>
      <c r="J25" s="31"/>
      <c r="K25" s="38"/>
      <c r="L25" s="10"/>
      <c r="M25" s="6"/>
    </row>
    <row r="26" spans="2:14" ht="14.7" customHeight="1" thickBot="1" x14ac:dyDescent="0.55000000000000004">
      <c r="B26" s="17" t="s">
        <v>23</v>
      </c>
      <c r="C26" s="18" t="s">
        <v>24</v>
      </c>
      <c r="D26" s="19" t="s">
        <v>25</v>
      </c>
      <c r="F26" s="9"/>
      <c r="H26" s="17" t="s">
        <v>23</v>
      </c>
      <c r="I26" s="18" t="s">
        <v>24</v>
      </c>
      <c r="J26" s="19" t="s">
        <v>25</v>
      </c>
      <c r="K26" s="38"/>
      <c r="L26" s="10"/>
      <c r="M26" s="6"/>
    </row>
    <row r="27" spans="2:14" x14ac:dyDescent="0.5">
      <c r="B27" s="23" t="s">
        <v>9</v>
      </c>
      <c r="C27">
        <v>76</v>
      </c>
      <c r="D27" s="9">
        <v>7600</v>
      </c>
      <c r="F27" s="9"/>
      <c r="H27" s="8" t="s">
        <v>9</v>
      </c>
      <c r="I27" s="38">
        <v>89</v>
      </c>
      <c r="J27" s="9">
        <v>8900</v>
      </c>
      <c r="K27" s="38"/>
      <c r="L27" s="9"/>
    </row>
    <row r="28" spans="2:14" x14ac:dyDescent="0.5">
      <c r="B28" s="3" t="s">
        <v>10</v>
      </c>
      <c r="C28">
        <v>1</v>
      </c>
      <c r="D28" s="9">
        <v>500</v>
      </c>
      <c r="F28" s="9"/>
      <c r="H28" s="8" t="s">
        <v>10</v>
      </c>
      <c r="I28" s="38">
        <v>0</v>
      </c>
      <c r="J28" s="9">
        <v>0</v>
      </c>
      <c r="K28" s="38"/>
      <c r="L28" s="9"/>
    </row>
    <row r="29" spans="2:14" x14ac:dyDescent="0.5">
      <c r="B29" s="3" t="s">
        <v>11</v>
      </c>
      <c r="C29">
        <v>0</v>
      </c>
      <c r="D29" s="9">
        <v>0</v>
      </c>
      <c r="F29" s="9"/>
      <c r="H29" s="8" t="s">
        <v>11</v>
      </c>
      <c r="I29" s="38">
        <v>0</v>
      </c>
      <c r="J29" s="9">
        <v>0</v>
      </c>
      <c r="K29" s="38"/>
      <c r="L29" s="9"/>
    </row>
    <row r="30" spans="2:14" x14ac:dyDescent="0.5">
      <c r="B30" s="3" t="s">
        <v>12</v>
      </c>
      <c r="C30">
        <v>0</v>
      </c>
      <c r="D30" s="9">
        <v>0</v>
      </c>
      <c r="F30" s="9"/>
      <c r="H30" s="8" t="s">
        <v>12</v>
      </c>
      <c r="I30" s="38">
        <v>0</v>
      </c>
      <c r="J30" s="9">
        <v>0</v>
      </c>
      <c r="K30" s="38"/>
      <c r="L30" s="9"/>
    </row>
    <row r="31" spans="2:14" ht="14.7" customHeight="1" thickBot="1" x14ac:dyDescent="0.55000000000000004">
      <c r="B31" s="16" t="s">
        <v>26</v>
      </c>
      <c r="C31" s="12">
        <v>77</v>
      </c>
      <c r="D31" s="13">
        <v>8100</v>
      </c>
      <c r="F31" s="9"/>
      <c r="H31" s="11" t="s">
        <v>26</v>
      </c>
      <c r="I31" s="12">
        <v>89</v>
      </c>
      <c r="J31" s="13">
        <v>8900</v>
      </c>
      <c r="K31" s="38"/>
      <c r="L31" s="9"/>
    </row>
    <row r="32" spans="2:14" ht="14.7" customHeight="1" thickBot="1" x14ac:dyDescent="0.55000000000000004">
      <c r="B32" s="8"/>
      <c r="F32" s="9"/>
      <c r="H32" s="8"/>
      <c r="I32" s="38"/>
      <c r="J32" s="38"/>
      <c r="K32" s="38"/>
      <c r="L32" s="9"/>
    </row>
    <row r="33" spans="2:12" ht="14.7" customHeight="1" thickBot="1" x14ac:dyDescent="0.55000000000000004">
      <c r="B33" s="29" t="s">
        <v>21</v>
      </c>
      <c r="C33" s="31"/>
      <c r="F33" s="9"/>
      <c r="H33" s="29" t="s">
        <v>21</v>
      </c>
      <c r="I33" s="31"/>
      <c r="J33" s="38"/>
      <c r="K33" s="38"/>
      <c r="L33" s="9"/>
    </row>
    <row r="34" spans="2:12" ht="14.7" customHeight="1" thickBot="1" x14ac:dyDescent="0.55000000000000004">
      <c r="B34" s="24" t="s">
        <v>25</v>
      </c>
      <c r="C34" s="13">
        <v>0</v>
      </c>
      <c r="F34" s="9"/>
      <c r="H34" s="24" t="s">
        <v>25</v>
      </c>
      <c r="I34" s="13">
        <v>2</v>
      </c>
      <c r="J34" s="38"/>
      <c r="K34" s="38"/>
      <c r="L34" s="9"/>
    </row>
    <row r="35" spans="2:12" ht="14.7" customHeight="1" thickBot="1" x14ac:dyDescent="0.55000000000000004">
      <c r="B35" s="8"/>
      <c r="F35" s="9"/>
      <c r="H35" s="8"/>
      <c r="I35" s="38"/>
      <c r="J35" s="38"/>
      <c r="K35" s="38"/>
      <c r="L35" s="9"/>
    </row>
    <row r="36" spans="2:12" ht="14.7" customHeight="1" thickBot="1" x14ac:dyDescent="0.55000000000000004">
      <c r="B36" s="29" t="s">
        <v>13</v>
      </c>
      <c r="C36" s="30"/>
      <c r="D36" s="31"/>
      <c r="F36" s="9"/>
      <c r="H36" s="29" t="s">
        <v>13</v>
      </c>
      <c r="I36" s="30"/>
      <c r="J36" s="31"/>
      <c r="K36" s="38"/>
      <c r="L36" s="9"/>
    </row>
    <row r="37" spans="2:12" ht="14.7" customHeight="1" thickBot="1" x14ac:dyDescent="0.55000000000000004">
      <c r="B37" s="24" t="s">
        <v>23</v>
      </c>
      <c r="C37" s="18" t="s">
        <v>24</v>
      </c>
      <c r="D37" s="19" t="s">
        <v>25</v>
      </c>
      <c r="F37" s="9"/>
      <c r="H37" s="17" t="s">
        <v>23</v>
      </c>
      <c r="I37" s="18" t="s">
        <v>24</v>
      </c>
      <c r="J37" s="19" t="s">
        <v>25</v>
      </c>
      <c r="K37" s="38"/>
      <c r="L37" s="9"/>
    </row>
    <row r="38" spans="2:12" x14ac:dyDescent="0.5">
      <c r="B38" s="23" t="s">
        <v>14</v>
      </c>
      <c r="C38">
        <v>5</v>
      </c>
      <c r="D38" s="9">
        <v>5000</v>
      </c>
      <c r="F38" s="9"/>
      <c r="H38" s="23" t="s">
        <v>14</v>
      </c>
      <c r="I38" s="38">
        <v>5</v>
      </c>
      <c r="J38" s="9">
        <v>5000</v>
      </c>
      <c r="K38" s="38"/>
      <c r="L38" s="9"/>
    </row>
    <row r="39" spans="2:12" x14ac:dyDescent="0.5">
      <c r="B39" s="3" t="s">
        <v>15</v>
      </c>
      <c r="C39">
        <v>0</v>
      </c>
      <c r="D39" s="9">
        <v>0</v>
      </c>
      <c r="F39" s="9"/>
      <c r="H39" s="3" t="s">
        <v>15</v>
      </c>
      <c r="I39" s="38">
        <v>0</v>
      </c>
      <c r="J39" s="9">
        <v>0</v>
      </c>
      <c r="K39" s="38"/>
      <c r="L39" s="9"/>
    </row>
    <row r="40" spans="2:12" x14ac:dyDescent="0.5">
      <c r="B40" s="3" t="s">
        <v>16</v>
      </c>
      <c r="C40">
        <v>0</v>
      </c>
      <c r="D40" s="9">
        <v>0</v>
      </c>
      <c r="F40" s="9"/>
      <c r="H40" s="3" t="s">
        <v>16</v>
      </c>
      <c r="I40" s="38">
        <v>0</v>
      </c>
      <c r="J40" s="9">
        <v>0</v>
      </c>
      <c r="K40" s="38"/>
      <c r="L40" s="9"/>
    </row>
    <row r="41" spans="2:12" ht="14.7" customHeight="1" thickBot="1" x14ac:dyDescent="0.55000000000000004">
      <c r="B41" s="16" t="s">
        <v>26</v>
      </c>
      <c r="C41" s="12">
        <v>5</v>
      </c>
      <c r="D41" s="13">
        <v>5000</v>
      </c>
      <c r="F41" s="9"/>
      <c r="H41" s="16" t="s">
        <v>26</v>
      </c>
      <c r="I41" s="12">
        <v>5</v>
      </c>
      <c r="J41" s="13">
        <v>5000</v>
      </c>
      <c r="K41" s="38"/>
      <c r="L41" s="9"/>
    </row>
    <row r="42" spans="2:12" ht="14.7" customHeight="1" thickBot="1" x14ac:dyDescent="0.55000000000000004">
      <c r="B42" s="8"/>
      <c r="F42" s="9"/>
      <c r="H42" s="8"/>
      <c r="I42" s="38"/>
      <c r="J42" s="38"/>
      <c r="K42" s="38"/>
      <c r="L42" s="9"/>
    </row>
    <row r="43" spans="2:12" ht="14.7" customHeight="1" thickBot="1" x14ac:dyDescent="0.55000000000000004">
      <c r="B43" s="29" t="s">
        <v>27</v>
      </c>
      <c r="C43" s="30"/>
      <c r="D43" s="31"/>
      <c r="F43" s="9"/>
      <c r="H43" s="29" t="s">
        <v>27</v>
      </c>
      <c r="I43" s="30"/>
      <c r="J43" s="31"/>
      <c r="K43" s="38"/>
      <c r="L43" s="9"/>
    </row>
    <row r="44" spans="2:12" ht="14.7" customHeight="1" thickBot="1" x14ac:dyDescent="0.55000000000000004">
      <c r="B44" s="24" t="s">
        <v>23</v>
      </c>
      <c r="C44" s="18" t="s">
        <v>24</v>
      </c>
      <c r="D44" s="19" t="s">
        <v>25</v>
      </c>
      <c r="F44" s="9"/>
      <c r="H44" s="17" t="s">
        <v>23</v>
      </c>
      <c r="I44" s="18" t="s">
        <v>24</v>
      </c>
      <c r="J44" s="19" t="s">
        <v>25</v>
      </c>
      <c r="K44" s="38"/>
      <c r="L44" s="9"/>
    </row>
    <row r="45" spans="2:12" ht="14.7" customHeight="1" thickBot="1" x14ac:dyDescent="0.55000000000000004">
      <c r="B45" s="24" t="s">
        <v>18</v>
      </c>
      <c r="C45" s="12">
        <v>327</v>
      </c>
      <c r="D45" s="13">
        <v>5748.66</v>
      </c>
      <c r="F45" s="9"/>
      <c r="H45" s="24" t="s">
        <v>18</v>
      </c>
      <c r="I45" s="12">
        <v>327</v>
      </c>
      <c r="J45" s="13">
        <v>5748.66</v>
      </c>
      <c r="K45" s="38"/>
      <c r="L45" s="9"/>
    </row>
    <row r="46" spans="2:12" ht="14.7" customHeight="1" thickBot="1" x14ac:dyDescent="0.55000000000000004">
      <c r="B46" s="8"/>
      <c r="F46" s="9"/>
      <c r="H46" s="8"/>
      <c r="I46" s="38"/>
      <c r="J46" s="38"/>
      <c r="K46" s="38"/>
      <c r="L46" s="9"/>
    </row>
    <row r="47" spans="2:12" ht="14.7" customHeight="1" thickBot="1" x14ac:dyDescent="0.55000000000000004">
      <c r="B47" s="29" t="s">
        <v>28</v>
      </c>
      <c r="C47" s="31"/>
      <c r="F47" s="9"/>
      <c r="H47" s="29" t="s">
        <v>28</v>
      </c>
      <c r="I47" s="31"/>
      <c r="J47" s="38"/>
      <c r="K47" s="38"/>
      <c r="L47" s="9"/>
    </row>
    <row r="48" spans="2:12" ht="14.7" customHeight="1" thickBot="1" x14ac:dyDescent="0.55000000000000004">
      <c r="B48" s="11" t="s">
        <v>29</v>
      </c>
      <c r="C48" s="13">
        <v>40350</v>
      </c>
      <c r="F48" s="9"/>
      <c r="H48" s="24" t="s">
        <v>29</v>
      </c>
      <c r="I48" s="13">
        <v>19440</v>
      </c>
      <c r="J48" s="38"/>
      <c r="K48" s="38"/>
      <c r="L48" s="9"/>
    </row>
    <row r="49" spans="2:12" ht="14.7" customHeight="1" thickBot="1" x14ac:dyDescent="0.55000000000000004">
      <c r="B49" s="8"/>
      <c r="F49" s="9"/>
      <c r="H49" s="8"/>
      <c r="I49" s="38"/>
      <c r="J49" s="38"/>
      <c r="K49" s="38"/>
      <c r="L49" s="9"/>
    </row>
    <row r="50" spans="2:12" ht="14.7" customHeight="1" thickBot="1" x14ac:dyDescent="0.55000000000000004">
      <c r="B50" s="29" t="s">
        <v>30</v>
      </c>
      <c r="C50" s="30"/>
      <c r="D50" s="31"/>
      <c r="F50" s="9"/>
      <c r="H50" s="35" t="s">
        <v>30</v>
      </c>
      <c r="I50" s="36"/>
      <c r="J50" s="37"/>
      <c r="K50" s="38"/>
      <c r="L50" s="9"/>
    </row>
    <row r="51" spans="2:12" ht="14.7" customHeight="1" thickBot="1" x14ac:dyDescent="0.55000000000000004">
      <c r="B51" s="11" t="s">
        <v>31</v>
      </c>
      <c r="C51" s="12" t="s">
        <v>32</v>
      </c>
      <c r="D51" s="13" t="s">
        <v>33</v>
      </c>
      <c r="F51" s="9"/>
      <c r="H51" s="24" t="s">
        <v>31</v>
      </c>
      <c r="I51" s="18" t="s">
        <v>61</v>
      </c>
      <c r="J51" s="21" t="s">
        <v>33</v>
      </c>
      <c r="K51" s="38"/>
      <c r="L51" s="9"/>
    </row>
    <row r="52" spans="2:12" ht="14.7" customHeight="1" x14ac:dyDescent="0.5">
      <c r="B52" s="23" t="s">
        <v>34</v>
      </c>
      <c r="C52" s="26">
        <v>8865217.0096229594</v>
      </c>
      <c r="D52" s="27">
        <f>C52*25</f>
        <v>221630425.24057397</v>
      </c>
      <c r="F52" s="9"/>
      <c r="H52" s="3" t="s">
        <v>34</v>
      </c>
      <c r="I52" s="40">
        <v>8626945.9282095991</v>
      </c>
      <c r="J52" s="27">
        <f>I52*25</f>
        <v>215673648.20523998</v>
      </c>
      <c r="K52" s="38"/>
      <c r="L52" s="9"/>
    </row>
    <row r="53" spans="2:12" ht="14.7" customHeight="1" thickBot="1" x14ac:dyDescent="0.55000000000000004">
      <c r="B53" s="16" t="s">
        <v>35</v>
      </c>
      <c r="C53" s="25">
        <v>1115257.880955019</v>
      </c>
      <c r="D53" s="28">
        <f>C53*25</f>
        <v>27881447.023875475</v>
      </c>
      <c r="F53" s="9"/>
      <c r="H53" s="16" t="s">
        <v>35</v>
      </c>
      <c r="I53" s="25">
        <v>613051.03916606598</v>
      </c>
      <c r="J53" s="28">
        <f>I53*25</f>
        <v>15326275.979151649</v>
      </c>
      <c r="K53" s="38"/>
      <c r="L53" s="9"/>
    </row>
    <row r="54" spans="2:12" ht="14.7" customHeight="1" thickBot="1" x14ac:dyDescent="0.55000000000000004">
      <c r="B54" s="8"/>
      <c r="F54" s="9"/>
      <c r="H54" s="8"/>
      <c r="I54" s="39"/>
      <c r="J54" s="10"/>
      <c r="K54" s="38"/>
      <c r="L54" s="9"/>
    </row>
    <row r="55" spans="2:12" ht="14.7" customHeight="1" thickBot="1" x14ac:dyDescent="0.55000000000000004">
      <c r="B55" s="29" t="s">
        <v>36</v>
      </c>
      <c r="C55" s="30"/>
      <c r="D55" s="31"/>
      <c r="F55" s="9"/>
      <c r="H55" s="35" t="s">
        <v>36</v>
      </c>
      <c r="I55" s="36"/>
      <c r="J55" s="37"/>
      <c r="K55" s="38"/>
      <c r="L55" s="9"/>
    </row>
    <row r="56" spans="2:12" ht="14.7" customHeight="1" thickBot="1" x14ac:dyDescent="0.55000000000000004">
      <c r="B56" s="11" t="s">
        <v>31</v>
      </c>
      <c r="C56" s="12" t="s">
        <v>32</v>
      </c>
      <c r="D56" s="13" t="s">
        <v>33</v>
      </c>
      <c r="F56" s="9"/>
      <c r="H56" s="24" t="s">
        <v>31</v>
      </c>
      <c r="I56" s="20">
        <v>2343121.1163038299</v>
      </c>
      <c r="J56" s="21" t="s">
        <v>33</v>
      </c>
      <c r="K56" s="38"/>
      <c r="L56" s="9"/>
    </row>
    <row r="57" spans="2:12" ht="14.7" customHeight="1" thickBot="1" x14ac:dyDescent="0.55000000000000004">
      <c r="B57" s="23" t="s">
        <v>34</v>
      </c>
      <c r="C57">
        <v>2407836.7186630201</v>
      </c>
      <c r="D57" s="9">
        <f>C57*25</f>
        <v>60195917.966575503</v>
      </c>
      <c r="F57" s="9"/>
      <c r="H57" s="16" t="s">
        <v>34</v>
      </c>
      <c r="I57" s="14">
        <v>293946.93296212802</v>
      </c>
      <c r="J57" s="15">
        <f>I57*25</f>
        <v>7348673.3240532009</v>
      </c>
      <c r="K57" s="38"/>
      <c r="L57" s="9"/>
    </row>
    <row r="58" spans="2:12" ht="14.7" customHeight="1" thickBot="1" x14ac:dyDescent="0.55000000000000004">
      <c r="B58" s="16" t="s">
        <v>35</v>
      </c>
      <c r="C58" s="12">
        <v>546446.05798607203</v>
      </c>
      <c r="D58" s="13">
        <f>C58*25</f>
        <v>13661151.4496518</v>
      </c>
      <c r="F58" s="9"/>
      <c r="H58" s="8" t="s">
        <v>35</v>
      </c>
      <c r="I58" s="12">
        <v>613051.03916606598</v>
      </c>
      <c r="J58" s="38">
        <f>I58*25</f>
        <v>15326275.979151649</v>
      </c>
      <c r="K58" s="38"/>
      <c r="L58" s="9"/>
    </row>
    <row r="59" spans="2:12" ht="14.7" customHeight="1" thickBot="1" x14ac:dyDescent="0.55000000000000004">
      <c r="B59" s="8"/>
      <c r="F59" s="9"/>
      <c r="H59" s="8"/>
      <c r="I59" s="38"/>
      <c r="J59" s="38"/>
      <c r="K59" s="38"/>
      <c r="L59" s="9"/>
    </row>
    <row r="60" spans="2:12" ht="14.7" customHeight="1" thickBot="1" x14ac:dyDescent="0.55000000000000004">
      <c r="B60" s="29" t="s">
        <v>37</v>
      </c>
      <c r="C60" s="31"/>
      <c r="F60" s="9"/>
      <c r="H60" s="29" t="s">
        <v>38</v>
      </c>
      <c r="I60" s="31"/>
      <c r="J60" s="38"/>
      <c r="K60" s="38"/>
      <c r="L60" s="9"/>
    </row>
    <row r="61" spans="2:12" ht="14.7" customHeight="1" thickBot="1" x14ac:dyDescent="0.55000000000000004">
      <c r="B61" s="24" t="s">
        <v>39</v>
      </c>
      <c r="C61" s="13">
        <v>334346.73416714399</v>
      </c>
      <c r="F61" s="9"/>
      <c r="H61" s="24" t="s">
        <v>39</v>
      </c>
      <c r="I61" s="13">
        <v>174958.96115727001</v>
      </c>
      <c r="J61" s="38"/>
      <c r="K61" s="38"/>
      <c r="L61" s="9"/>
    </row>
    <row r="62" spans="2:12" ht="14.7" customHeight="1" thickBot="1" x14ac:dyDescent="0.55000000000000004">
      <c r="B62" s="8"/>
      <c r="F62" s="9"/>
      <c r="H62" s="8"/>
      <c r="I62" s="38"/>
      <c r="J62" s="38"/>
      <c r="K62" s="38"/>
      <c r="L62" s="9"/>
    </row>
    <row r="63" spans="2:12" ht="14.7" customHeight="1" thickBot="1" x14ac:dyDescent="0.55000000000000004">
      <c r="B63" s="29" t="s">
        <v>40</v>
      </c>
      <c r="C63" s="31"/>
      <c r="F63" s="9"/>
      <c r="H63" s="29" t="s">
        <v>40</v>
      </c>
      <c r="I63" s="31"/>
      <c r="J63" s="38"/>
      <c r="K63" s="38"/>
      <c r="L63" s="9"/>
    </row>
    <row r="64" spans="2:12" ht="14.7" customHeight="1" thickBot="1" x14ac:dyDescent="0.55000000000000004">
      <c r="B64" s="29">
        <f>E23/B70</f>
        <v>0.47438254899151255</v>
      </c>
      <c r="C64" s="31"/>
      <c r="F64" s="9"/>
      <c r="H64" s="29">
        <f>K23/B70</f>
        <v>0.17575109773048594</v>
      </c>
      <c r="I64" s="31"/>
      <c r="J64" s="38"/>
      <c r="K64" s="38"/>
      <c r="L64" s="9"/>
    </row>
    <row r="65" spans="2:12" x14ac:dyDescent="0.5">
      <c r="B65" s="8"/>
      <c r="F65" s="9"/>
      <c r="H65" s="8"/>
      <c r="I65" s="38"/>
      <c r="J65" s="38"/>
      <c r="K65" s="38"/>
      <c r="L65" s="9"/>
    </row>
    <row r="66" spans="2:12" ht="14.7" customHeight="1" thickBot="1" x14ac:dyDescent="0.55000000000000004">
      <c r="B66" s="11"/>
      <c r="C66" s="12"/>
      <c r="D66" s="12"/>
      <c r="E66" s="12"/>
      <c r="F66" s="13"/>
      <c r="G66" s="12"/>
      <c r="H66" s="11"/>
      <c r="I66" s="12"/>
      <c r="J66" s="12"/>
      <c r="K66" s="12"/>
      <c r="L66" s="13"/>
    </row>
    <row r="67" spans="2:12" ht="14.7" customHeight="1" thickBot="1" x14ac:dyDescent="0.55000000000000004">
      <c r="B67" s="11"/>
      <c r="C67" s="12"/>
      <c r="L67" s="9"/>
    </row>
    <row r="68" spans="2:12" ht="14.7" customHeight="1" thickBot="1" x14ac:dyDescent="0.55000000000000004">
      <c r="B68" s="32" t="s">
        <v>41</v>
      </c>
      <c r="C68" s="33"/>
      <c r="L68" s="9"/>
    </row>
    <row r="69" spans="2:12" ht="14.7" customHeight="1" thickBot="1" x14ac:dyDescent="0.55000000000000004">
      <c r="B69" s="17" t="s">
        <v>42</v>
      </c>
      <c r="C69" s="19" t="s">
        <v>43</v>
      </c>
      <c r="L69" s="9"/>
    </row>
    <row r="70" spans="2:12" ht="14.7" customHeight="1" thickBot="1" x14ac:dyDescent="0.55000000000000004">
      <c r="B70" s="11">
        <f>C108</f>
        <v>23117450.059589773</v>
      </c>
      <c r="C70" s="13">
        <f>D108</f>
        <v>577936251.48974431</v>
      </c>
      <c r="D70" s="12"/>
      <c r="E70" s="12"/>
      <c r="F70" s="12"/>
      <c r="G70" s="12"/>
      <c r="H70" s="12"/>
      <c r="I70" s="12"/>
      <c r="J70" s="12"/>
      <c r="K70" s="12"/>
      <c r="L70" s="13"/>
    </row>
    <row r="71" spans="2:12" ht="14.7" customHeight="1" thickBot="1" x14ac:dyDescent="0.55000000000000004"/>
    <row r="72" spans="2:12" ht="14.7" customHeight="1" thickBot="1" x14ac:dyDescent="0.55000000000000004">
      <c r="B72" s="29" t="s">
        <v>44</v>
      </c>
      <c r="C72" s="30"/>
      <c r="D72" s="30"/>
      <c r="E72" s="30"/>
      <c r="F72" s="31"/>
    </row>
    <row r="73" spans="2:12" ht="14.7" customHeight="1" thickBot="1" x14ac:dyDescent="0.55000000000000004">
      <c r="B73" s="29" t="s">
        <v>45</v>
      </c>
      <c r="C73" s="30"/>
      <c r="D73" s="30"/>
      <c r="E73" s="30"/>
      <c r="F73" s="31"/>
    </row>
    <row r="74" spans="2:12" ht="14.7" customHeight="1" thickBot="1" x14ac:dyDescent="0.55000000000000004">
      <c r="B74" s="24" t="s">
        <v>46</v>
      </c>
      <c r="C74" s="18" t="s">
        <v>4</v>
      </c>
      <c r="D74" s="18" t="s">
        <v>5</v>
      </c>
      <c r="E74" s="18" t="s">
        <v>6</v>
      </c>
      <c r="F74" s="19" t="s">
        <v>7</v>
      </c>
    </row>
    <row r="75" spans="2:12" x14ac:dyDescent="0.5">
      <c r="B75" s="23" t="s">
        <v>9</v>
      </c>
      <c r="C75">
        <v>19157.163470791991</v>
      </c>
      <c r="D75">
        <v>44700</v>
      </c>
      <c r="E75">
        <f>C75+D75</f>
        <v>63857.163470791987</v>
      </c>
      <c r="F75" s="9">
        <f>E75*25</f>
        <v>1596429.0867697997</v>
      </c>
    </row>
    <row r="76" spans="2:12" x14ac:dyDescent="0.5">
      <c r="B76" s="3" t="s">
        <v>10</v>
      </c>
      <c r="C76">
        <v>0</v>
      </c>
      <c r="D76">
        <v>0</v>
      </c>
      <c r="E76">
        <f>C76+D76</f>
        <v>0</v>
      </c>
      <c r="F76" s="9">
        <f>E76*25</f>
        <v>0</v>
      </c>
    </row>
    <row r="77" spans="2:12" x14ac:dyDescent="0.5">
      <c r="B77" s="3" t="s">
        <v>14</v>
      </c>
      <c r="C77">
        <v>283809.82919691829</v>
      </c>
      <c r="D77">
        <v>456000</v>
      </c>
      <c r="E77">
        <f>C77+D77</f>
        <v>739809.82919691829</v>
      </c>
      <c r="F77" s="9">
        <f>E77*25</f>
        <v>18495245.729922958</v>
      </c>
    </row>
    <row r="78" spans="2:12" x14ac:dyDescent="0.5">
      <c r="B78" s="3" t="s">
        <v>47</v>
      </c>
      <c r="C78">
        <v>0</v>
      </c>
      <c r="D78">
        <v>0</v>
      </c>
      <c r="E78">
        <f>C78+D78</f>
        <v>0</v>
      </c>
      <c r="F78" s="9">
        <f>E78*25</f>
        <v>0</v>
      </c>
    </row>
    <row r="79" spans="2:12" ht="14.7" customHeight="1" thickBot="1" x14ac:dyDescent="0.55000000000000004">
      <c r="B79" s="16" t="s">
        <v>48</v>
      </c>
      <c r="C79" s="12"/>
      <c r="D79" s="12"/>
      <c r="E79">
        <f>C79+D79</f>
        <v>0</v>
      </c>
      <c r="F79" s="9">
        <f>E79*25</f>
        <v>0</v>
      </c>
    </row>
    <row r="80" spans="2:12" ht="14.7" customHeight="1" thickBot="1" x14ac:dyDescent="0.55000000000000004">
      <c r="B80" s="17" t="s">
        <v>49</v>
      </c>
      <c r="C80" s="18" t="s">
        <v>4</v>
      </c>
      <c r="D80" s="18" t="s">
        <v>5</v>
      </c>
      <c r="E80" s="18" t="s">
        <v>6</v>
      </c>
      <c r="F80" s="19" t="s">
        <v>7</v>
      </c>
    </row>
    <row r="81" spans="2:6" x14ac:dyDescent="0.5">
      <c r="B81" s="23" t="s">
        <v>18</v>
      </c>
      <c r="C81">
        <v>73805.976204742299</v>
      </c>
      <c r="D81">
        <v>91978.559999999998</v>
      </c>
      <c r="E81">
        <f>C81+D81</f>
        <v>165784.5362047423</v>
      </c>
      <c r="F81" s="9">
        <f>E81*25</f>
        <v>4144613.4051185576</v>
      </c>
    </row>
    <row r="82" spans="2:6" ht="14.7" customHeight="1" thickBot="1" x14ac:dyDescent="0.55000000000000004">
      <c r="B82" s="16" t="s">
        <v>50</v>
      </c>
      <c r="C82" s="12"/>
      <c r="D82" s="12"/>
      <c r="E82">
        <f>C82+D82</f>
        <v>0</v>
      </c>
      <c r="F82" s="9">
        <f>E82*25</f>
        <v>0</v>
      </c>
    </row>
    <row r="83" spans="2:6" ht="14.7" customHeight="1" thickBot="1" x14ac:dyDescent="0.55000000000000004">
      <c r="B83" s="17"/>
      <c r="C83" s="18" t="s">
        <v>4</v>
      </c>
      <c r="D83" s="18" t="s">
        <v>5</v>
      </c>
      <c r="E83" s="18" t="s">
        <v>6</v>
      </c>
      <c r="F83" s="19" t="s">
        <v>7</v>
      </c>
    </row>
    <row r="84" spans="2:6" ht="14.7" customHeight="1" thickBot="1" x14ac:dyDescent="0.55000000000000004">
      <c r="B84" s="24" t="s">
        <v>22</v>
      </c>
      <c r="C84" s="12">
        <v>376772.96887245262</v>
      </c>
      <c r="D84" s="12">
        <v>19083979.901512001</v>
      </c>
      <c r="E84" s="12">
        <v>19460752.870384458</v>
      </c>
      <c r="F84" s="13">
        <f>E84*25</f>
        <v>486518821.75961149</v>
      </c>
    </row>
    <row r="85" spans="2:6" ht="14.7" customHeight="1" thickBot="1" x14ac:dyDescent="0.55000000000000004">
      <c r="B85" s="8"/>
      <c r="F85" s="9"/>
    </row>
    <row r="86" spans="2:6" ht="14.7" customHeight="1" thickBot="1" x14ac:dyDescent="0.55000000000000004">
      <c r="B86" s="29" t="s">
        <v>46</v>
      </c>
      <c r="C86" s="30"/>
      <c r="D86" s="31"/>
      <c r="F86" s="9"/>
    </row>
    <row r="87" spans="2:6" ht="14.7" customHeight="1" thickBot="1" x14ac:dyDescent="0.55000000000000004">
      <c r="B87" s="24" t="s">
        <v>23</v>
      </c>
      <c r="C87" s="18" t="s">
        <v>24</v>
      </c>
      <c r="D87" s="19" t="s">
        <v>25</v>
      </c>
      <c r="F87" s="9"/>
    </row>
    <row r="88" spans="2:6" x14ac:dyDescent="0.5">
      <c r="B88" s="23" t="s">
        <v>9</v>
      </c>
      <c r="C88">
        <v>3</v>
      </c>
      <c r="D88" s="9">
        <v>300</v>
      </c>
      <c r="F88" s="9"/>
    </row>
    <row r="89" spans="2:6" x14ac:dyDescent="0.5">
      <c r="B89" s="3" t="s">
        <v>10</v>
      </c>
      <c r="C89">
        <v>0</v>
      </c>
      <c r="D89" s="9">
        <v>0</v>
      </c>
      <c r="F89" s="9"/>
    </row>
    <row r="90" spans="2:6" x14ac:dyDescent="0.5">
      <c r="B90" s="3" t="s">
        <v>14</v>
      </c>
      <c r="C90">
        <v>4</v>
      </c>
      <c r="D90" s="9">
        <v>4000</v>
      </c>
      <c r="F90" s="9"/>
    </row>
    <row r="91" spans="2:6" x14ac:dyDescent="0.5">
      <c r="B91" s="3" t="s">
        <v>47</v>
      </c>
      <c r="C91">
        <v>0</v>
      </c>
      <c r="D91" s="9">
        <v>0</v>
      </c>
      <c r="F91" s="9"/>
    </row>
    <row r="92" spans="2:6" ht="14.7" customHeight="1" thickBot="1" x14ac:dyDescent="0.55000000000000004">
      <c r="B92" s="16" t="s">
        <v>26</v>
      </c>
      <c r="C92" s="12">
        <v>7</v>
      </c>
      <c r="D92" s="13">
        <v>4300</v>
      </c>
      <c r="F92" s="9"/>
    </row>
    <row r="93" spans="2:6" ht="14.7" customHeight="1" thickBot="1" x14ac:dyDescent="0.55000000000000004">
      <c r="B93" s="8"/>
      <c r="F93" s="9"/>
    </row>
    <row r="94" spans="2:6" ht="14.7" customHeight="1" thickBot="1" x14ac:dyDescent="0.55000000000000004">
      <c r="B94" s="29" t="s">
        <v>51</v>
      </c>
      <c r="C94" s="30"/>
      <c r="D94" s="31"/>
      <c r="F94" s="9"/>
    </row>
    <row r="95" spans="2:6" ht="14.7" customHeight="1" thickBot="1" x14ac:dyDescent="0.55000000000000004">
      <c r="B95" s="17" t="s">
        <v>23</v>
      </c>
      <c r="C95" s="18" t="s">
        <v>24</v>
      </c>
      <c r="D95" s="19" t="s">
        <v>25</v>
      </c>
      <c r="F95" s="9"/>
    </row>
    <row r="96" spans="2:6" ht="14.7" customHeight="1" thickBot="1" x14ac:dyDescent="0.55000000000000004">
      <c r="B96" s="24" t="s">
        <v>18</v>
      </c>
      <c r="C96" s="12">
        <v>327</v>
      </c>
      <c r="D96" s="13">
        <v>5748.66</v>
      </c>
      <c r="F96" s="9"/>
    </row>
    <row r="97" spans="2:6" ht="14.7" customHeight="1" thickBot="1" x14ac:dyDescent="0.55000000000000004">
      <c r="B97" s="8"/>
      <c r="F97" s="9"/>
    </row>
    <row r="98" spans="2:6" ht="14.7" customHeight="1" thickBot="1" x14ac:dyDescent="0.55000000000000004">
      <c r="B98" s="29" t="s">
        <v>52</v>
      </c>
      <c r="C98" s="30"/>
      <c r="D98" s="31"/>
      <c r="F98" s="9"/>
    </row>
    <row r="99" spans="2:6" ht="14.7" customHeight="1" thickBot="1" x14ac:dyDescent="0.55000000000000004">
      <c r="B99" s="17" t="s">
        <v>53</v>
      </c>
      <c r="C99" s="18" t="s">
        <v>54</v>
      </c>
      <c r="D99" s="19" t="s">
        <v>55</v>
      </c>
      <c r="F99" s="9"/>
    </row>
    <row r="100" spans="2:6" x14ac:dyDescent="0.5">
      <c r="B100" s="23" t="s">
        <v>56</v>
      </c>
      <c r="C100">
        <v>6956052.6315789409</v>
      </c>
      <c r="D100" s="9">
        <f>C100*25</f>
        <v>173901315.78947353</v>
      </c>
      <c r="F100" s="9"/>
    </row>
    <row r="101" spans="2:6" x14ac:dyDescent="0.5">
      <c r="B101" s="3" t="s">
        <v>57</v>
      </c>
      <c r="C101">
        <v>1906301.234470427</v>
      </c>
      <c r="D101" s="9">
        <f>C101*25</f>
        <v>47657530.861760676</v>
      </c>
      <c r="F101" s="9"/>
    </row>
    <row r="102" spans="2:6" ht="14.7" customHeight="1" thickBot="1" x14ac:dyDescent="0.55000000000000004">
      <c r="B102" s="16" t="s">
        <v>26</v>
      </c>
      <c r="C102" s="12">
        <f>C100+C101</f>
        <v>8862353.8660493679</v>
      </c>
      <c r="D102" s="13">
        <f>C102*25</f>
        <v>221558846.65123421</v>
      </c>
      <c r="F102" s="9"/>
    </row>
    <row r="103" spans="2:6" ht="14.7" customHeight="1" thickBot="1" x14ac:dyDescent="0.55000000000000004">
      <c r="B103" s="8"/>
      <c r="F103" s="9"/>
    </row>
    <row r="104" spans="2:6" ht="14.7" customHeight="1" thickBot="1" x14ac:dyDescent="0.55000000000000004">
      <c r="B104" s="29" t="s">
        <v>58</v>
      </c>
      <c r="C104" s="30"/>
      <c r="D104" s="31"/>
      <c r="F104" s="9"/>
    </row>
    <row r="105" spans="2:6" ht="14.7" customHeight="1" thickBot="1" x14ac:dyDescent="0.55000000000000004">
      <c r="B105" s="17" t="s">
        <v>53</v>
      </c>
      <c r="C105" s="18" t="s">
        <v>59</v>
      </c>
      <c r="D105" s="22" t="s">
        <v>60</v>
      </c>
      <c r="F105" s="9"/>
    </row>
    <row r="106" spans="2:6" x14ac:dyDescent="0.5">
      <c r="B106" s="23" t="s">
        <v>56</v>
      </c>
      <c r="C106">
        <f>2.6085*C100</f>
        <v>18144863.289473668</v>
      </c>
      <c r="D106" s="9">
        <f>C106*25</f>
        <v>453621582.23684168</v>
      </c>
      <c r="F106" s="9"/>
    </row>
    <row r="107" spans="2:6" x14ac:dyDescent="0.5">
      <c r="B107" s="3" t="s">
        <v>57</v>
      </c>
      <c r="C107">
        <f>2.6085*C101</f>
        <v>4972586.7701161085</v>
      </c>
      <c r="D107" s="9">
        <f>C107*25</f>
        <v>124314669.25290272</v>
      </c>
      <c r="F107" s="9"/>
    </row>
    <row r="108" spans="2:6" ht="14.7" customHeight="1" thickBot="1" x14ac:dyDescent="0.55000000000000004">
      <c r="B108" s="16" t="s">
        <v>26</v>
      </c>
      <c r="C108" s="12">
        <f>2.6085*C102</f>
        <v>23117450.059589773</v>
      </c>
      <c r="D108" s="13">
        <f>C108*25</f>
        <v>577936251.48974431</v>
      </c>
      <c r="E108" s="12"/>
      <c r="F108" s="13"/>
    </row>
  </sheetData>
  <mergeCells count="30">
    <mergeCell ref="H64:I64"/>
    <mergeCell ref="H50:J50"/>
    <mergeCell ref="H55:J55"/>
    <mergeCell ref="B86:D86"/>
    <mergeCell ref="B104:D104"/>
    <mergeCell ref="B73:F73"/>
    <mergeCell ref="B36:D36"/>
    <mergeCell ref="B94:D94"/>
    <mergeCell ref="B50:D50"/>
    <mergeCell ref="B68:C68"/>
    <mergeCell ref="B64:C64"/>
    <mergeCell ref="B47:C47"/>
    <mergeCell ref="B98:D98"/>
    <mergeCell ref="B72:F72"/>
    <mergeCell ref="H33:I33"/>
    <mergeCell ref="B5:L5"/>
    <mergeCell ref="B63:C63"/>
    <mergeCell ref="B43:D43"/>
    <mergeCell ref="H25:J25"/>
    <mergeCell ref="H6:L6"/>
    <mergeCell ref="H60:I60"/>
    <mergeCell ref="B60:C60"/>
    <mergeCell ref="B55:D55"/>
    <mergeCell ref="H47:I47"/>
    <mergeCell ref="B25:D25"/>
    <mergeCell ref="H43:J43"/>
    <mergeCell ref="B6:F6"/>
    <mergeCell ref="B33:C33"/>
    <mergeCell ref="H36:J36"/>
    <mergeCell ref="H63:I63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B4:N108"/>
  <sheetViews>
    <sheetView tabSelected="1" topLeftCell="A15" zoomScale="70" zoomScaleNormal="70" workbookViewId="0">
      <selection activeCell="M29" sqref="M29"/>
    </sheetView>
  </sheetViews>
  <sheetFormatPr defaultColWidth="39.234375" defaultRowHeight="14.35" x14ac:dyDescent="0.5"/>
  <cols>
    <col min="1" max="1" width="13.52734375" customWidth="1"/>
    <col min="2" max="2" width="15.234375" bestFit="1" customWidth="1"/>
    <col min="3" max="3" width="17.64453125" bestFit="1" customWidth="1"/>
    <col min="4" max="4" width="18.64453125" bestFit="1" customWidth="1"/>
    <col min="5" max="5" width="12.46875" bestFit="1" customWidth="1"/>
    <col min="6" max="6" width="13.5859375" bestFit="1" customWidth="1"/>
    <col min="7" max="7" width="12.46875" customWidth="1"/>
    <col min="8" max="8" width="15.234375" bestFit="1" customWidth="1"/>
    <col min="9" max="9" width="15.703125" bestFit="1" customWidth="1"/>
    <col min="10" max="10" width="18" bestFit="1" customWidth="1"/>
    <col min="11" max="11" width="12.46875" bestFit="1" customWidth="1"/>
    <col min="12" max="12" width="14.5859375" bestFit="1" customWidth="1"/>
    <col min="13" max="14" width="13.41015625" bestFit="1" customWidth="1"/>
    <col min="15" max="15" width="1.76171875" bestFit="1" customWidth="1"/>
  </cols>
  <sheetData>
    <row r="4" spans="2:14" ht="14.7" customHeight="1" thickBot="1" x14ac:dyDescent="0.55000000000000004"/>
    <row r="5" spans="2:14" ht="14.7" customHeight="1" thickBot="1" x14ac:dyDescent="0.55000000000000004">
      <c r="B5" s="29" t="s">
        <v>0</v>
      </c>
      <c r="C5" s="30"/>
      <c r="D5" s="30"/>
      <c r="E5" s="30"/>
      <c r="F5" s="30"/>
      <c r="G5" s="30"/>
      <c r="H5" s="30"/>
      <c r="I5" s="30"/>
      <c r="J5" s="30"/>
      <c r="K5" s="30"/>
      <c r="L5" s="31"/>
    </row>
    <row r="6" spans="2:14" ht="14.7" customHeight="1" thickBot="1" x14ac:dyDescent="0.55000000000000004">
      <c r="B6" s="29" t="s">
        <v>1</v>
      </c>
      <c r="C6" s="30"/>
      <c r="D6" s="30"/>
      <c r="E6" s="30"/>
      <c r="F6" s="31"/>
      <c r="H6" s="29" t="s">
        <v>2</v>
      </c>
      <c r="I6" s="30"/>
      <c r="J6" s="30"/>
      <c r="K6" s="30"/>
      <c r="L6" s="31"/>
    </row>
    <row r="7" spans="2:14" ht="14.7" customHeight="1" thickBot="1" x14ac:dyDescent="0.55000000000000004">
      <c r="B7" s="24" t="s">
        <v>3</v>
      </c>
      <c r="C7" s="18" t="s">
        <v>4</v>
      </c>
      <c r="D7" s="18" t="s">
        <v>5</v>
      </c>
      <c r="E7" s="18" t="s">
        <v>6</v>
      </c>
      <c r="F7" s="19" t="s">
        <v>7</v>
      </c>
      <c r="H7" s="24" t="s">
        <v>3</v>
      </c>
      <c r="I7" s="18" t="s">
        <v>4</v>
      </c>
      <c r="J7" s="18" t="s">
        <v>5</v>
      </c>
      <c r="K7" s="18" t="s">
        <v>6</v>
      </c>
      <c r="L7" s="19" t="s">
        <v>7</v>
      </c>
    </row>
    <row r="8" spans="2:14" x14ac:dyDescent="0.5">
      <c r="B8" s="3" t="s">
        <v>8</v>
      </c>
      <c r="C8" s="6">
        <f>13698 * D27*((0.05*((1.05)^25))/((1.05^25)-1))</f>
        <v>291572.0280254542</v>
      </c>
      <c r="D8" s="6">
        <f>29*D27</f>
        <v>8700</v>
      </c>
      <c r="E8" s="6">
        <f>C8+D8</f>
        <v>300272.0280254542</v>
      </c>
      <c r="F8" s="10">
        <f>E8*25</f>
        <v>7506800.7006363552</v>
      </c>
      <c r="H8" s="3" t="s">
        <v>9</v>
      </c>
      <c r="I8" s="39">
        <f>1615 * J27*((0.05*((1.05)^25))/((1.05^25)-1))</f>
        <v>57294.109269127919</v>
      </c>
      <c r="J8" s="39">
        <f>29*J27</f>
        <v>14500</v>
      </c>
      <c r="K8" s="39">
        <f>I8+J8</f>
        <v>71794.109269127919</v>
      </c>
      <c r="L8" s="10">
        <f>K8*25</f>
        <v>1794852.731728198</v>
      </c>
    </row>
    <row r="9" spans="2:14" x14ac:dyDescent="0.5">
      <c r="B9" s="3" t="s">
        <v>10</v>
      </c>
      <c r="C9" s="6">
        <f>13698 * D28*((0.05*((1.05)^25))/((1.05^25)-1))</f>
        <v>971906.76008484734</v>
      </c>
      <c r="D9" s="6">
        <f>29*D28</f>
        <v>29000</v>
      </c>
      <c r="E9" s="6">
        <f>C9+D9</f>
        <v>1000906.7600848473</v>
      </c>
      <c r="F9" s="10">
        <f>E9*25</f>
        <v>25022669.002121184</v>
      </c>
      <c r="H9" s="3" t="s">
        <v>10</v>
      </c>
      <c r="I9" s="39">
        <f>1615 * J28*((0.05*((1.05)^25))/((1.05^25)-1))</f>
        <v>171882.32780738376</v>
      </c>
      <c r="J9" s="39">
        <f>29*J28</f>
        <v>43500</v>
      </c>
      <c r="K9" s="39">
        <f>I9+J9</f>
        <v>215382.32780738376</v>
      </c>
      <c r="L9" s="10">
        <f>K9*25</f>
        <v>5384558.195184594</v>
      </c>
      <c r="M9" s="7"/>
      <c r="N9" s="6"/>
    </row>
    <row r="10" spans="2:14" x14ac:dyDescent="0.5">
      <c r="B10" s="3" t="s">
        <v>11</v>
      </c>
      <c r="C10" s="6">
        <f>13698 * D29*((0.05*((1.05)^25))/((1.05^25)-1))</f>
        <v>0</v>
      </c>
      <c r="D10" s="6">
        <f>29*D29</f>
        <v>0</v>
      </c>
      <c r="E10" s="6">
        <f>C10+D10</f>
        <v>0</v>
      </c>
      <c r="F10" s="10">
        <f>E10*25</f>
        <v>0</v>
      </c>
      <c r="H10" s="3" t="s">
        <v>11</v>
      </c>
      <c r="I10" s="39">
        <f>1615 * J29*((0.05*((1.05)^25))/((1.05^25)-1))</f>
        <v>0</v>
      </c>
      <c r="J10" s="39">
        <f>29*J29</f>
        <v>0</v>
      </c>
      <c r="K10" s="39">
        <f>I10+J10</f>
        <v>0</v>
      </c>
      <c r="L10" s="10">
        <f>K10*25</f>
        <v>0</v>
      </c>
      <c r="M10" s="7"/>
    </row>
    <row r="11" spans="2:14" ht="14.7" customHeight="1" thickBot="1" x14ac:dyDescent="0.55000000000000004">
      <c r="B11" s="16" t="s">
        <v>12</v>
      </c>
      <c r="C11" s="14">
        <f>13698 * D30*((0.05*((1.05)^25))/((1.05^25)-1))</f>
        <v>0</v>
      </c>
      <c r="D11" s="14">
        <f>29*D30</f>
        <v>0</v>
      </c>
      <c r="E11" s="14">
        <f>C11+D11</f>
        <v>0</v>
      </c>
      <c r="F11" s="15">
        <f>E11*25</f>
        <v>0</v>
      </c>
      <c r="H11" s="16" t="s">
        <v>12</v>
      </c>
      <c r="I11" s="14">
        <f>1615 * J30*((0.05*((1.05)^25))/((1.05^25)-1))</f>
        <v>0</v>
      </c>
      <c r="J11" s="14">
        <f>29*J30</f>
        <v>0</v>
      </c>
      <c r="K11" s="14">
        <f>I11+J11</f>
        <v>0</v>
      </c>
      <c r="L11" s="13">
        <f>K11*25</f>
        <v>0</v>
      </c>
    </row>
    <row r="12" spans="2:14" ht="14.7" customHeight="1" thickBot="1" x14ac:dyDescent="0.55000000000000004">
      <c r="B12" s="24" t="s">
        <v>13</v>
      </c>
      <c r="C12" s="18" t="s">
        <v>4</v>
      </c>
      <c r="D12" s="18" t="s">
        <v>5</v>
      </c>
      <c r="E12" s="18" t="s">
        <v>6</v>
      </c>
      <c r="F12" s="19" t="s">
        <v>7</v>
      </c>
      <c r="H12" s="24" t="s">
        <v>13</v>
      </c>
      <c r="I12" s="18" t="s">
        <v>4</v>
      </c>
      <c r="J12" s="18" t="s">
        <v>5</v>
      </c>
      <c r="K12" s="18" t="s">
        <v>6</v>
      </c>
      <c r="L12" s="19" t="s">
        <v>7</v>
      </c>
    </row>
    <row r="13" spans="2:14" x14ac:dyDescent="0.5">
      <c r="B13" s="3" t="s">
        <v>14</v>
      </c>
      <c r="C13" s="4">
        <f>2490 * D38*((0.05*((1.05)^10))/((1.05^10)-1))</f>
        <v>322466.39166398719</v>
      </c>
      <c r="D13" s="1">
        <f>37.35*D38</f>
        <v>37350</v>
      </c>
      <c r="E13">
        <f>C13+D13</f>
        <v>359816.39166398719</v>
      </c>
      <c r="F13" s="9">
        <f>E13*25</f>
        <v>8995409.7915996797</v>
      </c>
      <c r="H13" s="3" t="s">
        <v>14</v>
      </c>
      <c r="I13" s="4">
        <f>2490 * J38*((0.05*((1.05)^10))/((1.05^10)-1))</f>
        <v>644932.78332797438</v>
      </c>
      <c r="J13" s="1">
        <f>37.35*J38</f>
        <v>74700</v>
      </c>
      <c r="K13" s="39">
        <f>I13+J13</f>
        <v>719632.78332797438</v>
      </c>
      <c r="L13" s="10">
        <f>K13*25</f>
        <v>17990819.583199359</v>
      </c>
    </row>
    <row r="14" spans="2:14" x14ac:dyDescent="0.5">
      <c r="B14" s="3" t="s">
        <v>15</v>
      </c>
      <c r="C14" s="4">
        <f>1570 * D39*((0.05*((1.05)^10))/((1.05^10)-1))</f>
        <v>0</v>
      </c>
      <c r="D14" s="1">
        <f>23.55*D39</f>
        <v>0</v>
      </c>
      <c r="E14">
        <f>C14+D14</f>
        <v>0</v>
      </c>
      <c r="F14" s="9">
        <f>E14*25</f>
        <v>0</v>
      </c>
      <c r="H14" s="3" t="s">
        <v>15</v>
      </c>
      <c r="I14" s="4">
        <f>1570 * J39*((0.05*((1.05)^10))/((1.05^10)-1))</f>
        <v>0</v>
      </c>
      <c r="J14" s="1">
        <f>23.55*J39</f>
        <v>0</v>
      </c>
      <c r="K14" s="38">
        <f>I14+J14</f>
        <v>0</v>
      </c>
      <c r="L14" s="10">
        <f>K14*25</f>
        <v>0</v>
      </c>
    </row>
    <row r="15" spans="2:14" ht="14.7" customHeight="1" thickBot="1" x14ac:dyDescent="0.55000000000000004">
      <c r="B15" s="16" t="s">
        <v>16</v>
      </c>
      <c r="C15" s="5">
        <f>1190 * D40*((0.05*((1.05)^10))/((1.05^10)-1))</f>
        <v>0</v>
      </c>
      <c r="D15" s="2">
        <f>17.85*D40</f>
        <v>0</v>
      </c>
      <c r="E15" s="12">
        <f>C15+D15</f>
        <v>0</v>
      </c>
      <c r="F15" s="13">
        <f>E15*25</f>
        <v>0</v>
      </c>
      <c r="H15" s="16" t="s">
        <v>16</v>
      </c>
      <c r="I15" s="5">
        <f>1190 * J40*((0.05*((1.05)^10))/((1.05^10)-1))</f>
        <v>0</v>
      </c>
      <c r="J15" s="2">
        <f>17.85*J40</f>
        <v>0</v>
      </c>
      <c r="K15" s="12">
        <f>I15+J15</f>
        <v>0</v>
      </c>
      <c r="L15" s="15">
        <f>K15*25</f>
        <v>0</v>
      </c>
    </row>
    <row r="16" spans="2:14" ht="14.7" customHeight="1" thickBot="1" x14ac:dyDescent="0.55000000000000004">
      <c r="B16" s="24" t="s">
        <v>17</v>
      </c>
      <c r="C16" s="18" t="s">
        <v>4</v>
      </c>
      <c r="D16" s="18" t="s">
        <v>5</v>
      </c>
      <c r="E16" s="18" t="s">
        <v>6</v>
      </c>
      <c r="F16" s="19" t="s">
        <v>7</v>
      </c>
      <c r="H16" s="24" t="s">
        <v>17</v>
      </c>
      <c r="I16" s="18" t="s">
        <v>4</v>
      </c>
      <c r="J16" s="18" t="s">
        <v>5</v>
      </c>
      <c r="K16" s="18" t="s">
        <v>6</v>
      </c>
      <c r="L16" s="19" t="s">
        <v>7</v>
      </c>
    </row>
    <row r="17" spans="2:14" ht="14.7" customHeight="1" thickBot="1" x14ac:dyDescent="0.55000000000000004">
      <c r="B17" s="16" t="s">
        <v>18</v>
      </c>
      <c r="C17" s="12">
        <v>19636.45238474795</v>
      </c>
      <c r="D17" s="12">
        <v>24471.360000000001</v>
      </c>
      <c r="E17" s="12">
        <f>D17+C17</f>
        <v>44107.812384747951</v>
      </c>
      <c r="F17" s="13">
        <f>E17*25</f>
        <v>1102695.3096186987</v>
      </c>
      <c r="H17" s="16" t="s">
        <v>18</v>
      </c>
      <c r="I17" s="12">
        <v>19636.45238474795</v>
      </c>
      <c r="J17" s="12">
        <v>24471.360000000001</v>
      </c>
      <c r="K17" s="12">
        <f>J17+I17</f>
        <v>44107.812384747951</v>
      </c>
      <c r="L17" s="15">
        <f>K17*25</f>
        <v>1102695.3096186987</v>
      </c>
    </row>
    <row r="18" spans="2:14" ht="14.7" customHeight="1" thickBot="1" x14ac:dyDescent="0.55000000000000004">
      <c r="B18" s="24" t="s">
        <v>19</v>
      </c>
      <c r="C18" s="18" t="s">
        <v>4</v>
      </c>
      <c r="D18" s="18" t="s">
        <v>5</v>
      </c>
      <c r="E18" s="18" t="s">
        <v>6</v>
      </c>
      <c r="F18" s="19" t="s">
        <v>7</v>
      </c>
      <c r="H18" s="24" t="s">
        <v>20</v>
      </c>
      <c r="I18" s="18" t="s">
        <v>4</v>
      </c>
      <c r="J18" s="18" t="s">
        <v>5</v>
      </c>
      <c r="K18" s="18" t="s">
        <v>6</v>
      </c>
      <c r="L18" s="19" t="s">
        <v>7</v>
      </c>
    </row>
    <row r="19" spans="2:14" ht="14.7" customHeight="1" thickBot="1" x14ac:dyDescent="0.55000000000000004">
      <c r="B19" s="11"/>
      <c r="C19" s="12">
        <f>C48*300*((0.05*((1.05)^20))/((1.05^20)-1))</f>
        <v>633354.7406961266</v>
      </c>
      <c r="D19" s="12">
        <v>0</v>
      </c>
      <c r="E19" s="12">
        <f>D19+C19</f>
        <v>633354.7406961266</v>
      </c>
      <c r="F19" s="13">
        <f>E19*25</f>
        <v>15833868.517403165</v>
      </c>
      <c r="H19" s="11"/>
      <c r="I19" s="14">
        <f>(I48/10)*3000*((0.05*((1.05)^20))/((1.05^20)-1))</f>
        <v>29368.78691179302</v>
      </c>
      <c r="J19" s="12">
        <v>0</v>
      </c>
      <c r="K19" s="12">
        <f>J19+I19</f>
        <v>29368.78691179302</v>
      </c>
      <c r="L19" s="15">
        <f>K19*25</f>
        <v>734219.67279482551</v>
      </c>
    </row>
    <row r="20" spans="2:14" ht="14.7" customHeight="1" thickBot="1" x14ac:dyDescent="0.55000000000000004">
      <c r="B20" s="24" t="s">
        <v>21</v>
      </c>
      <c r="C20" s="18" t="s">
        <v>4</v>
      </c>
      <c r="D20" s="18" t="s">
        <v>5</v>
      </c>
      <c r="E20" s="18" t="s">
        <v>6</v>
      </c>
      <c r="F20" s="19" t="s">
        <v>7</v>
      </c>
      <c r="H20" s="24" t="s">
        <v>21</v>
      </c>
      <c r="I20" s="18" t="s">
        <v>4</v>
      </c>
      <c r="J20" s="18" t="s">
        <v>5</v>
      </c>
      <c r="K20" s="18" t="s">
        <v>6</v>
      </c>
      <c r="L20" s="19" t="s">
        <v>7</v>
      </c>
    </row>
    <row r="21" spans="2:14" ht="14.7" customHeight="1" thickBot="1" x14ac:dyDescent="0.55000000000000004">
      <c r="B21" s="11"/>
      <c r="C21" s="12">
        <v>0</v>
      </c>
      <c r="D21" s="12">
        <v>0</v>
      </c>
      <c r="E21" s="12">
        <f>C21+D21</f>
        <v>0</v>
      </c>
      <c r="F21" s="13">
        <f>E21*25</f>
        <v>0</v>
      </c>
      <c r="H21" s="11"/>
      <c r="I21" s="12">
        <v>0</v>
      </c>
      <c r="J21" s="12">
        <v>0</v>
      </c>
      <c r="K21" s="12">
        <f>J21+I21</f>
        <v>0</v>
      </c>
      <c r="L21" s="13">
        <f>K21*25</f>
        <v>0</v>
      </c>
    </row>
    <row r="22" spans="2:14" ht="14.7" customHeight="1" thickBot="1" x14ac:dyDescent="0.55000000000000004">
      <c r="B22" s="17"/>
      <c r="C22" s="18" t="s">
        <v>4</v>
      </c>
      <c r="D22" s="18" t="s">
        <v>5</v>
      </c>
      <c r="E22" s="18" t="s">
        <v>6</v>
      </c>
      <c r="F22" s="19" t="s">
        <v>7</v>
      </c>
      <c r="H22" s="17"/>
      <c r="I22" s="18" t="s">
        <v>4</v>
      </c>
      <c r="J22" s="18" t="s">
        <v>5</v>
      </c>
      <c r="K22" s="18" t="s">
        <v>6</v>
      </c>
      <c r="L22" s="19" t="s">
        <v>7</v>
      </c>
    </row>
    <row r="23" spans="2:14" ht="14.7" customHeight="1" thickBot="1" x14ac:dyDescent="0.55000000000000004">
      <c r="B23" s="24" t="s">
        <v>22</v>
      </c>
      <c r="C23" s="12">
        <v>2239177.100616734</v>
      </c>
      <c r="D23" s="12">
        <v>99521.36</v>
      </c>
      <c r="E23" s="25">
        <v>2338698.4606167339</v>
      </c>
      <c r="F23" s="13">
        <f>D23*25</f>
        <v>2488034</v>
      </c>
      <c r="H23" s="24" t="s">
        <v>22</v>
      </c>
      <c r="I23" s="14">
        <v>923114.45970102667</v>
      </c>
      <c r="J23" s="14">
        <v>157171.35999999999</v>
      </c>
      <c r="K23" s="14">
        <v>4062917.2247025901</v>
      </c>
      <c r="L23" s="15">
        <f>K23*25</f>
        <v>101572930.61756475</v>
      </c>
      <c r="M23" s="6"/>
    </row>
    <row r="24" spans="2:14" ht="14.7" customHeight="1" thickBot="1" x14ac:dyDescent="0.55000000000000004">
      <c r="B24" s="8"/>
      <c r="F24" s="9"/>
      <c r="H24" s="8"/>
      <c r="I24" s="39"/>
      <c r="J24" s="39"/>
      <c r="K24" s="39"/>
      <c r="L24" s="10"/>
      <c r="M24" s="6"/>
      <c r="N24" s="7"/>
    </row>
    <row r="25" spans="2:14" ht="14.7" customHeight="1" thickBot="1" x14ac:dyDescent="0.55000000000000004">
      <c r="B25" s="29" t="s">
        <v>3</v>
      </c>
      <c r="C25" s="30"/>
      <c r="D25" s="31"/>
      <c r="F25" s="9"/>
      <c r="H25" s="29" t="s">
        <v>3</v>
      </c>
      <c r="I25" s="30"/>
      <c r="J25" s="31"/>
      <c r="K25" s="38"/>
      <c r="L25" s="10"/>
      <c r="M25" s="6"/>
    </row>
    <row r="26" spans="2:14" ht="14.7" customHeight="1" thickBot="1" x14ac:dyDescent="0.55000000000000004">
      <c r="B26" s="17" t="s">
        <v>23</v>
      </c>
      <c r="C26" s="18" t="s">
        <v>24</v>
      </c>
      <c r="D26" s="19" t="s">
        <v>25</v>
      </c>
      <c r="F26" s="9"/>
      <c r="H26" s="17" t="s">
        <v>23</v>
      </c>
      <c r="I26" s="18" t="s">
        <v>24</v>
      </c>
      <c r="J26" s="19" t="s">
        <v>25</v>
      </c>
      <c r="K26" s="38"/>
      <c r="L26" s="10"/>
      <c r="M26" s="6"/>
    </row>
    <row r="27" spans="2:14" x14ac:dyDescent="0.5">
      <c r="B27" s="23" t="s">
        <v>9</v>
      </c>
      <c r="C27">
        <v>3</v>
      </c>
      <c r="D27" s="9">
        <v>300</v>
      </c>
      <c r="F27" s="9"/>
      <c r="H27" s="8" t="s">
        <v>9</v>
      </c>
      <c r="I27" s="38">
        <v>5</v>
      </c>
      <c r="J27" s="9">
        <v>500</v>
      </c>
      <c r="K27" s="38"/>
      <c r="L27" s="9"/>
    </row>
    <row r="28" spans="2:14" x14ac:dyDescent="0.5">
      <c r="B28" s="3" t="s">
        <v>10</v>
      </c>
      <c r="C28">
        <v>2</v>
      </c>
      <c r="D28" s="9">
        <v>1000</v>
      </c>
      <c r="F28" s="9"/>
      <c r="H28" s="8" t="s">
        <v>10</v>
      </c>
      <c r="I28" s="38">
        <v>3</v>
      </c>
      <c r="J28" s="9">
        <v>1500</v>
      </c>
      <c r="K28" s="38"/>
      <c r="L28" s="9"/>
    </row>
    <row r="29" spans="2:14" x14ac:dyDescent="0.5">
      <c r="B29" s="3" t="s">
        <v>11</v>
      </c>
      <c r="C29">
        <v>0</v>
      </c>
      <c r="D29" s="9">
        <v>0</v>
      </c>
      <c r="F29" s="9"/>
      <c r="H29" s="8" t="s">
        <v>11</v>
      </c>
      <c r="I29" s="38">
        <v>0</v>
      </c>
      <c r="J29" s="9">
        <v>0</v>
      </c>
      <c r="K29" s="38"/>
      <c r="L29" s="9"/>
    </row>
    <row r="30" spans="2:14" x14ac:dyDescent="0.5">
      <c r="B30" s="3" t="s">
        <v>12</v>
      </c>
      <c r="C30">
        <v>0</v>
      </c>
      <c r="D30" s="9">
        <v>0</v>
      </c>
      <c r="F30" s="9"/>
      <c r="H30" s="8" t="s">
        <v>12</v>
      </c>
      <c r="I30" s="38">
        <v>0</v>
      </c>
      <c r="J30" s="9">
        <v>0</v>
      </c>
      <c r="K30" s="38"/>
      <c r="L30" s="9"/>
    </row>
    <row r="31" spans="2:14" ht="14.7" customHeight="1" thickBot="1" x14ac:dyDescent="0.55000000000000004">
      <c r="B31" s="16" t="s">
        <v>26</v>
      </c>
      <c r="C31" s="12">
        <v>5</v>
      </c>
      <c r="D31" s="13">
        <v>1300</v>
      </c>
      <c r="F31" s="9"/>
      <c r="H31" s="11" t="s">
        <v>26</v>
      </c>
      <c r="I31" s="12">
        <v>8</v>
      </c>
      <c r="J31" s="13">
        <v>2000</v>
      </c>
      <c r="K31" s="38"/>
      <c r="L31" s="9"/>
    </row>
    <row r="32" spans="2:14" ht="14.7" customHeight="1" thickBot="1" x14ac:dyDescent="0.55000000000000004">
      <c r="B32" s="8"/>
      <c r="F32" s="9"/>
      <c r="H32" s="8"/>
      <c r="I32" s="38"/>
      <c r="J32" s="38"/>
      <c r="K32" s="38"/>
      <c r="L32" s="9"/>
    </row>
    <row r="33" spans="2:12" ht="14.7" customHeight="1" thickBot="1" x14ac:dyDescent="0.55000000000000004">
      <c r="B33" s="29" t="s">
        <v>21</v>
      </c>
      <c r="C33" s="31"/>
      <c r="F33" s="9"/>
      <c r="H33" s="29" t="s">
        <v>21</v>
      </c>
      <c r="I33" s="31"/>
      <c r="J33" s="38"/>
      <c r="K33" s="38"/>
      <c r="L33" s="9"/>
    </row>
    <row r="34" spans="2:12" ht="14.7" customHeight="1" thickBot="1" x14ac:dyDescent="0.55000000000000004">
      <c r="B34" s="24" t="s">
        <v>25</v>
      </c>
      <c r="C34" s="13">
        <v>0</v>
      </c>
      <c r="F34" s="9"/>
      <c r="H34" s="24" t="s">
        <v>25</v>
      </c>
      <c r="I34" s="13">
        <v>0</v>
      </c>
      <c r="J34" s="38"/>
      <c r="K34" s="38"/>
      <c r="L34" s="9"/>
    </row>
    <row r="35" spans="2:12" ht="14.7" customHeight="1" thickBot="1" x14ac:dyDescent="0.55000000000000004">
      <c r="B35" s="8"/>
      <c r="F35" s="9"/>
      <c r="H35" s="8"/>
      <c r="I35" s="38"/>
      <c r="J35" s="38"/>
      <c r="K35" s="38"/>
      <c r="L35" s="9"/>
    </row>
    <row r="36" spans="2:12" ht="14.7" customHeight="1" thickBot="1" x14ac:dyDescent="0.55000000000000004">
      <c r="B36" s="29" t="s">
        <v>13</v>
      </c>
      <c r="C36" s="30"/>
      <c r="D36" s="31"/>
      <c r="F36" s="9"/>
      <c r="H36" s="29" t="s">
        <v>13</v>
      </c>
      <c r="I36" s="30"/>
      <c r="J36" s="31"/>
      <c r="K36" s="38"/>
      <c r="L36" s="9"/>
    </row>
    <row r="37" spans="2:12" ht="14.7" customHeight="1" thickBot="1" x14ac:dyDescent="0.55000000000000004">
      <c r="B37" s="24" t="s">
        <v>23</v>
      </c>
      <c r="C37" s="18" t="s">
        <v>24</v>
      </c>
      <c r="D37" s="19" t="s">
        <v>25</v>
      </c>
      <c r="F37" s="9"/>
      <c r="H37" s="17" t="s">
        <v>23</v>
      </c>
      <c r="I37" s="18" t="s">
        <v>24</v>
      </c>
      <c r="J37" s="19" t="s">
        <v>25</v>
      </c>
      <c r="K37" s="38"/>
      <c r="L37" s="9"/>
    </row>
    <row r="38" spans="2:12" x14ac:dyDescent="0.5">
      <c r="B38" s="23" t="s">
        <v>14</v>
      </c>
      <c r="C38">
        <v>1</v>
      </c>
      <c r="D38" s="9">
        <v>1000</v>
      </c>
      <c r="F38" s="9"/>
      <c r="H38" s="23" t="s">
        <v>14</v>
      </c>
      <c r="I38" s="38">
        <v>2</v>
      </c>
      <c r="J38" s="9">
        <v>2000</v>
      </c>
      <c r="K38" s="38"/>
      <c r="L38" s="9"/>
    </row>
    <row r="39" spans="2:12" x14ac:dyDescent="0.5">
      <c r="B39" s="3" t="s">
        <v>15</v>
      </c>
      <c r="C39">
        <v>0</v>
      </c>
      <c r="D39" s="9">
        <v>0</v>
      </c>
      <c r="F39" s="9"/>
      <c r="H39" s="3" t="s">
        <v>15</v>
      </c>
      <c r="I39" s="38">
        <v>0</v>
      </c>
      <c r="J39" s="9">
        <v>0</v>
      </c>
      <c r="K39" s="38"/>
      <c r="L39" s="9"/>
    </row>
    <row r="40" spans="2:12" x14ac:dyDescent="0.5">
      <c r="B40" s="3" t="s">
        <v>16</v>
      </c>
      <c r="C40">
        <v>0</v>
      </c>
      <c r="D40" s="9">
        <v>0</v>
      </c>
      <c r="F40" s="9"/>
      <c r="H40" s="3" t="s">
        <v>16</v>
      </c>
      <c r="I40" s="38">
        <v>0</v>
      </c>
      <c r="J40" s="9">
        <v>0</v>
      </c>
      <c r="K40" s="38"/>
      <c r="L40" s="9"/>
    </row>
    <row r="41" spans="2:12" ht="14.7" customHeight="1" thickBot="1" x14ac:dyDescent="0.55000000000000004">
      <c r="B41" s="16" t="s">
        <v>26</v>
      </c>
      <c r="C41" s="12">
        <v>1</v>
      </c>
      <c r="D41" s="13">
        <v>1000</v>
      </c>
      <c r="F41" s="9"/>
      <c r="H41" s="16" t="s">
        <v>26</v>
      </c>
      <c r="I41" s="12">
        <v>2</v>
      </c>
      <c r="J41" s="13">
        <v>2000</v>
      </c>
      <c r="K41" s="38"/>
      <c r="L41" s="9"/>
    </row>
    <row r="42" spans="2:12" ht="14.7" customHeight="1" thickBot="1" x14ac:dyDescent="0.55000000000000004">
      <c r="B42" s="8"/>
      <c r="F42" s="9"/>
      <c r="H42" s="8"/>
      <c r="I42" s="38"/>
      <c r="J42" s="38"/>
      <c r="K42" s="38"/>
      <c r="L42" s="9"/>
    </row>
    <row r="43" spans="2:12" ht="14.7" customHeight="1" thickBot="1" x14ac:dyDescent="0.55000000000000004">
      <c r="B43" s="29" t="s">
        <v>27</v>
      </c>
      <c r="C43" s="30"/>
      <c r="D43" s="31"/>
      <c r="F43" s="9"/>
      <c r="H43" s="29" t="s">
        <v>27</v>
      </c>
      <c r="I43" s="30"/>
      <c r="J43" s="31"/>
      <c r="K43" s="38"/>
      <c r="L43" s="9"/>
    </row>
    <row r="44" spans="2:12" ht="14.7" customHeight="1" thickBot="1" x14ac:dyDescent="0.55000000000000004">
      <c r="B44" s="24" t="s">
        <v>23</v>
      </c>
      <c r="C44" s="18" t="s">
        <v>24</v>
      </c>
      <c r="D44" s="19" t="s">
        <v>25</v>
      </c>
      <c r="F44" s="9"/>
      <c r="H44" s="17" t="s">
        <v>23</v>
      </c>
      <c r="I44" s="18" t="s">
        <v>24</v>
      </c>
      <c r="J44" s="19" t="s">
        <v>25</v>
      </c>
      <c r="K44" s="38"/>
      <c r="L44" s="9"/>
    </row>
    <row r="45" spans="2:12" ht="14.7" customHeight="1" thickBot="1" x14ac:dyDescent="0.55000000000000004">
      <c r="B45" s="24" t="s">
        <v>18</v>
      </c>
      <c r="C45" s="12">
        <v>87</v>
      </c>
      <c r="D45" s="13">
        <v>1529.46</v>
      </c>
      <c r="F45" s="9"/>
      <c r="H45" s="24" t="s">
        <v>18</v>
      </c>
      <c r="I45" s="12">
        <v>87</v>
      </c>
      <c r="J45" s="13">
        <v>1529.46</v>
      </c>
      <c r="K45" s="38"/>
      <c r="L45" s="9"/>
    </row>
    <row r="46" spans="2:12" ht="14.7" customHeight="1" thickBot="1" x14ac:dyDescent="0.55000000000000004">
      <c r="B46" s="8"/>
      <c r="F46" s="9"/>
      <c r="H46" s="8"/>
      <c r="I46" s="38"/>
      <c r="J46" s="38"/>
      <c r="K46" s="38"/>
      <c r="L46" s="9"/>
    </row>
    <row r="47" spans="2:12" ht="14.7" customHeight="1" thickBot="1" x14ac:dyDescent="0.55000000000000004">
      <c r="B47" s="29" t="s">
        <v>28</v>
      </c>
      <c r="C47" s="31"/>
      <c r="F47" s="9"/>
      <c r="H47" s="29" t="s">
        <v>28</v>
      </c>
      <c r="I47" s="31"/>
      <c r="J47" s="38"/>
      <c r="K47" s="38"/>
      <c r="L47" s="9"/>
    </row>
    <row r="48" spans="2:12" ht="14.7" customHeight="1" thickBot="1" x14ac:dyDescent="0.55000000000000004">
      <c r="B48" s="11" t="s">
        <v>29</v>
      </c>
      <c r="C48" s="13">
        <v>26310</v>
      </c>
      <c r="F48" s="9"/>
      <c r="H48" s="24" t="s">
        <v>29</v>
      </c>
      <c r="I48" s="13">
        <v>1220</v>
      </c>
      <c r="J48" s="38"/>
      <c r="K48" s="38"/>
      <c r="L48" s="9"/>
    </row>
    <row r="49" spans="2:12" ht="14.7" customHeight="1" thickBot="1" x14ac:dyDescent="0.55000000000000004">
      <c r="B49" s="8"/>
      <c r="F49" s="9"/>
      <c r="H49" s="8"/>
      <c r="I49" s="38"/>
      <c r="J49" s="38"/>
      <c r="K49" s="38"/>
      <c r="L49" s="9"/>
    </row>
    <row r="50" spans="2:12" ht="14.7" customHeight="1" thickBot="1" x14ac:dyDescent="0.55000000000000004">
      <c r="B50" s="29" t="s">
        <v>30</v>
      </c>
      <c r="C50" s="30"/>
      <c r="D50" s="31"/>
      <c r="F50" s="9"/>
      <c r="H50" s="35" t="s">
        <v>30</v>
      </c>
      <c r="I50" s="36"/>
      <c r="J50" s="37"/>
      <c r="K50" s="38"/>
      <c r="L50" s="9"/>
    </row>
    <row r="51" spans="2:12" ht="14.7" customHeight="1" thickBot="1" x14ac:dyDescent="0.55000000000000004">
      <c r="B51" s="11" t="s">
        <v>31</v>
      </c>
      <c r="C51" s="12" t="s">
        <v>32</v>
      </c>
      <c r="D51" s="13" t="s">
        <v>33</v>
      </c>
      <c r="F51" s="9"/>
      <c r="H51" s="24" t="s">
        <v>31</v>
      </c>
      <c r="I51" s="18" t="s">
        <v>61</v>
      </c>
      <c r="J51" s="21" t="s">
        <v>33</v>
      </c>
      <c r="K51" s="38"/>
      <c r="L51" s="9"/>
    </row>
    <row r="52" spans="2:12" ht="14.7" customHeight="1" x14ac:dyDescent="0.5">
      <c r="B52" s="23" t="s">
        <v>34</v>
      </c>
      <c r="C52" s="26">
        <v>1740714.9143962101</v>
      </c>
      <c r="D52" s="27">
        <f>C52*25</f>
        <v>43517872.85990525</v>
      </c>
      <c r="F52" s="9"/>
      <c r="H52" s="3" t="s">
        <v>34</v>
      </c>
      <c r="I52" s="40">
        <v>2604015.53711581</v>
      </c>
      <c r="J52" s="27">
        <f>I52*25</f>
        <v>65100388.427895248</v>
      </c>
      <c r="K52" s="38"/>
      <c r="L52" s="9"/>
    </row>
    <row r="53" spans="2:12" ht="14.7" customHeight="1" thickBot="1" x14ac:dyDescent="0.55000000000000004">
      <c r="B53" s="16" t="s">
        <v>35</v>
      </c>
      <c r="C53" s="25">
        <v>1041138.876543374</v>
      </c>
      <c r="D53" s="28">
        <f>C53*25</f>
        <v>26028471.913584352</v>
      </c>
      <c r="F53" s="9"/>
      <c r="H53" s="16" t="s">
        <v>35</v>
      </c>
      <c r="I53" s="25">
        <v>18357.732073268249</v>
      </c>
      <c r="J53" s="28">
        <f>I53*25</f>
        <v>458943.30183170625</v>
      </c>
      <c r="K53" s="38"/>
      <c r="L53" s="9"/>
    </row>
    <row r="54" spans="2:12" ht="14.7" customHeight="1" thickBot="1" x14ac:dyDescent="0.55000000000000004">
      <c r="B54" s="8"/>
      <c r="F54" s="9"/>
      <c r="H54" s="8"/>
      <c r="I54" s="39"/>
      <c r="J54" s="10"/>
      <c r="K54" s="38"/>
      <c r="L54" s="9"/>
    </row>
    <row r="55" spans="2:12" ht="14.7" customHeight="1" thickBot="1" x14ac:dyDescent="0.55000000000000004">
      <c r="B55" s="29" t="s">
        <v>36</v>
      </c>
      <c r="C55" s="30"/>
      <c r="D55" s="31"/>
      <c r="F55" s="9"/>
      <c r="H55" s="35" t="s">
        <v>36</v>
      </c>
      <c r="I55" s="36"/>
      <c r="J55" s="37"/>
      <c r="K55" s="38"/>
      <c r="L55" s="9"/>
    </row>
    <row r="56" spans="2:12" ht="14.7" customHeight="1" thickBot="1" x14ac:dyDescent="0.55000000000000004">
      <c r="B56" s="11" t="s">
        <v>31</v>
      </c>
      <c r="C56" s="12" t="s">
        <v>32</v>
      </c>
      <c r="D56" s="13" t="s">
        <v>33</v>
      </c>
      <c r="F56" s="9"/>
      <c r="H56" s="24" t="s">
        <v>31</v>
      </c>
      <c r="I56" s="20">
        <v>707263.47921664</v>
      </c>
      <c r="J56" s="21" t="s">
        <v>33</v>
      </c>
      <c r="K56" s="38"/>
      <c r="L56" s="9"/>
    </row>
    <row r="57" spans="2:12" ht="14.7" customHeight="1" thickBot="1" x14ac:dyDescent="0.55000000000000004">
      <c r="B57" s="23" t="s">
        <v>34</v>
      </c>
      <c r="C57">
        <v>472786.76687304798</v>
      </c>
      <c r="D57" s="9">
        <f>C57*25</f>
        <v>11819669.171826199</v>
      </c>
      <c r="F57" s="9"/>
      <c r="H57" s="16" t="s">
        <v>34</v>
      </c>
      <c r="I57" s="14">
        <v>12983.82846434446</v>
      </c>
      <c r="J57" s="15">
        <f>I57*25</f>
        <v>324595.71160861151</v>
      </c>
      <c r="K57" s="38"/>
      <c r="L57" s="9"/>
    </row>
    <row r="58" spans="2:12" ht="14.7" customHeight="1" thickBot="1" x14ac:dyDescent="0.55000000000000004">
      <c r="B58" s="16" t="s">
        <v>35</v>
      </c>
      <c r="C58" s="12">
        <v>455316.95541178901</v>
      </c>
      <c r="D58" s="13">
        <f>C58*25</f>
        <v>11382923.885294724</v>
      </c>
      <c r="F58" s="9"/>
      <c r="H58" s="8" t="s">
        <v>35</v>
      </c>
      <c r="I58" s="12">
        <v>18357.732073268249</v>
      </c>
      <c r="J58" s="38">
        <f>I58*25</f>
        <v>458943.30183170625</v>
      </c>
      <c r="K58" s="38"/>
      <c r="L58" s="9"/>
    </row>
    <row r="59" spans="2:12" ht="14.7" customHeight="1" thickBot="1" x14ac:dyDescent="0.55000000000000004">
      <c r="B59" s="8"/>
      <c r="F59" s="9"/>
      <c r="H59" s="8"/>
      <c r="I59" s="38"/>
      <c r="J59" s="38"/>
      <c r="K59" s="38"/>
      <c r="L59" s="9"/>
    </row>
    <row r="60" spans="2:12" ht="14.7" customHeight="1" thickBot="1" x14ac:dyDescent="0.55000000000000004">
      <c r="B60" s="29" t="s">
        <v>37</v>
      </c>
      <c r="C60" s="31"/>
      <c r="F60" s="9"/>
      <c r="H60" s="29" t="s">
        <v>38</v>
      </c>
      <c r="I60" s="31"/>
      <c r="J60" s="38"/>
      <c r="K60" s="38"/>
      <c r="L60" s="9"/>
    </row>
    <row r="61" spans="2:12" ht="14.7" customHeight="1" thickBot="1" x14ac:dyDescent="0.55000000000000004">
      <c r="B61" s="24" t="s">
        <v>39</v>
      </c>
      <c r="C61" s="13">
        <v>236874.883125436</v>
      </c>
      <c r="F61" s="9"/>
      <c r="H61" s="24" t="s">
        <v>39</v>
      </c>
      <c r="I61" s="13">
        <v>10980</v>
      </c>
      <c r="J61" s="38"/>
      <c r="K61" s="38"/>
      <c r="L61" s="9"/>
    </row>
    <row r="62" spans="2:12" ht="14.7" customHeight="1" thickBot="1" x14ac:dyDescent="0.55000000000000004">
      <c r="B62" s="8"/>
      <c r="F62" s="9"/>
      <c r="H62" s="8"/>
      <c r="I62" s="38"/>
      <c r="J62" s="38"/>
      <c r="K62" s="38"/>
      <c r="L62" s="9"/>
    </row>
    <row r="63" spans="2:12" ht="14.7" customHeight="1" thickBot="1" x14ac:dyDescent="0.55000000000000004">
      <c r="B63" s="29" t="s">
        <v>40</v>
      </c>
      <c r="C63" s="31"/>
      <c r="F63" s="9"/>
      <c r="H63" s="29" t="s">
        <v>40</v>
      </c>
      <c r="I63" s="31"/>
      <c r="J63" s="38"/>
      <c r="K63" s="38"/>
      <c r="L63" s="9"/>
    </row>
    <row r="64" spans="2:12" ht="14.7" customHeight="1" thickBot="1" x14ac:dyDescent="0.55000000000000004">
      <c r="B64" s="29">
        <f>E23/B70</f>
        <v>0.74228420432231734</v>
      </c>
      <c r="C64" s="31"/>
      <c r="F64" s="9"/>
      <c r="H64" s="29">
        <f>K23/B70</f>
        <v>1.2895374628888661</v>
      </c>
      <c r="I64" s="31"/>
      <c r="J64" s="38"/>
      <c r="K64" s="38"/>
      <c r="L64" s="9"/>
    </row>
    <row r="65" spans="2:12" x14ac:dyDescent="0.5">
      <c r="B65" s="8"/>
      <c r="F65" s="9"/>
      <c r="H65" s="8"/>
      <c r="I65" s="38"/>
      <c r="J65" s="38"/>
      <c r="K65" s="38"/>
      <c r="L65" s="9"/>
    </row>
    <row r="66" spans="2:12" ht="14.7" customHeight="1" thickBot="1" x14ac:dyDescent="0.55000000000000004">
      <c r="B66" s="11"/>
      <c r="C66" s="12"/>
      <c r="D66" s="12"/>
      <c r="E66" s="12"/>
      <c r="F66" s="13"/>
      <c r="G66" s="12"/>
      <c r="H66" s="11"/>
      <c r="I66" s="12"/>
      <c r="J66" s="12"/>
      <c r="K66" s="12"/>
      <c r="L66" s="13"/>
    </row>
    <row r="67" spans="2:12" ht="14.7" customHeight="1" thickBot="1" x14ac:dyDescent="0.55000000000000004">
      <c r="B67" s="11"/>
      <c r="C67" s="12"/>
      <c r="L67" s="9"/>
    </row>
    <row r="68" spans="2:12" ht="14.7" customHeight="1" thickBot="1" x14ac:dyDescent="0.55000000000000004">
      <c r="B68" s="32" t="s">
        <v>41</v>
      </c>
      <c r="C68" s="33"/>
      <c r="L68" s="9"/>
    </row>
    <row r="69" spans="2:12" ht="14.7" customHeight="1" thickBot="1" x14ac:dyDescent="0.55000000000000004">
      <c r="B69" s="17" t="s">
        <v>42</v>
      </c>
      <c r="C69" s="19" t="s">
        <v>43</v>
      </c>
      <c r="L69" s="9"/>
    </row>
    <row r="70" spans="2:12" ht="14.7" customHeight="1" thickBot="1" x14ac:dyDescent="0.55000000000000004">
      <c r="B70" s="11">
        <f>C108</f>
        <v>3150677.9303648174</v>
      </c>
      <c r="C70" s="13">
        <f>D108</f>
        <v>78766948.259120435</v>
      </c>
      <c r="D70" s="12"/>
      <c r="E70" s="12"/>
      <c r="F70" s="12"/>
      <c r="G70" s="12"/>
      <c r="H70" s="12"/>
      <c r="I70" s="12"/>
      <c r="J70" s="12"/>
      <c r="K70" s="12"/>
      <c r="L70" s="13"/>
    </row>
    <row r="71" spans="2:12" ht="14.7" customHeight="1" thickBot="1" x14ac:dyDescent="0.55000000000000004"/>
    <row r="72" spans="2:12" ht="14.7" customHeight="1" thickBot="1" x14ac:dyDescent="0.55000000000000004">
      <c r="B72" s="29" t="s">
        <v>44</v>
      </c>
      <c r="C72" s="30"/>
      <c r="D72" s="30"/>
      <c r="E72" s="30"/>
      <c r="F72" s="31"/>
    </row>
    <row r="73" spans="2:12" ht="14.7" customHeight="1" thickBot="1" x14ac:dyDescent="0.55000000000000004">
      <c r="B73" s="29" t="s">
        <v>45</v>
      </c>
      <c r="C73" s="30"/>
      <c r="D73" s="30"/>
      <c r="E73" s="30"/>
      <c r="F73" s="31"/>
    </row>
    <row r="74" spans="2:12" ht="14.7" customHeight="1" thickBot="1" x14ac:dyDescent="0.55000000000000004">
      <c r="B74" s="24" t="s">
        <v>46</v>
      </c>
      <c r="C74" s="18" t="s">
        <v>4</v>
      </c>
      <c r="D74" s="18" t="s">
        <v>5</v>
      </c>
      <c r="E74" s="18" t="s">
        <v>6</v>
      </c>
      <c r="F74" s="19" t="s">
        <v>7</v>
      </c>
    </row>
    <row r="75" spans="2:12" x14ac:dyDescent="0.5">
      <c r="B75" s="23" t="s">
        <v>9</v>
      </c>
      <c r="C75">
        <v>31928.605784653319</v>
      </c>
      <c r="D75">
        <v>74500</v>
      </c>
      <c r="E75">
        <f>C75+D75</f>
        <v>106428.60578465332</v>
      </c>
      <c r="F75" s="9">
        <f>E75*25</f>
        <v>2660715.1446163328</v>
      </c>
    </row>
    <row r="76" spans="2:12" x14ac:dyDescent="0.5">
      <c r="B76" s="3" t="s">
        <v>10</v>
      </c>
      <c r="C76">
        <v>0</v>
      </c>
      <c r="D76">
        <v>0</v>
      </c>
      <c r="E76">
        <f>C76+D76</f>
        <v>0</v>
      </c>
      <c r="F76" s="9">
        <f>E76*25</f>
        <v>0</v>
      </c>
    </row>
    <row r="77" spans="2:12" x14ac:dyDescent="0.5">
      <c r="B77" s="3" t="s">
        <v>14</v>
      </c>
      <c r="C77">
        <v>0</v>
      </c>
      <c r="D77">
        <v>0</v>
      </c>
      <c r="E77">
        <f>C77+D77</f>
        <v>0</v>
      </c>
      <c r="F77" s="9">
        <f>E77*25</f>
        <v>0</v>
      </c>
    </row>
    <row r="78" spans="2:12" x14ac:dyDescent="0.5">
      <c r="B78" s="3" t="s">
        <v>47</v>
      </c>
      <c r="C78">
        <v>0</v>
      </c>
      <c r="D78">
        <v>0</v>
      </c>
      <c r="E78">
        <f>C78+D78</f>
        <v>0</v>
      </c>
      <c r="F78" s="9">
        <f>E78*25</f>
        <v>0</v>
      </c>
    </row>
    <row r="79" spans="2:12" ht="14.7" customHeight="1" thickBot="1" x14ac:dyDescent="0.55000000000000004">
      <c r="B79" s="16" t="s">
        <v>48</v>
      </c>
      <c r="C79" s="12"/>
      <c r="D79" s="12"/>
      <c r="E79">
        <f>C79+D79</f>
        <v>0</v>
      </c>
      <c r="F79" s="9">
        <f>E79*25</f>
        <v>0</v>
      </c>
    </row>
    <row r="80" spans="2:12" ht="14.7" customHeight="1" thickBot="1" x14ac:dyDescent="0.55000000000000004">
      <c r="B80" s="17" t="s">
        <v>49</v>
      </c>
      <c r="C80" s="18" t="s">
        <v>4</v>
      </c>
      <c r="D80" s="18" t="s">
        <v>5</v>
      </c>
      <c r="E80" s="18" t="s">
        <v>6</v>
      </c>
      <c r="F80" s="19" t="s">
        <v>7</v>
      </c>
    </row>
    <row r="81" spans="2:6" x14ac:dyDescent="0.5">
      <c r="B81" s="23" t="s">
        <v>18</v>
      </c>
      <c r="C81">
        <v>19636.45238474795</v>
      </c>
      <c r="D81">
        <v>24471.360000000001</v>
      </c>
      <c r="E81">
        <f>C81+D81</f>
        <v>44107.812384747951</v>
      </c>
      <c r="F81" s="9">
        <f>E81*25</f>
        <v>1102695.3096186987</v>
      </c>
    </row>
    <row r="82" spans="2:6" ht="14.7" customHeight="1" thickBot="1" x14ac:dyDescent="0.55000000000000004">
      <c r="B82" s="16" t="s">
        <v>50</v>
      </c>
      <c r="C82" s="12"/>
      <c r="D82" s="12"/>
      <c r="E82">
        <f>C82+D82</f>
        <v>0</v>
      </c>
      <c r="F82" s="9">
        <f>E82*25</f>
        <v>0</v>
      </c>
    </row>
    <row r="83" spans="2:6" ht="14.7" customHeight="1" thickBot="1" x14ac:dyDescent="0.55000000000000004">
      <c r="B83" s="17"/>
      <c r="C83" s="18" t="s">
        <v>4</v>
      </c>
      <c r="D83" s="18" t="s">
        <v>5</v>
      </c>
      <c r="E83" s="18" t="s">
        <v>6</v>
      </c>
      <c r="F83" s="19" t="s">
        <v>7</v>
      </c>
    </row>
    <row r="84" spans="2:6" ht="14.7" customHeight="1" thickBot="1" x14ac:dyDescent="0.55000000000000004">
      <c r="B84" s="24" t="s">
        <v>22</v>
      </c>
      <c r="C84" s="12">
        <v>51565.058169401273</v>
      </c>
      <c r="D84" s="12">
        <v>2619151.3491532272</v>
      </c>
      <c r="E84" s="12">
        <v>2670716.407322628</v>
      </c>
      <c r="F84" s="13">
        <f>E84*25</f>
        <v>66767910.183065698</v>
      </c>
    </row>
    <row r="85" spans="2:6" ht="14.7" customHeight="1" thickBot="1" x14ac:dyDescent="0.55000000000000004">
      <c r="B85" s="8"/>
      <c r="F85" s="9"/>
    </row>
    <row r="86" spans="2:6" ht="14.7" customHeight="1" thickBot="1" x14ac:dyDescent="0.55000000000000004">
      <c r="B86" s="29" t="s">
        <v>46</v>
      </c>
      <c r="C86" s="30"/>
      <c r="D86" s="31"/>
      <c r="F86" s="9"/>
    </row>
    <row r="87" spans="2:6" ht="14.7" customHeight="1" thickBot="1" x14ac:dyDescent="0.55000000000000004">
      <c r="B87" s="24" t="s">
        <v>23</v>
      </c>
      <c r="C87" s="18" t="s">
        <v>24</v>
      </c>
      <c r="D87" s="19" t="s">
        <v>25</v>
      </c>
      <c r="F87" s="9"/>
    </row>
    <row r="88" spans="2:6" x14ac:dyDescent="0.5">
      <c r="B88" s="23" t="s">
        <v>9</v>
      </c>
      <c r="C88">
        <v>5</v>
      </c>
      <c r="D88" s="9">
        <v>500</v>
      </c>
      <c r="F88" s="9"/>
    </row>
    <row r="89" spans="2:6" x14ac:dyDescent="0.5">
      <c r="B89" s="3" t="s">
        <v>10</v>
      </c>
      <c r="C89">
        <v>0</v>
      </c>
      <c r="D89" s="9">
        <v>0</v>
      </c>
      <c r="F89" s="9"/>
    </row>
    <row r="90" spans="2:6" x14ac:dyDescent="0.5">
      <c r="B90" s="3" t="s">
        <v>14</v>
      </c>
      <c r="C90">
        <v>0</v>
      </c>
      <c r="D90" s="9">
        <v>0</v>
      </c>
      <c r="F90" s="9"/>
    </row>
    <row r="91" spans="2:6" x14ac:dyDescent="0.5">
      <c r="B91" s="3" t="s">
        <v>47</v>
      </c>
      <c r="C91">
        <v>0</v>
      </c>
      <c r="D91" s="9">
        <v>0</v>
      </c>
      <c r="F91" s="9"/>
    </row>
    <row r="92" spans="2:6" ht="14.7" customHeight="1" thickBot="1" x14ac:dyDescent="0.55000000000000004">
      <c r="B92" s="16" t="s">
        <v>26</v>
      </c>
      <c r="C92" s="12">
        <v>5</v>
      </c>
      <c r="D92" s="13">
        <v>500</v>
      </c>
      <c r="F92" s="9"/>
    </row>
    <row r="93" spans="2:6" ht="14.7" customHeight="1" thickBot="1" x14ac:dyDescent="0.55000000000000004">
      <c r="B93" s="8"/>
      <c r="F93" s="9"/>
    </row>
    <row r="94" spans="2:6" ht="14.7" customHeight="1" thickBot="1" x14ac:dyDescent="0.55000000000000004">
      <c r="B94" s="29" t="s">
        <v>51</v>
      </c>
      <c r="C94" s="30"/>
      <c r="D94" s="31"/>
      <c r="F94" s="9"/>
    </row>
    <row r="95" spans="2:6" ht="14.7" customHeight="1" thickBot="1" x14ac:dyDescent="0.55000000000000004">
      <c r="B95" s="17" t="s">
        <v>23</v>
      </c>
      <c r="C95" s="18" t="s">
        <v>24</v>
      </c>
      <c r="D95" s="19" t="s">
        <v>25</v>
      </c>
      <c r="F95" s="9"/>
    </row>
    <row r="96" spans="2:6" ht="14.7" customHeight="1" thickBot="1" x14ac:dyDescent="0.55000000000000004">
      <c r="B96" s="24" t="s">
        <v>18</v>
      </c>
      <c r="C96" s="12">
        <v>87</v>
      </c>
      <c r="D96" s="13">
        <v>1529.46</v>
      </c>
      <c r="F96" s="9"/>
    </row>
    <row r="97" spans="2:6" ht="14.7" customHeight="1" thickBot="1" x14ac:dyDescent="0.55000000000000004">
      <c r="B97" s="8"/>
      <c r="F97" s="9"/>
    </row>
    <row r="98" spans="2:6" ht="14.7" customHeight="1" thickBot="1" x14ac:dyDescent="0.55000000000000004">
      <c r="B98" s="29" t="s">
        <v>52</v>
      </c>
      <c r="C98" s="30"/>
      <c r="D98" s="31"/>
      <c r="F98" s="9"/>
    </row>
    <row r="99" spans="2:6" ht="14.7" customHeight="1" thickBot="1" x14ac:dyDescent="0.55000000000000004">
      <c r="B99" s="17" t="s">
        <v>53</v>
      </c>
      <c r="C99" s="18" t="s">
        <v>54</v>
      </c>
      <c r="D99" s="19" t="s">
        <v>55</v>
      </c>
      <c r="F99" s="9"/>
    </row>
    <row r="100" spans="2:6" x14ac:dyDescent="0.5">
      <c r="B100" s="23" t="s">
        <v>56</v>
      </c>
      <c r="C100">
        <v>699847.72808215301</v>
      </c>
      <c r="D100" s="9">
        <f>C100*25</f>
        <v>17496193.202053826</v>
      </c>
      <c r="F100" s="9"/>
    </row>
    <row r="101" spans="2:6" x14ac:dyDescent="0.5">
      <c r="B101" s="3" t="s">
        <v>57</v>
      </c>
      <c r="C101">
        <v>508002.73400901729</v>
      </c>
      <c r="D101" s="9">
        <f>C101*25</f>
        <v>12700068.350225432</v>
      </c>
      <c r="F101" s="9"/>
    </row>
    <row r="102" spans="2:6" ht="14.7" customHeight="1" thickBot="1" x14ac:dyDescent="0.55000000000000004">
      <c r="B102" s="16" t="s">
        <v>26</v>
      </c>
      <c r="C102" s="12">
        <f>C100+C101</f>
        <v>1207850.4620911703</v>
      </c>
      <c r="D102" s="13">
        <f>C102*25</f>
        <v>30196261.552279256</v>
      </c>
      <c r="F102" s="9"/>
    </row>
    <row r="103" spans="2:6" ht="14.7" customHeight="1" thickBot="1" x14ac:dyDescent="0.55000000000000004">
      <c r="B103" s="8"/>
      <c r="F103" s="9"/>
    </row>
    <row r="104" spans="2:6" ht="14.7" customHeight="1" thickBot="1" x14ac:dyDescent="0.55000000000000004">
      <c r="B104" s="29" t="s">
        <v>58</v>
      </c>
      <c r="C104" s="30"/>
      <c r="D104" s="31"/>
      <c r="F104" s="9"/>
    </row>
    <row r="105" spans="2:6" ht="14.7" customHeight="1" thickBot="1" x14ac:dyDescent="0.55000000000000004">
      <c r="B105" s="17" t="s">
        <v>53</v>
      </c>
      <c r="C105" s="18" t="s">
        <v>59</v>
      </c>
      <c r="D105" s="22" t="s">
        <v>60</v>
      </c>
      <c r="F105" s="9"/>
    </row>
    <row r="106" spans="2:6" x14ac:dyDescent="0.5">
      <c r="B106" s="23" t="s">
        <v>56</v>
      </c>
      <c r="C106">
        <f>2.6085*C100</f>
        <v>1825552.7987022961</v>
      </c>
      <c r="D106" s="9">
        <f>C106*25</f>
        <v>45638819.9675574</v>
      </c>
      <c r="F106" s="9"/>
    </row>
    <row r="107" spans="2:6" x14ac:dyDescent="0.5">
      <c r="B107" s="3" t="s">
        <v>57</v>
      </c>
      <c r="C107">
        <f>2.6085*C101</f>
        <v>1325125.1316625215</v>
      </c>
      <c r="D107" s="9">
        <f>C107*25</f>
        <v>33128128.291563038</v>
      </c>
      <c r="F107" s="9"/>
    </row>
    <row r="108" spans="2:6" ht="14.7" customHeight="1" thickBot="1" x14ac:dyDescent="0.55000000000000004">
      <c r="B108" s="16" t="s">
        <v>26</v>
      </c>
      <c r="C108" s="12">
        <f>2.6085*C102</f>
        <v>3150677.9303648174</v>
      </c>
      <c r="D108" s="13">
        <f>C108*25</f>
        <v>78766948.259120435</v>
      </c>
      <c r="E108" s="12"/>
      <c r="F108" s="13"/>
    </row>
  </sheetData>
  <mergeCells count="30">
    <mergeCell ref="H64:I64"/>
    <mergeCell ref="H50:J50"/>
    <mergeCell ref="H55:J55"/>
    <mergeCell ref="B86:D86"/>
    <mergeCell ref="B104:D104"/>
    <mergeCell ref="B73:F73"/>
    <mergeCell ref="B36:D36"/>
    <mergeCell ref="B94:D94"/>
    <mergeCell ref="B50:D50"/>
    <mergeCell ref="B68:C68"/>
    <mergeCell ref="B64:C64"/>
    <mergeCell ref="B47:C47"/>
    <mergeCell ref="B98:D98"/>
    <mergeCell ref="B72:F72"/>
    <mergeCell ref="H33:I33"/>
    <mergeCell ref="B5:L5"/>
    <mergeCell ref="B63:C63"/>
    <mergeCell ref="B43:D43"/>
    <mergeCell ref="H25:J25"/>
    <mergeCell ref="H6:L6"/>
    <mergeCell ref="H60:I60"/>
    <mergeCell ref="B60:C60"/>
    <mergeCell ref="B55:D55"/>
    <mergeCell ref="H47:I47"/>
    <mergeCell ref="B25:D25"/>
    <mergeCell ref="H43:J43"/>
    <mergeCell ref="B6:F6"/>
    <mergeCell ref="B33:C33"/>
    <mergeCell ref="H36:J36"/>
    <mergeCell ref="H63:I63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B4:N108"/>
  <sheetViews>
    <sheetView tabSelected="1" topLeftCell="A15" zoomScale="70" zoomScaleNormal="70" workbookViewId="0">
      <selection activeCell="M29" sqref="M29"/>
    </sheetView>
  </sheetViews>
  <sheetFormatPr defaultColWidth="39.234375" defaultRowHeight="14.35" x14ac:dyDescent="0.5"/>
  <cols>
    <col min="1" max="1" width="13.52734375" customWidth="1"/>
    <col min="2" max="2" width="15.234375" bestFit="1" customWidth="1"/>
    <col min="3" max="3" width="17.64453125" bestFit="1" customWidth="1"/>
    <col min="4" max="4" width="18.64453125" bestFit="1" customWidth="1"/>
    <col min="5" max="5" width="13.5859375" bestFit="1" customWidth="1"/>
    <col min="6" max="6" width="14.5859375" bestFit="1" customWidth="1"/>
    <col min="7" max="7" width="12.46875" customWidth="1"/>
    <col min="8" max="8" width="15.234375" bestFit="1" customWidth="1"/>
    <col min="9" max="9" width="15.703125" bestFit="1" customWidth="1"/>
    <col min="10" max="10" width="18" bestFit="1" customWidth="1"/>
    <col min="11" max="11" width="12.46875" bestFit="1" customWidth="1"/>
    <col min="12" max="12" width="14.5859375" bestFit="1" customWidth="1"/>
    <col min="13" max="13" width="14.41015625" bestFit="1" customWidth="1"/>
    <col min="14" max="14" width="13.41015625" bestFit="1" customWidth="1"/>
    <col min="15" max="15" width="11.76171875" bestFit="1" customWidth="1"/>
  </cols>
  <sheetData>
    <row r="4" spans="2:14" ht="14.7" customHeight="1" thickBot="1" x14ac:dyDescent="0.55000000000000004"/>
    <row r="5" spans="2:14" ht="14.7" customHeight="1" thickBot="1" x14ac:dyDescent="0.55000000000000004">
      <c r="B5" s="29" t="s">
        <v>0</v>
      </c>
      <c r="C5" s="30"/>
      <c r="D5" s="30"/>
      <c r="E5" s="30"/>
      <c r="F5" s="30"/>
      <c r="G5" s="30"/>
      <c r="H5" s="30"/>
      <c r="I5" s="30"/>
      <c r="J5" s="30"/>
      <c r="K5" s="30"/>
      <c r="L5" s="31"/>
    </row>
    <row r="6" spans="2:14" ht="14.7" customHeight="1" thickBot="1" x14ac:dyDescent="0.55000000000000004">
      <c r="B6" s="29" t="s">
        <v>1</v>
      </c>
      <c r="C6" s="30"/>
      <c r="D6" s="30"/>
      <c r="E6" s="30"/>
      <c r="F6" s="31"/>
      <c r="H6" s="29" t="s">
        <v>2</v>
      </c>
      <c r="I6" s="30"/>
      <c r="J6" s="30"/>
      <c r="K6" s="30"/>
      <c r="L6" s="31"/>
    </row>
    <row r="7" spans="2:14" ht="14.7" customHeight="1" thickBot="1" x14ac:dyDescent="0.55000000000000004">
      <c r="B7" s="24" t="s">
        <v>3</v>
      </c>
      <c r="C7" s="18" t="s">
        <v>4</v>
      </c>
      <c r="D7" s="18" t="s">
        <v>5</v>
      </c>
      <c r="E7" s="18" t="s">
        <v>6</v>
      </c>
      <c r="F7" s="19" t="s">
        <v>7</v>
      </c>
      <c r="H7" s="24" t="s">
        <v>3</v>
      </c>
      <c r="I7" s="18" t="s">
        <v>4</v>
      </c>
      <c r="J7" s="18" t="s">
        <v>5</v>
      </c>
      <c r="K7" s="18" t="s">
        <v>6</v>
      </c>
      <c r="L7" s="19" t="s">
        <v>7</v>
      </c>
    </row>
    <row r="8" spans="2:14" x14ac:dyDescent="0.5">
      <c r="B8" s="3" t="s">
        <v>8</v>
      </c>
      <c r="C8" s="6">
        <f>13698 * D27*((0.05*((1.05)^25))/((1.05^25)-1))</f>
        <v>777525.40806787787</v>
      </c>
      <c r="D8" s="6">
        <f>29*D27</f>
        <v>23200</v>
      </c>
      <c r="E8" s="6">
        <f>C8+D8</f>
        <v>800725.40806787787</v>
      </c>
      <c r="F8" s="10">
        <f>E8*25</f>
        <v>20018135.201696947</v>
      </c>
      <c r="H8" s="3" t="s">
        <v>9</v>
      </c>
      <c r="I8" s="39">
        <f>1615 * J27*((0.05*((1.05)^25))/((1.05^25)-1))</f>
        <v>1203176.2946516864</v>
      </c>
      <c r="J8" s="39">
        <f>29*J27</f>
        <v>304500</v>
      </c>
      <c r="K8" s="39">
        <f>I8+J8</f>
        <v>1507676.2946516864</v>
      </c>
      <c r="L8" s="10">
        <f>K8*25</f>
        <v>37691907.366292164</v>
      </c>
    </row>
    <row r="9" spans="2:14" x14ac:dyDescent="0.5">
      <c r="B9" s="3" t="s">
        <v>10</v>
      </c>
      <c r="C9" s="6">
        <f>13698 * D28*((0.05*((1.05)^25))/((1.05^25)-1))</f>
        <v>8747160.8407636266</v>
      </c>
      <c r="D9" s="6">
        <f>29*D28</f>
        <v>261000</v>
      </c>
      <c r="E9" s="6">
        <f>C9+D9</f>
        <v>9008160.8407636266</v>
      </c>
      <c r="F9" s="10">
        <f>E9*25</f>
        <v>225204021.01909065</v>
      </c>
      <c r="H9" s="3" t="s">
        <v>10</v>
      </c>
      <c r="I9" s="39">
        <f>1615 * J28*((0.05*((1.05)^25))/((1.05^25)-1))</f>
        <v>57294.109269127919</v>
      </c>
      <c r="J9" s="39">
        <f>29*J28</f>
        <v>14500</v>
      </c>
      <c r="K9" s="39">
        <f>I9+J9</f>
        <v>71794.109269127919</v>
      </c>
      <c r="L9" s="10">
        <f>K9*25</f>
        <v>1794852.731728198</v>
      </c>
      <c r="M9" s="7"/>
      <c r="N9" s="6"/>
    </row>
    <row r="10" spans="2:14" x14ac:dyDescent="0.5">
      <c r="B10" s="3" t="s">
        <v>11</v>
      </c>
      <c r="C10" s="6">
        <f>13698 * D29*((0.05*((1.05)^25))/((1.05^25)-1))</f>
        <v>0</v>
      </c>
      <c r="D10" s="6">
        <f>29*D29</f>
        <v>0</v>
      </c>
      <c r="E10" s="6">
        <f>C10+D10</f>
        <v>0</v>
      </c>
      <c r="F10" s="10">
        <f>E10*25</f>
        <v>0</v>
      </c>
      <c r="H10" s="3" t="s">
        <v>11</v>
      </c>
      <c r="I10" s="39">
        <f>1615 * J29*((0.05*((1.05)^25))/((1.05^25)-1))</f>
        <v>0</v>
      </c>
      <c r="J10" s="39">
        <f>29*J29</f>
        <v>0</v>
      </c>
      <c r="K10" s="39">
        <f>I10+J10</f>
        <v>0</v>
      </c>
      <c r="L10" s="10">
        <f>K10*25</f>
        <v>0</v>
      </c>
      <c r="M10" s="7"/>
    </row>
    <row r="11" spans="2:14" ht="14.7" customHeight="1" thickBot="1" x14ac:dyDescent="0.55000000000000004">
      <c r="B11" s="16" t="s">
        <v>12</v>
      </c>
      <c r="C11" s="14">
        <f>13698 * D30*((0.05*((1.05)^25))/((1.05^25)-1))</f>
        <v>0</v>
      </c>
      <c r="D11" s="14">
        <f>29*D30</f>
        <v>0</v>
      </c>
      <c r="E11" s="14">
        <f>C11+D11</f>
        <v>0</v>
      </c>
      <c r="F11" s="15">
        <f>E11*25</f>
        <v>0</v>
      </c>
      <c r="H11" s="16" t="s">
        <v>12</v>
      </c>
      <c r="I11" s="14">
        <f>1615 * J30*((0.05*((1.05)^25))/((1.05^25)-1))</f>
        <v>0</v>
      </c>
      <c r="J11" s="14">
        <f>29*J30</f>
        <v>0</v>
      </c>
      <c r="K11" s="14">
        <f>I11+J11</f>
        <v>0</v>
      </c>
      <c r="L11" s="13">
        <f>K11*25</f>
        <v>0</v>
      </c>
    </row>
    <row r="12" spans="2:14" ht="14.7" customHeight="1" thickBot="1" x14ac:dyDescent="0.55000000000000004">
      <c r="B12" s="24" t="s">
        <v>13</v>
      </c>
      <c r="C12" s="18" t="s">
        <v>4</v>
      </c>
      <c r="D12" s="18" t="s">
        <v>5</v>
      </c>
      <c r="E12" s="18" t="s">
        <v>6</v>
      </c>
      <c r="F12" s="19" t="s">
        <v>7</v>
      </c>
      <c r="H12" s="24" t="s">
        <v>13</v>
      </c>
      <c r="I12" s="18" t="s">
        <v>4</v>
      </c>
      <c r="J12" s="18" t="s">
        <v>5</v>
      </c>
      <c r="K12" s="18" t="s">
        <v>6</v>
      </c>
      <c r="L12" s="19" t="s">
        <v>7</v>
      </c>
    </row>
    <row r="13" spans="2:14" x14ac:dyDescent="0.5">
      <c r="B13" s="3" t="s">
        <v>14</v>
      </c>
      <c r="C13" s="4">
        <f>2490 * D38*((0.05*((1.05)^10))/((1.05^10)-1))</f>
        <v>2902197.5249758847</v>
      </c>
      <c r="D13" s="1">
        <f>37.35*D38</f>
        <v>336150</v>
      </c>
      <c r="E13">
        <f>C13+D13</f>
        <v>3238347.5249758847</v>
      </c>
      <c r="F13" s="9">
        <f>E13*25</f>
        <v>80958688.124397114</v>
      </c>
      <c r="H13" s="3" t="s">
        <v>14</v>
      </c>
      <c r="I13" s="4">
        <f>2490 * J38*((0.05*((1.05)^10))/((1.05^10)-1))</f>
        <v>3224663.9166398719</v>
      </c>
      <c r="J13" s="1">
        <f>37.35*J38</f>
        <v>373500</v>
      </c>
      <c r="K13" s="39">
        <f>I13+J13</f>
        <v>3598163.9166398719</v>
      </c>
      <c r="L13" s="10">
        <f>K13*25</f>
        <v>89954097.91599679</v>
      </c>
    </row>
    <row r="14" spans="2:14" x14ac:dyDescent="0.5">
      <c r="B14" s="3" t="s">
        <v>15</v>
      </c>
      <c r="C14" s="4">
        <f>1570 * D39*((0.05*((1.05)^10))/((1.05^10)-1))</f>
        <v>0</v>
      </c>
      <c r="D14" s="1">
        <f>23.55*D39</f>
        <v>0</v>
      </c>
      <c r="E14">
        <f>C14+D14</f>
        <v>0</v>
      </c>
      <c r="F14" s="9">
        <f>E14*25</f>
        <v>0</v>
      </c>
      <c r="H14" s="3" t="s">
        <v>15</v>
      </c>
      <c r="I14" s="4">
        <f>1570 * J39*((0.05*((1.05)^10))/((1.05^10)-1))</f>
        <v>0</v>
      </c>
      <c r="J14" s="1">
        <f>23.55*J39</f>
        <v>0</v>
      </c>
      <c r="K14" s="38">
        <f>I14+J14</f>
        <v>0</v>
      </c>
      <c r="L14" s="10">
        <f>K14*25</f>
        <v>0</v>
      </c>
    </row>
    <row r="15" spans="2:14" ht="14.7" customHeight="1" thickBot="1" x14ac:dyDescent="0.55000000000000004">
      <c r="B15" s="16" t="s">
        <v>16</v>
      </c>
      <c r="C15" s="5">
        <f>1190 * D40*((0.05*((1.05)^10))/((1.05^10)-1))</f>
        <v>0</v>
      </c>
      <c r="D15" s="2">
        <f>17.85*D40</f>
        <v>0</v>
      </c>
      <c r="E15" s="12">
        <f>C15+D15</f>
        <v>0</v>
      </c>
      <c r="F15" s="13">
        <f>E15*25</f>
        <v>0</v>
      </c>
      <c r="H15" s="16" t="s">
        <v>16</v>
      </c>
      <c r="I15" s="5">
        <f>1190 * J40*((0.05*((1.05)^10))/((1.05^10)-1))</f>
        <v>0</v>
      </c>
      <c r="J15" s="2">
        <f>17.85*J40</f>
        <v>0</v>
      </c>
      <c r="K15" s="12">
        <f>I15+J15</f>
        <v>0</v>
      </c>
      <c r="L15" s="15">
        <f>K15*25</f>
        <v>0</v>
      </c>
    </row>
    <row r="16" spans="2:14" ht="14.7" customHeight="1" thickBot="1" x14ac:dyDescent="0.55000000000000004">
      <c r="B16" s="24" t="s">
        <v>17</v>
      </c>
      <c r="C16" s="18" t="s">
        <v>4</v>
      </c>
      <c r="D16" s="18" t="s">
        <v>5</v>
      </c>
      <c r="E16" s="18" t="s">
        <v>6</v>
      </c>
      <c r="F16" s="19" t="s">
        <v>7</v>
      </c>
      <c r="H16" s="24" t="s">
        <v>17</v>
      </c>
      <c r="I16" s="18" t="s">
        <v>4</v>
      </c>
      <c r="J16" s="18" t="s">
        <v>5</v>
      </c>
      <c r="K16" s="18" t="s">
        <v>6</v>
      </c>
      <c r="L16" s="19" t="s">
        <v>7</v>
      </c>
    </row>
    <row r="17" spans="2:14" ht="14.7" customHeight="1" thickBot="1" x14ac:dyDescent="0.55000000000000004">
      <c r="B17" s="16" t="s">
        <v>18</v>
      </c>
      <c r="C17" s="12">
        <v>108339.0476399887</v>
      </c>
      <c r="D17" s="12">
        <v>135014.39999999999</v>
      </c>
      <c r="E17" s="12">
        <f>D17+C17</f>
        <v>243353.44763998868</v>
      </c>
      <c r="F17" s="13">
        <f>E17*25</f>
        <v>6083836.1909997165</v>
      </c>
      <c r="H17" s="16" t="s">
        <v>18</v>
      </c>
      <c r="I17" s="12">
        <v>108339.0476399887</v>
      </c>
      <c r="J17" s="12">
        <v>135014.39999999999</v>
      </c>
      <c r="K17" s="12">
        <f>J17+I17</f>
        <v>243353.44763998868</v>
      </c>
      <c r="L17" s="15">
        <f>K17*25</f>
        <v>6083836.1909997165</v>
      </c>
    </row>
    <row r="18" spans="2:14" ht="14.7" customHeight="1" thickBot="1" x14ac:dyDescent="0.55000000000000004">
      <c r="B18" s="24" t="s">
        <v>19</v>
      </c>
      <c r="C18" s="18" t="s">
        <v>4</v>
      </c>
      <c r="D18" s="18" t="s">
        <v>5</v>
      </c>
      <c r="E18" s="18" t="s">
        <v>6</v>
      </c>
      <c r="F18" s="19" t="s">
        <v>7</v>
      </c>
      <c r="H18" s="24" t="s">
        <v>20</v>
      </c>
      <c r="I18" s="18" t="s">
        <v>4</v>
      </c>
      <c r="J18" s="18" t="s">
        <v>5</v>
      </c>
      <c r="K18" s="18" t="s">
        <v>6</v>
      </c>
      <c r="L18" s="19" t="s">
        <v>7</v>
      </c>
    </row>
    <row r="19" spans="2:14" ht="14.7" customHeight="1" thickBot="1" x14ac:dyDescent="0.55000000000000004">
      <c r="B19" s="11"/>
      <c r="C19" s="12">
        <f>C48*300*((0.05*((1.05)^20))/((1.05^20)-1))</f>
        <v>1880806.0011626137</v>
      </c>
      <c r="D19" s="12">
        <v>0</v>
      </c>
      <c r="E19" s="12">
        <f>D19+C19</f>
        <v>1880806.0011626137</v>
      </c>
      <c r="F19" s="13">
        <f>E19*25</f>
        <v>47020150.029065341</v>
      </c>
      <c r="H19" s="11"/>
      <c r="I19" s="14">
        <f>(I48/10)*3000*((0.05*((1.05)^20))/((1.05^20)-1))</f>
        <v>667056.62731621694</v>
      </c>
      <c r="J19" s="12">
        <v>0</v>
      </c>
      <c r="K19" s="12">
        <f>J19+I19</f>
        <v>667056.62731621694</v>
      </c>
      <c r="L19" s="15">
        <f>K19*25</f>
        <v>16676415.682905424</v>
      </c>
    </row>
    <row r="20" spans="2:14" ht="14.7" customHeight="1" thickBot="1" x14ac:dyDescent="0.55000000000000004">
      <c r="B20" s="24" t="s">
        <v>21</v>
      </c>
      <c r="C20" s="18" t="s">
        <v>4</v>
      </c>
      <c r="D20" s="18" t="s">
        <v>5</v>
      </c>
      <c r="E20" s="18" t="s">
        <v>6</v>
      </c>
      <c r="F20" s="19" t="s">
        <v>7</v>
      </c>
      <c r="H20" s="24" t="s">
        <v>21</v>
      </c>
      <c r="I20" s="18" t="s">
        <v>4</v>
      </c>
      <c r="J20" s="18" t="s">
        <v>5</v>
      </c>
      <c r="K20" s="18" t="s">
        <v>6</v>
      </c>
      <c r="L20" s="19" t="s">
        <v>7</v>
      </c>
    </row>
    <row r="21" spans="2:14" ht="14.7" customHeight="1" thickBot="1" x14ac:dyDescent="0.55000000000000004">
      <c r="B21" s="11"/>
      <c r="C21" s="12">
        <v>0</v>
      </c>
      <c r="D21" s="12">
        <v>0</v>
      </c>
      <c r="E21" s="12">
        <f>C21+D21</f>
        <v>0</v>
      </c>
      <c r="F21" s="13">
        <f>E21*25</f>
        <v>0</v>
      </c>
      <c r="H21" s="11"/>
      <c r="I21" s="12">
        <v>271.70140022768072</v>
      </c>
      <c r="J21" s="12">
        <v>38</v>
      </c>
      <c r="K21" s="12">
        <f>J21+I21</f>
        <v>309.70140022768072</v>
      </c>
      <c r="L21" s="13">
        <f>K21*25</f>
        <v>7742.5350056920179</v>
      </c>
    </row>
    <row r="22" spans="2:14" ht="14.7" customHeight="1" thickBot="1" x14ac:dyDescent="0.55000000000000004">
      <c r="B22" s="17"/>
      <c r="C22" s="18" t="s">
        <v>4</v>
      </c>
      <c r="D22" s="18" t="s">
        <v>5</v>
      </c>
      <c r="E22" s="18" t="s">
        <v>6</v>
      </c>
      <c r="F22" s="19" t="s">
        <v>7</v>
      </c>
      <c r="H22" s="17"/>
      <c r="I22" s="18" t="s">
        <v>4</v>
      </c>
      <c r="J22" s="18" t="s">
        <v>5</v>
      </c>
      <c r="K22" s="18" t="s">
        <v>6</v>
      </c>
      <c r="L22" s="19" t="s">
        <v>7</v>
      </c>
    </row>
    <row r="23" spans="2:14" ht="14.7" customHeight="1" thickBot="1" x14ac:dyDescent="0.55000000000000004">
      <c r="B23" s="24" t="s">
        <v>22</v>
      </c>
      <c r="C23" s="12">
        <v>14409529.173047541</v>
      </c>
      <c r="D23" s="12">
        <v>755364.4</v>
      </c>
      <c r="E23" s="25">
        <v>15164893.573047539</v>
      </c>
      <c r="F23" s="13">
        <f>D23*25</f>
        <v>18884110</v>
      </c>
      <c r="H23" s="24" t="s">
        <v>22</v>
      </c>
      <c r="I23" s="14">
        <v>5260801.6969171176</v>
      </c>
      <c r="J23" s="14">
        <v>827552.4</v>
      </c>
      <c r="K23" s="14">
        <v>4062917.2247025901</v>
      </c>
      <c r="L23" s="15">
        <f>K23*25</f>
        <v>101572930.61756475</v>
      </c>
      <c r="M23" s="6"/>
    </row>
    <row r="24" spans="2:14" ht="14.7" customHeight="1" thickBot="1" x14ac:dyDescent="0.55000000000000004">
      <c r="B24" s="8"/>
      <c r="F24" s="9"/>
      <c r="H24" s="8"/>
      <c r="I24" s="39"/>
      <c r="J24" s="39"/>
      <c r="K24" s="39"/>
      <c r="L24" s="10"/>
      <c r="M24" s="6"/>
      <c r="N24" s="7"/>
    </row>
    <row r="25" spans="2:14" ht="14.7" customHeight="1" thickBot="1" x14ac:dyDescent="0.55000000000000004">
      <c r="B25" s="29" t="s">
        <v>3</v>
      </c>
      <c r="C25" s="30"/>
      <c r="D25" s="31"/>
      <c r="F25" s="9"/>
      <c r="H25" s="29" t="s">
        <v>3</v>
      </c>
      <c r="I25" s="30"/>
      <c r="J25" s="31"/>
      <c r="K25" s="38"/>
      <c r="L25" s="10"/>
      <c r="M25" s="6"/>
    </row>
    <row r="26" spans="2:14" ht="14.7" customHeight="1" thickBot="1" x14ac:dyDescent="0.55000000000000004">
      <c r="B26" s="17" t="s">
        <v>23</v>
      </c>
      <c r="C26" s="18" t="s">
        <v>24</v>
      </c>
      <c r="D26" s="19" t="s">
        <v>25</v>
      </c>
      <c r="F26" s="9"/>
      <c r="H26" s="17" t="s">
        <v>23</v>
      </c>
      <c r="I26" s="18" t="s">
        <v>24</v>
      </c>
      <c r="J26" s="19" t="s">
        <v>25</v>
      </c>
      <c r="K26" s="38"/>
      <c r="L26" s="10"/>
      <c r="M26" s="6"/>
    </row>
    <row r="27" spans="2:14" x14ac:dyDescent="0.5">
      <c r="B27" s="23" t="s">
        <v>9</v>
      </c>
      <c r="C27">
        <v>8</v>
      </c>
      <c r="D27" s="9">
        <v>800</v>
      </c>
      <c r="F27" s="9"/>
      <c r="H27" s="8" t="s">
        <v>9</v>
      </c>
      <c r="I27" s="38">
        <v>105</v>
      </c>
      <c r="J27" s="9">
        <v>10500</v>
      </c>
      <c r="K27" s="38"/>
      <c r="L27" s="9"/>
    </row>
    <row r="28" spans="2:14" x14ac:dyDescent="0.5">
      <c r="B28" s="3" t="s">
        <v>10</v>
      </c>
      <c r="C28">
        <v>18</v>
      </c>
      <c r="D28" s="9">
        <v>9000</v>
      </c>
      <c r="F28" s="9"/>
      <c r="H28" s="8" t="s">
        <v>10</v>
      </c>
      <c r="I28" s="38">
        <v>1</v>
      </c>
      <c r="J28" s="9">
        <v>500</v>
      </c>
      <c r="K28" s="38"/>
      <c r="L28" s="9"/>
    </row>
    <row r="29" spans="2:14" x14ac:dyDescent="0.5">
      <c r="B29" s="3" t="s">
        <v>11</v>
      </c>
      <c r="C29">
        <v>0</v>
      </c>
      <c r="D29" s="9">
        <v>0</v>
      </c>
      <c r="F29" s="9"/>
      <c r="H29" s="8" t="s">
        <v>11</v>
      </c>
      <c r="I29" s="38">
        <v>0</v>
      </c>
      <c r="J29" s="9">
        <v>0</v>
      </c>
      <c r="K29" s="38"/>
      <c r="L29" s="9"/>
    </row>
    <row r="30" spans="2:14" x14ac:dyDescent="0.5">
      <c r="B30" s="3" t="s">
        <v>12</v>
      </c>
      <c r="C30">
        <v>0</v>
      </c>
      <c r="D30" s="9">
        <v>0</v>
      </c>
      <c r="F30" s="9"/>
      <c r="H30" s="8" t="s">
        <v>12</v>
      </c>
      <c r="I30" s="38">
        <v>0</v>
      </c>
      <c r="J30" s="9">
        <v>0</v>
      </c>
      <c r="K30" s="38"/>
      <c r="L30" s="9"/>
    </row>
    <row r="31" spans="2:14" ht="14.7" customHeight="1" thickBot="1" x14ac:dyDescent="0.55000000000000004">
      <c r="B31" s="16" t="s">
        <v>26</v>
      </c>
      <c r="C31" s="12">
        <v>26</v>
      </c>
      <c r="D31" s="13">
        <v>9800</v>
      </c>
      <c r="F31" s="9"/>
      <c r="H31" s="11" t="s">
        <v>26</v>
      </c>
      <c r="I31" s="12">
        <v>106</v>
      </c>
      <c r="J31" s="13">
        <v>11000</v>
      </c>
      <c r="K31" s="38"/>
      <c r="L31" s="9"/>
    </row>
    <row r="32" spans="2:14" ht="14.7" customHeight="1" thickBot="1" x14ac:dyDescent="0.55000000000000004">
      <c r="B32" s="8"/>
      <c r="F32" s="9"/>
      <c r="H32" s="8"/>
      <c r="I32" s="38"/>
      <c r="J32" s="38"/>
      <c r="K32" s="38"/>
      <c r="L32" s="9"/>
    </row>
    <row r="33" spans="2:12" ht="14.7" customHeight="1" thickBot="1" x14ac:dyDescent="0.55000000000000004">
      <c r="B33" s="29" t="s">
        <v>21</v>
      </c>
      <c r="C33" s="31"/>
      <c r="F33" s="9"/>
      <c r="H33" s="29" t="s">
        <v>21</v>
      </c>
      <c r="I33" s="31"/>
      <c r="J33" s="38"/>
      <c r="K33" s="38"/>
      <c r="L33" s="9"/>
    </row>
    <row r="34" spans="2:12" ht="14.7" customHeight="1" thickBot="1" x14ac:dyDescent="0.55000000000000004">
      <c r="B34" s="24" t="s">
        <v>25</v>
      </c>
      <c r="C34" s="13">
        <v>0</v>
      </c>
      <c r="F34" s="9"/>
      <c r="H34" s="24" t="s">
        <v>25</v>
      </c>
      <c r="I34" s="13">
        <v>2</v>
      </c>
      <c r="J34" s="38"/>
      <c r="K34" s="38"/>
      <c r="L34" s="9"/>
    </row>
    <row r="35" spans="2:12" ht="14.7" customHeight="1" thickBot="1" x14ac:dyDescent="0.55000000000000004">
      <c r="B35" s="8"/>
      <c r="F35" s="9"/>
      <c r="H35" s="8"/>
      <c r="I35" s="38"/>
      <c r="J35" s="38"/>
      <c r="K35" s="38"/>
      <c r="L35" s="9"/>
    </row>
    <row r="36" spans="2:12" ht="14.7" customHeight="1" thickBot="1" x14ac:dyDescent="0.55000000000000004">
      <c r="B36" s="29" t="s">
        <v>13</v>
      </c>
      <c r="C36" s="30"/>
      <c r="D36" s="31"/>
      <c r="F36" s="9"/>
      <c r="H36" s="29" t="s">
        <v>13</v>
      </c>
      <c r="I36" s="30"/>
      <c r="J36" s="31"/>
      <c r="K36" s="38"/>
      <c r="L36" s="9"/>
    </row>
    <row r="37" spans="2:12" ht="14.7" customHeight="1" thickBot="1" x14ac:dyDescent="0.55000000000000004">
      <c r="B37" s="24" t="s">
        <v>23</v>
      </c>
      <c r="C37" s="18" t="s">
        <v>24</v>
      </c>
      <c r="D37" s="19" t="s">
        <v>25</v>
      </c>
      <c r="F37" s="9"/>
      <c r="H37" s="17" t="s">
        <v>23</v>
      </c>
      <c r="I37" s="18" t="s">
        <v>24</v>
      </c>
      <c r="J37" s="19" t="s">
        <v>25</v>
      </c>
      <c r="K37" s="38"/>
      <c r="L37" s="9"/>
    </row>
    <row r="38" spans="2:12" x14ac:dyDescent="0.5">
      <c r="B38" s="23" t="s">
        <v>14</v>
      </c>
      <c r="C38">
        <v>9</v>
      </c>
      <c r="D38" s="9">
        <v>9000</v>
      </c>
      <c r="F38" s="9"/>
      <c r="H38" s="23" t="s">
        <v>14</v>
      </c>
      <c r="I38" s="38">
        <v>10</v>
      </c>
      <c r="J38" s="9">
        <v>10000</v>
      </c>
      <c r="K38" s="38"/>
      <c r="L38" s="9"/>
    </row>
    <row r="39" spans="2:12" x14ac:dyDescent="0.5">
      <c r="B39" s="3" t="s">
        <v>15</v>
      </c>
      <c r="C39">
        <v>0</v>
      </c>
      <c r="D39" s="9">
        <v>0</v>
      </c>
      <c r="F39" s="9"/>
      <c r="H39" s="3" t="s">
        <v>15</v>
      </c>
      <c r="I39" s="38">
        <v>0</v>
      </c>
      <c r="J39" s="9">
        <v>0</v>
      </c>
      <c r="K39" s="38"/>
      <c r="L39" s="9"/>
    </row>
    <row r="40" spans="2:12" x14ac:dyDescent="0.5">
      <c r="B40" s="3" t="s">
        <v>16</v>
      </c>
      <c r="C40">
        <v>0</v>
      </c>
      <c r="D40" s="9">
        <v>0</v>
      </c>
      <c r="F40" s="9"/>
      <c r="H40" s="3" t="s">
        <v>16</v>
      </c>
      <c r="I40" s="38">
        <v>0</v>
      </c>
      <c r="J40" s="9">
        <v>0</v>
      </c>
      <c r="K40" s="38"/>
      <c r="L40" s="9"/>
    </row>
    <row r="41" spans="2:12" ht="14.7" customHeight="1" thickBot="1" x14ac:dyDescent="0.55000000000000004">
      <c r="B41" s="16" t="s">
        <v>26</v>
      </c>
      <c r="C41" s="12">
        <v>9</v>
      </c>
      <c r="D41" s="13">
        <v>9000</v>
      </c>
      <c r="F41" s="9"/>
      <c r="H41" s="16" t="s">
        <v>26</v>
      </c>
      <c r="I41" s="12">
        <v>10</v>
      </c>
      <c r="J41" s="13">
        <v>10000</v>
      </c>
      <c r="K41" s="38"/>
      <c r="L41" s="9"/>
    </row>
    <row r="42" spans="2:12" ht="14.7" customHeight="1" thickBot="1" x14ac:dyDescent="0.55000000000000004">
      <c r="B42" s="8"/>
      <c r="F42" s="9"/>
      <c r="H42" s="8"/>
      <c r="I42" s="38"/>
      <c r="J42" s="38"/>
      <c r="K42" s="38"/>
      <c r="L42" s="9"/>
    </row>
    <row r="43" spans="2:12" ht="14.7" customHeight="1" thickBot="1" x14ac:dyDescent="0.55000000000000004">
      <c r="B43" s="29" t="s">
        <v>27</v>
      </c>
      <c r="C43" s="30"/>
      <c r="D43" s="31"/>
      <c r="F43" s="9"/>
      <c r="H43" s="29" t="s">
        <v>27</v>
      </c>
      <c r="I43" s="30"/>
      <c r="J43" s="31"/>
      <c r="K43" s="38"/>
      <c r="L43" s="9"/>
    </row>
    <row r="44" spans="2:12" ht="14.7" customHeight="1" thickBot="1" x14ac:dyDescent="0.55000000000000004">
      <c r="B44" s="24" t="s">
        <v>23</v>
      </c>
      <c r="C44" s="18" t="s">
        <v>24</v>
      </c>
      <c r="D44" s="19" t="s">
        <v>25</v>
      </c>
      <c r="F44" s="9"/>
      <c r="H44" s="17" t="s">
        <v>23</v>
      </c>
      <c r="I44" s="18" t="s">
        <v>24</v>
      </c>
      <c r="J44" s="19" t="s">
        <v>25</v>
      </c>
      <c r="K44" s="38"/>
      <c r="L44" s="9"/>
    </row>
    <row r="45" spans="2:12" ht="14.7" customHeight="1" thickBot="1" x14ac:dyDescent="0.55000000000000004">
      <c r="B45" s="24" t="s">
        <v>18</v>
      </c>
      <c r="C45" s="12">
        <v>480</v>
      </c>
      <c r="D45" s="13">
        <v>8438.4</v>
      </c>
      <c r="F45" s="9"/>
      <c r="H45" s="24" t="s">
        <v>18</v>
      </c>
      <c r="I45" s="12">
        <v>480</v>
      </c>
      <c r="J45" s="13">
        <v>8438.4</v>
      </c>
      <c r="K45" s="38"/>
      <c r="L45" s="9"/>
    </row>
    <row r="46" spans="2:12" ht="14.7" customHeight="1" thickBot="1" x14ac:dyDescent="0.55000000000000004">
      <c r="B46" s="8"/>
      <c r="F46" s="9"/>
      <c r="H46" s="8"/>
      <c r="I46" s="38"/>
      <c r="J46" s="38"/>
      <c r="K46" s="38"/>
      <c r="L46" s="9"/>
    </row>
    <row r="47" spans="2:12" ht="14.7" customHeight="1" thickBot="1" x14ac:dyDescent="0.55000000000000004">
      <c r="B47" s="29" t="s">
        <v>28</v>
      </c>
      <c r="C47" s="31"/>
      <c r="F47" s="9"/>
      <c r="H47" s="29" t="s">
        <v>28</v>
      </c>
      <c r="I47" s="31"/>
      <c r="J47" s="38"/>
      <c r="K47" s="38"/>
      <c r="L47" s="9"/>
    </row>
    <row r="48" spans="2:12" ht="14.7" customHeight="1" thickBot="1" x14ac:dyDescent="0.55000000000000004">
      <c r="B48" s="11" t="s">
        <v>29</v>
      </c>
      <c r="C48" s="13">
        <v>78130</v>
      </c>
      <c r="F48" s="9"/>
      <c r="H48" s="24" t="s">
        <v>29</v>
      </c>
      <c r="I48" s="13">
        <v>27710</v>
      </c>
      <c r="J48" s="38"/>
      <c r="K48" s="38"/>
      <c r="L48" s="9"/>
    </row>
    <row r="49" spans="2:12" ht="14.7" customHeight="1" thickBot="1" x14ac:dyDescent="0.55000000000000004">
      <c r="B49" s="8"/>
      <c r="F49" s="9"/>
      <c r="H49" s="8"/>
      <c r="I49" s="38"/>
      <c r="J49" s="38"/>
      <c r="K49" s="38"/>
      <c r="L49" s="9"/>
    </row>
    <row r="50" spans="2:12" ht="14.7" customHeight="1" thickBot="1" x14ac:dyDescent="0.55000000000000004">
      <c r="B50" s="29" t="s">
        <v>30</v>
      </c>
      <c r="C50" s="30"/>
      <c r="D50" s="31"/>
      <c r="F50" s="9"/>
      <c r="H50" s="35" t="s">
        <v>30</v>
      </c>
      <c r="I50" s="36"/>
      <c r="J50" s="37"/>
      <c r="K50" s="38"/>
      <c r="L50" s="9"/>
    </row>
    <row r="51" spans="2:12" ht="14.7" customHeight="1" thickBot="1" x14ac:dyDescent="0.55000000000000004">
      <c r="B51" s="11" t="s">
        <v>31</v>
      </c>
      <c r="C51" s="12" t="s">
        <v>32</v>
      </c>
      <c r="D51" s="13" t="s">
        <v>33</v>
      </c>
      <c r="F51" s="9"/>
      <c r="H51" s="24" t="s">
        <v>31</v>
      </c>
      <c r="I51" s="18" t="s">
        <v>61</v>
      </c>
      <c r="J51" s="21" t="s">
        <v>33</v>
      </c>
      <c r="K51" s="38"/>
      <c r="L51" s="9"/>
    </row>
    <row r="52" spans="2:12" ht="14.7" customHeight="1" x14ac:dyDescent="0.5">
      <c r="B52" s="23" t="s">
        <v>34</v>
      </c>
      <c r="C52" s="26">
        <v>13225666.2533351</v>
      </c>
      <c r="D52" s="27">
        <f>C52*25</f>
        <v>330641656.33337748</v>
      </c>
      <c r="F52" s="9"/>
      <c r="H52" s="3" t="s">
        <v>34</v>
      </c>
      <c r="I52" s="40">
        <v>13144398.455760401</v>
      </c>
      <c r="J52" s="27">
        <f>I52*25</f>
        <v>328609961.39401001</v>
      </c>
      <c r="K52" s="38"/>
      <c r="L52" s="9"/>
    </row>
    <row r="53" spans="2:12" ht="14.7" customHeight="1" thickBot="1" x14ac:dyDescent="0.55000000000000004">
      <c r="B53" s="16" t="s">
        <v>35</v>
      </c>
      <c r="C53" s="25">
        <v>2685447.6336291982</v>
      </c>
      <c r="D53" s="28">
        <f>C53*25</f>
        <v>67136190.840729952</v>
      </c>
      <c r="F53" s="9"/>
      <c r="H53" s="16" t="s">
        <v>35</v>
      </c>
      <c r="I53" s="25">
        <v>1550396.357389336</v>
      </c>
      <c r="J53" s="28">
        <f>I53*25</f>
        <v>38759908.934733398</v>
      </c>
      <c r="K53" s="38"/>
      <c r="L53" s="9"/>
    </row>
    <row r="54" spans="2:12" ht="14.7" customHeight="1" thickBot="1" x14ac:dyDescent="0.55000000000000004">
      <c r="B54" s="8"/>
      <c r="F54" s="9"/>
      <c r="H54" s="8"/>
      <c r="I54" s="39"/>
      <c r="J54" s="10"/>
      <c r="K54" s="38"/>
      <c r="L54" s="9"/>
    </row>
    <row r="55" spans="2:12" ht="14.7" customHeight="1" thickBot="1" x14ac:dyDescent="0.55000000000000004">
      <c r="B55" s="29" t="s">
        <v>36</v>
      </c>
      <c r="C55" s="30"/>
      <c r="D55" s="31"/>
      <c r="F55" s="9"/>
      <c r="H55" s="35" t="s">
        <v>36</v>
      </c>
      <c r="I55" s="36"/>
      <c r="J55" s="37"/>
      <c r="K55" s="38"/>
      <c r="L55" s="9"/>
    </row>
    <row r="56" spans="2:12" ht="14.7" customHeight="1" thickBot="1" x14ac:dyDescent="0.55000000000000004">
      <c r="B56" s="11" t="s">
        <v>31</v>
      </c>
      <c r="C56" s="12" t="s">
        <v>32</v>
      </c>
      <c r="D56" s="13" t="s">
        <v>33</v>
      </c>
      <c r="F56" s="9"/>
      <c r="H56" s="24" t="s">
        <v>31</v>
      </c>
      <c r="I56" s="20">
        <v>3570083.5311941798</v>
      </c>
      <c r="J56" s="21" t="s">
        <v>33</v>
      </c>
      <c r="K56" s="38"/>
      <c r="L56" s="9"/>
    </row>
    <row r="57" spans="2:12" ht="14.7" customHeight="1" thickBot="1" x14ac:dyDescent="0.55000000000000004">
      <c r="B57" s="23" t="s">
        <v>34</v>
      </c>
      <c r="C57">
        <v>3592156.26633796</v>
      </c>
      <c r="D57" s="9">
        <f>C57*25</f>
        <v>89803906.658448994</v>
      </c>
      <c r="F57" s="9"/>
      <c r="H57" s="16" t="s">
        <v>34</v>
      </c>
      <c r="I57" s="14">
        <v>602710.53672059998</v>
      </c>
      <c r="J57" s="15">
        <f>I57*25</f>
        <v>15067763.418014999</v>
      </c>
      <c r="K57" s="38"/>
      <c r="L57" s="9"/>
    </row>
    <row r="58" spans="2:12" ht="14.7" customHeight="1" thickBot="1" x14ac:dyDescent="0.55000000000000004">
      <c r="B58" s="16" t="s">
        <v>35</v>
      </c>
      <c r="C58" s="12">
        <v>1239784.080610279</v>
      </c>
      <c r="D58" s="13">
        <f>C58*25</f>
        <v>30994602.015256975</v>
      </c>
      <c r="F58" s="9"/>
      <c r="H58" s="8" t="s">
        <v>35</v>
      </c>
      <c r="I58" s="12">
        <v>1550396.357389336</v>
      </c>
      <c r="J58" s="38">
        <f>I58*25</f>
        <v>38759908.934733398</v>
      </c>
      <c r="K58" s="38"/>
      <c r="L58" s="9"/>
    </row>
    <row r="59" spans="2:12" ht="14.7" customHeight="1" thickBot="1" x14ac:dyDescent="0.55000000000000004">
      <c r="B59" s="8"/>
      <c r="F59" s="9"/>
      <c r="H59" s="8"/>
      <c r="I59" s="38"/>
      <c r="J59" s="38"/>
      <c r="K59" s="38"/>
      <c r="L59" s="9"/>
    </row>
    <row r="60" spans="2:12" ht="14.7" customHeight="1" thickBot="1" x14ac:dyDescent="0.55000000000000004">
      <c r="B60" s="29" t="s">
        <v>37</v>
      </c>
      <c r="C60" s="31"/>
      <c r="F60" s="9"/>
      <c r="H60" s="29" t="s">
        <v>38</v>
      </c>
      <c r="I60" s="31"/>
      <c r="J60" s="38"/>
      <c r="K60" s="38"/>
      <c r="L60" s="9"/>
    </row>
    <row r="61" spans="2:12" ht="14.7" customHeight="1" thickBot="1" x14ac:dyDescent="0.55000000000000004">
      <c r="B61" s="24" t="s">
        <v>39</v>
      </c>
      <c r="C61" s="13">
        <v>700723.09473881801</v>
      </c>
      <c r="F61" s="9"/>
      <c r="H61" s="24" t="s">
        <v>39</v>
      </c>
      <c r="I61" s="13">
        <v>249336.16291191601</v>
      </c>
      <c r="J61" s="38"/>
      <c r="K61" s="38"/>
      <c r="L61" s="9"/>
    </row>
    <row r="62" spans="2:12" ht="14.7" customHeight="1" thickBot="1" x14ac:dyDescent="0.55000000000000004">
      <c r="B62" s="8"/>
      <c r="F62" s="9"/>
      <c r="H62" s="8"/>
      <c r="I62" s="38"/>
      <c r="J62" s="38"/>
      <c r="K62" s="38"/>
      <c r="L62" s="9"/>
    </row>
    <row r="63" spans="2:12" ht="14.7" customHeight="1" thickBot="1" x14ac:dyDescent="0.55000000000000004">
      <c r="B63" s="29" t="s">
        <v>40</v>
      </c>
      <c r="C63" s="31"/>
      <c r="F63" s="9"/>
      <c r="H63" s="29" t="s">
        <v>40</v>
      </c>
      <c r="I63" s="31"/>
      <c r="J63" s="38"/>
      <c r="K63" s="38"/>
      <c r="L63" s="9"/>
    </row>
    <row r="64" spans="2:12" ht="14.7" customHeight="1" thickBot="1" x14ac:dyDescent="0.55000000000000004">
      <c r="B64" s="29">
        <f>E23/B70</f>
        <v>1.1846056025482334</v>
      </c>
      <c r="C64" s="31"/>
      <c r="F64" s="9"/>
      <c r="H64" s="29">
        <f>K23/B70</f>
        <v>0.31737476322461233</v>
      </c>
      <c r="I64" s="31"/>
      <c r="J64" s="38"/>
      <c r="K64" s="38"/>
      <c r="L64" s="9"/>
    </row>
    <row r="65" spans="2:12" x14ac:dyDescent="0.5">
      <c r="B65" s="8"/>
      <c r="F65" s="9"/>
      <c r="H65" s="8"/>
      <c r="I65" s="38"/>
      <c r="J65" s="38"/>
      <c r="K65" s="38"/>
      <c r="L65" s="9"/>
    </row>
    <row r="66" spans="2:12" ht="14.7" customHeight="1" thickBot="1" x14ac:dyDescent="0.55000000000000004">
      <c r="B66" s="11"/>
      <c r="C66" s="12"/>
      <c r="D66" s="12"/>
      <c r="E66" s="12"/>
      <c r="F66" s="13"/>
      <c r="G66" s="12"/>
      <c r="H66" s="11"/>
      <c r="I66" s="12"/>
      <c r="J66" s="12"/>
      <c r="K66" s="12"/>
      <c r="L66" s="13"/>
    </row>
    <row r="67" spans="2:12" ht="14.7" customHeight="1" thickBot="1" x14ac:dyDescent="0.55000000000000004">
      <c r="B67" s="11"/>
      <c r="C67" s="12"/>
      <c r="L67" s="9"/>
    </row>
    <row r="68" spans="2:12" ht="14.7" customHeight="1" thickBot="1" x14ac:dyDescent="0.55000000000000004">
      <c r="B68" s="32" t="s">
        <v>41</v>
      </c>
      <c r="C68" s="33"/>
      <c r="L68" s="9"/>
    </row>
    <row r="69" spans="2:12" ht="14.7" customHeight="1" thickBot="1" x14ac:dyDescent="0.55000000000000004">
      <c r="B69" s="17" t="s">
        <v>42</v>
      </c>
      <c r="C69" s="19" t="s">
        <v>43</v>
      </c>
      <c r="L69" s="9"/>
    </row>
    <row r="70" spans="2:12" ht="14.7" customHeight="1" thickBot="1" x14ac:dyDescent="0.55000000000000004">
      <c r="B70" s="11">
        <f>C108</f>
        <v>12801639.24636687</v>
      </c>
      <c r="C70" s="13">
        <f>D108</f>
        <v>320040981.15917176</v>
      </c>
      <c r="D70" s="12"/>
      <c r="E70" s="12"/>
      <c r="F70" s="12"/>
      <c r="G70" s="12"/>
      <c r="H70" s="12"/>
      <c r="I70" s="12"/>
      <c r="J70" s="12"/>
      <c r="K70" s="12"/>
      <c r="L70" s="13"/>
    </row>
    <row r="71" spans="2:12" ht="14.7" customHeight="1" thickBot="1" x14ac:dyDescent="0.55000000000000004"/>
    <row r="72" spans="2:12" ht="14.7" customHeight="1" thickBot="1" x14ac:dyDescent="0.55000000000000004">
      <c r="B72" s="29" t="s">
        <v>44</v>
      </c>
      <c r="C72" s="30"/>
      <c r="D72" s="30"/>
      <c r="E72" s="30"/>
      <c r="F72" s="31"/>
    </row>
    <row r="73" spans="2:12" ht="14.7" customHeight="1" thickBot="1" x14ac:dyDescent="0.55000000000000004">
      <c r="B73" s="29" t="s">
        <v>45</v>
      </c>
      <c r="C73" s="30"/>
      <c r="D73" s="30"/>
      <c r="E73" s="30"/>
      <c r="F73" s="31"/>
    </row>
    <row r="74" spans="2:12" ht="14.7" customHeight="1" thickBot="1" x14ac:dyDescent="0.55000000000000004">
      <c r="B74" s="24" t="s">
        <v>46</v>
      </c>
      <c r="C74" s="18" t="s">
        <v>4</v>
      </c>
      <c r="D74" s="18" t="s">
        <v>5</v>
      </c>
      <c r="E74" s="18" t="s">
        <v>6</v>
      </c>
      <c r="F74" s="19" t="s">
        <v>7</v>
      </c>
    </row>
    <row r="75" spans="2:12" x14ac:dyDescent="0.5">
      <c r="B75" s="23" t="s">
        <v>9</v>
      </c>
      <c r="C75">
        <v>6385.7211569306637</v>
      </c>
      <c r="D75">
        <v>14900</v>
      </c>
      <c r="E75">
        <f>C75+D75</f>
        <v>21285.721156930664</v>
      </c>
      <c r="F75" s="9">
        <f>E75*25</f>
        <v>532143.02892326657</v>
      </c>
    </row>
    <row r="76" spans="2:12" x14ac:dyDescent="0.5">
      <c r="B76" s="3" t="s">
        <v>10</v>
      </c>
      <c r="C76">
        <v>0</v>
      </c>
      <c r="D76">
        <v>0</v>
      </c>
      <c r="E76">
        <f>C76+D76</f>
        <v>0</v>
      </c>
      <c r="F76" s="9">
        <f>E76*25</f>
        <v>0</v>
      </c>
    </row>
    <row r="77" spans="2:12" x14ac:dyDescent="0.5">
      <c r="B77" s="3" t="s">
        <v>14</v>
      </c>
      <c r="C77">
        <v>70952.457299229587</v>
      </c>
      <c r="D77">
        <v>114000</v>
      </c>
      <c r="E77">
        <f>C77+D77</f>
        <v>184952.45729922957</v>
      </c>
      <c r="F77" s="9">
        <f>E77*25</f>
        <v>4623811.4324807394</v>
      </c>
    </row>
    <row r="78" spans="2:12" x14ac:dyDescent="0.5">
      <c r="B78" s="3" t="s">
        <v>47</v>
      </c>
      <c r="C78">
        <v>0</v>
      </c>
      <c r="D78">
        <v>0</v>
      </c>
      <c r="E78">
        <f>C78+D78</f>
        <v>0</v>
      </c>
      <c r="F78" s="9">
        <f>E78*25</f>
        <v>0</v>
      </c>
    </row>
    <row r="79" spans="2:12" ht="14.7" customHeight="1" thickBot="1" x14ac:dyDescent="0.55000000000000004">
      <c r="B79" s="16" t="s">
        <v>48</v>
      </c>
      <c r="C79" s="12"/>
      <c r="D79" s="12"/>
      <c r="E79">
        <f>C79+D79</f>
        <v>0</v>
      </c>
      <c r="F79" s="9">
        <f>E79*25</f>
        <v>0</v>
      </c>
    </row>
    <row r="80" spans="2:12" ht="14.7" customHeight="1" thickBot="1" x14ac:dyDescent="0.55000000000000004">
      <c r="B80" s="17" t="s">
        <v>49</v>
      </c>
      <c r="C80" s="18" t="s">
        <v>4</v>
      </c>
      <c r="D80" s="18" t="s">
        <v>5</v>
      </c>
      <c r="E80" s="18" t="s">
        <v>6</v>
      </c>
      <c r="F80" s="19" t="s">
        <v>7</v>
      </c>
    </row>
    <row r="81" spans="2:6" x14ac:dyDescent="0.5">
      <c r="B81" s="23" t="s">
        <v>18</v>
      </c>
      <c r="C81">
        <v>108339.0476399887</v>
      </c>
      <c r="D81">
        <v>135014.39999999999</v>
      </c>
      <c r="E81">
        <f>C81+D81</f>
        <v>243353.44763998868</v>
      </c>
      <c r="F81" s="9">
        <f>E81*25</f>
        <v>6083836.1909997165</v>
      </c>
    </row>
    <row r="82" spans="2:6" ht="14.7" customHeight="1" thickBot="1" x14ac:dyDescent="0.55000000000000004">
      <c r="B82" s="16" t="s">
        <v>50</v>
      </c>
      <c r="C82" s="12"/>
      <c r="D82" s="12"/>
      <c r="E82">
        <f>C82+D82</f>
        <v>0</v>
      </c>
      <c r="F82" s="9">
        <f>E82*25</f>
        <v>0</v>
      </c>
    </row>
    <row r="83" spans="2:6" ht="14.7" customHeight="1" thickBot="1" x14ac:dyDescent="0.55000000000000004">
      <c r="B83" s="17"/>
      <c r="C83" s="18" t="s">
        <v>4</v>
      </c>
      <c r="D83" s="18" t="s">
        <v>5</v>
      </c>
      <c r="E83" s="18" t="s">
        <v>6</v>
      </c>
      <c r="F83" s="19" t="s">
        <v>7</v>
      </c>
    </row>
    <row r="84" spans="2:6" ht="14.7" customHeight="1" thickBot="1" x14ac:dyDescent="0.55000000000000004">
      <c r="B84" s="24" t="s">
        <v>22</v>
      </c>
      <c r="C84" s="12">
        <v>185677.22609614901</v>
      </c>
      <c r="D84" s="12">
        <v>10503753.498157751</v>
      </c>
      <c r="E84" s="12">
        <v>10689430.724253889</v>
      </c>
      <c r="F84" s="13">
        <f>E84*25</f>
        <v>267235768.10634723</v>
      </c>
    </row>
    <row r="85" spans="2:6" ht="14.7" customHeight="1" thickBot="1" x14ac:dyDescent="0.55000000000000004">
      <c r="B85" s="8"/>
      <c r="F85" s="9"/>
    </row>
    <row r="86" spans="2:6" ht="14.7" customHeight="1" thickBot="1" x14ac:dyDescent="0.55000000000000004">
      <c r="B86" s="29" t="s">
        <v>46</v>
      </c>
      <c r="C86" s="30"/>
      <c r="D86" s="31"/>
      <c r="F86" s="9"/>
    </row>
    <row r="87" spans="2:6" ht="14.7" customHeight="1" thickBot="1" x14ac:dyDescent="0.55000000000000004">
      <c r="B87" s="24" t="s">
        <v>23</v>
      </c>
      <c r="C87" s="18" t="s">
        <v>24</v>
      </c>
      <c r="D87" s="19" t="s">
        <v>25</v>
      </c>
      <c r="F87" s="9"/>
    </row>
    <row r="88" spans="2:6" x14ac:dyDescent="0.5">
      <c r="B88" s="23" t="s">
        <v>9</v>
      </c>
      <c r="C88">
        <v>1</v>
      </c>
      <c r="D88" s="9">
        <v>100</v>
      </c>
      <c r="F88" s="9"/>
    </row>
    <row r="89" spans="2:6" x14ac:dyDescent="0.5">
      <c r="B89" s="3" t="s">
        <v>10</v>
      </c>
      <c r="C89">
        <v>0</v>
      </c>
      <c r="D89" s="9">
        <v>0</v>
      </c>
      <c r="F89" s="9"/>
    </row>
    <row r="90" spans="2:6" x14ac:dyDescent="0.5">
      <c r="B90" s="3" t="s">
        <v>14</v>
      </c>
      <c r="C90">
        <v>1</v>
      </c>
      <c r="D90" s="9">
        <v>1000</v>
      </c>
      <c r="F90" s="9"/>
    </row>
    <row r="91" spans="2:6" x14ac:dyDescent="0.5">
      <c r="B91" s="3" t="s">
        <v>47</v>
      </c>
      <c r="C91">
        <v>0</v>
      </c>
      <c r="D91" s="9">
        <v>0</v>
      </c>
      <c r="F91" s="9"/>
    </row>
    <row r="92" spans="2:6" ht="14.7" customHeight="1" thickBot="1" x14ac:dyDescent="0.55000000000000004">
      <c r="B92" s="16" t="s">
        <v>26</v>
      </c>
      <c r="C92" s="12">
        <v>2</v>
      </c>
      <c r="D92" s="13">
        <v>1100</v>
      </c>
      <c r="F92" s="9"/>
    </row>
    <row r="93" spans="2:6" ht="14.7" customHeight="1" thickBot="1" x14ac:dyDescent="0.55000000000000004">
      <c r="B93" s="8"/>
      <c r="F93" s="9"/>
    </row>
    <row r="94" spans="2:6" ht="14.7" customHeight="1" thickBot="1" x14ac:dyDescent="0.55000000000000004">
      <c r="B94" s="29" t="s">
        <v>51</v>
      </c>
      <c r="C94" s="30"/>
      <c r="D94" s="31"/>
      <c r="F94" s="9"/>
    </row>
    <row r="95" spans="2:6" ht="14.7" customHeight="1" thickBot="1" x14ac:dyDescent="0.55000000000000004">
      <c r="B95" s="17" t="s">
        <v>23</v>
      </c>
      <c r="C95" s="18" t="s">
        <v>24</v>
      </c>
      <c r="D95" s="19" t="s">
        <v>25</v>
      </c>
      <c r="F95" s="9"/>
    </row>
    <row r="96" spans="2:6" ht="14.7" customHeight="1" thickBot="1" x14ac:dyDescent="0.55000000000000004">
      <c r="B96" s="24" t="s">
        <v>18</v>
      </c>
      <c r="C96" s="12">
        <v>480</v>
      </c>
      <c r="D96" s="13">
        <v>8438.4</v>
      </c>
      <c r="F96" s="9"/>
    </row>
    <row r="97" spans="2:6" ht="14.7" customHeight="1" thickBot="1" x14ac:dyDescent="0.55000000000000004">
      <c r="B97" s="8"/>
      <c r="F97" s="9"/>
    </row>
    <row r="98" spans="2:6" ht="14.7" customHeight="1" thickBot="1" x14ac:dyDescent="0.55000000000000004">
      <c r="B98" s="29" t="s">
        <v>52</v>
      </c>
      <c r="C98" s="30"/>
      <c r="D98" s="31"/>
      <c r="F98" s="9"/>
    </row>
    <row r="99" spans="2:6" ht="14.7" customHeight="1" thickBot="1" x14ac:dyDescent="0.55000000000000004">
      <c r="B99" s="17" t="s">
        <v>53</v>
      </c>
      <c r="C99" s="18" t="s">
        <v>54</v>
      </c>
      <c r="D99" s="19" t="s">
        <v>55</v>
      </c>
      <c r="F99" s="9"/>
    </row>
    <row r="100" spans="2:6" x14ac:dyDescent="0.5">
      <c r="B100" s="23" t="s">
        <v>56</v>
      </c>
      <c r="C100">
        <v>1672368.4210526301</v>
      </c>
      <c r="D100" s="9">
        <f>C100*25</f>
        <v>41809210.526315749</v>
      </c>
      <c r="F100" s="9"/>
    </row>
    <row r="101" spans="2:6" x14ac:dyDescent="0.5">
      <c r="B101" s="3" t="s">
        <v>57</v>
      </c>
      <c r="C101">
        <v>3235294.6981219421</v>
      </c>
      <c r="D101" s="9">
        <f>C101*25</f>
        <v>80882367.453048557</v>
      </c>
      <c r="F101" s="9"/>
    </row>
    <row r="102" spans="2:6" ht="14.7" customHeight="1" thickBot="1" x14ac:dyDescent="0.55000000000000004">
      <c r="B102" s="16" t="s">
        <v>26</v>
      </c>
      <c r="C102" s="12">
        <f>C100+C101</f>
        <v>4907663.1191745717</v>
      </c>
      <c r="D102" s="13">
        <f>C102*25</f>
        <v>122691577.97936429</v>
      </c>
      <c r="F102" s="9"/>
    </row>
    <row r="103" spans="2:6" ht="14.7" customHeight="1" thickBot="1" x14ac:dyDescent="0.55000000000000004">
      <c r="B103" s="8"/>
      <c r="F103" s="9"/>
    </row>
    <row r="104" spans="2:6" ht="14.7" customHeight="1" thickBot="1" x14ac:dyDescent="0.55000000000000004">
      <c r="B104" s="29" t="s">
        <v>58</v>
      </c>
      <c r="C104" s="30"/>
      <c r="D104" s="31"/>
      <c r="F104" s="9"/>
    </row>
    <row r="105" spans="2:6" ht="14.7" customHeight="1" thickBot="1" x14ac:dyDescent="0.55000000000000004">
      <c r="B105" s="17" t="s">
        <v>53</v>
      </c>
      <c r="C105" s="18" t="s">
        <v>59</v>
      </c>
      <c r="D105" s="22" t="s">
        <v>60</v>
      </c>
      <c r="F105" s="9"/>
    </row>
    <row r="106" spans="2:6" x14ac:dyDescent="0.5">
      <c r="B106" s="23" t="s">
        <v>56</v>
      </c>
      <c r="C106">
        <f>2.6085*C100</f>
        <v>4362373.026315785</v>
      </c>
      <c r="D106" s="9">
        <f>C106*25</f>
        <v>109059325.65789463</v>
      </c>
      <c r="F106" s="9"/>
    </row>
    <row r="107" spans="2:6" x14ac:dyDescent="0.5">
      <c r="B107" s="3" t="s">
        <v>57</v>
      </c>
      <c r="C107">
        <f>2.6085*C101</f>
        <v>8439266.2200510856</v>
      </c>
      <c r="D107" s="9">
        <f>C107*25</f>
        <v>210981655.50127715</v>
      </c>
      <c r="F107" s="9"/>
    </row>
    <row r="108" spans="2:6" ht="14.7" customHeight="1" thickBot="1" x14ac:dyDescent="0.55000000000000004">
      <c r="B108" s="16" t="s">
        <v>26</v>
      </c>
      <c r="C108" s="12">
        <f>2.6085*C102</f>
        <v>12801639.24636687</v>
      </c>
      <c r="D108" s="13">
        <f>C108*25</f>
        <v>320040981.15917176</v>
      </c>
      <c r="E108" s="12"/>
      <c r="F108" s="13"/>
    </row>
  </sheetData>
  <mergeCells count="30">
    <mergeCell ref="H64:I64"/>
    <mergeCell ref="H50:J50"/>
    <mergeCell ref="H55:J55"/>
    <mergeCell ref="B86:D86"/>
    <mergeCell ref="B104:D104"/>
    <mergeCell ref="B73:F73"/>
    <mergeCell ref="B36:D36"/>
    <mergeCell ref="B94:D94"/>
    <mergeCell ref="B50:D50"/>
    <mergeCell ref="B68:C68"/>
    <mergeCell ref="B64:C64"/>
    <mergeCell ref="B47:C47"/>
    <mergeCell ref="B98:D98"/>
    <mergeCell ref="B72:F72"/>
    <mergeCell ref="H33:I33"/>
    <mergeCell ref="B5:L5"/>
    <mergeCell ref="B63:C63"/>
    <mergeCell ref="B43:D43"/>
    <mergeCell ref="H25:J25"/>
    <mergeCell ref="H6:L6"/>
    <mergeCell ref="H60:I60"/>
    <mergeCell ref="B60:C60"/>
    <mergeCell ref="B55:D55"/>
    <mergeCell ref="H47:I47"/>
    <mergeCell ref="B25:D25"/>
    <mergeCell ref="H43:J43"/>
    <mergeCell ref="B6:F6"/>
    <mergeCell ref="B33:C33"/>
    <mergeCell ref="H36:J36"/>
    <mergeCell ref="H63:I63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B4:N108"/>
  <sheetViews>
    <sheetView tabSelected="1" topLeftCell="A15" zoomScale="70" zoomScaleNormal="70" workbookViewId="0">
      <selection activeCell="M29" sqref="M29"/>
    </sheetView>
  </sheetViews>
  <sheetFormatPr defaultColWidth="39.234375" defaultRowHeight="14.35" x14ac:dyDescent="0.5"/>
  <cols>
    <col min="1" max="1" width="13.52734375" customWidth="1"/>
    <col min="2" max="2" width="15.234375" bestFit="1" customWidth="1"/>
    <col min="3" max="3" width="17.64453125" bestFit="1" customWidth="1"/>
    <col min="4" max="4" width="18.64453125" bestFit="1" customWidth="1"/>
    <col min="5" max="5" width="12.46875" bestFit="1" customWidth="1"/>
    <col min="6" max="6" width="13.5859375" bestFit="1" customWidth="1"/>
    <col min="7" max="7" width="12.46875" customWidth="1"/>
    <col min="8" max="8" width="15.234375" bestFit="1" customWidth="1"/>
    <col min="9" max="9" width="15.703125" bestFit="1" customWidth="1"/>
    <col min="10" max="10" width="18" bestFit="1" customWidth="1"/>
    <col min="11" max="11" width="12.46875" bestFit="1" customWidth="1"/>
    <col min="12" max="12" width="14.5859375" bestFit="1" customWidth="1"/>
    <col min="13" max="14" width="13.41015625" bestFit="1" customWidth="1"/>
    <col min="15" max="15" width="11.76171875" bestFit="1" customWidth="1"/>
  </cols>
  <sheetData>
    <row r="4" spans="2:14" ht="14.7" customHeight="1" thickBot="1" x14ac:dyDescent="0.55000000000000004"/>
    <row r="5" spans="2:14" ht="14.7" customHeight="1" thickBot="1" x14ac:dyDescent="0.55000000000000004">
      <c r="B5" s="29" t="s">
        <v>0</v>
      </c>
      <c r="C5" s="30"/>
      <c r="D5" s="30"/>
      <c r="E5" s="30"/>
      <c r="F5" s="30"/>
      <c r="G5" s="30"/>
      <c r="H5" s="30"/>
      <c r="I5" s="30"/>
      <c r="J5" s="30"/>
      <c r="K5" s="30"/>
      <c r="L5" s="31"/>
    </row>
    <row r="6" spans="2:14" ht="14.7" customHeight="1" thickBot="1" x14ac:dyDescent="0.55000000000000004">
      <c r="B6" s="29" t="s">
        <v>1</v>
      </c>
      <c r="C6" s="30"/>
      <c r="D6" s="30"/>
      <c r="E6" s="30"/>
      <c r="F6" s="31"/>
      <c r="H6" s="29" t="s">
        <v>2</v>
      </c>
      <c r="I6" s="30"/>
      <c r="J6" s="30"/>
      <c r="K6" s="30"/>
      <c r="L6" s="31"/>
    </row>
    <row r="7" spans="2:14" ht="14.7" customHeight="1" thickBot="1" x14ac:dyDescent="0.55000000000000004">
      <c r="B7" s="24" t="s">
        <v>3</v>
      </c>
      <c r="C7" s="18" t="s">
        <v>4</v>
      </c>
      <c r="D7" s="18" t="s">
        <v>5</v>
      </c>
      <c r="E7" s="18" t="s">
        <v>6</v>
      </c>
      <c r="F7" s="19" t="s">
        <v>7</v>
      </c>
      <c r="H7" s="24" t="s">
        <v>3</v>
      </c>
      <c r="I7" s="18" t="s">
        <v>4</v>
      </c>
      <c r="J7" s="18" t="s">
        <v>5</v>
      </c>
      <c r="K7" s="18" t="s">
        <v>6</v>
      </c>
      <c r="L7" s="19" t="s">
        <v>7</v>
      </c>
    </row>
    <row r="8" spans="2:14" x14ac:dyDescent="0.5">
      <c r="B8" s="3" t="s">
        <v>8</v>
      </c>
      <c r="C8" s="6">
        <f>13698 * D27*((0.05*((1.05)^25))/((1.05^25)-1))</f>
        <v>1069097.436093332</v>
      </c>
      <c r="D8" s="6">
        <f>29*D27</f>
        <v>31900</v>
      </c>
      <c r="E8" s="6">
        <f>C8+D8</f>
        <v>1100997.436093332</v>
      </c>
      <c r="F8" s="10">
        <f>E8*25</f>
        <v>27524935.902333301</v>
      </c>
      <c r="H8" s="3" t="s">
        <v>9</v>
      </c>
      <c r="I8" s="39">
        <f>1615 * J27*((0.05*((1.05)^25))/((1.05^25)-1))</f>
        <v>68752.931122953509</v>
      </c>
      <c r="J8" s="39">
        <f>29*J27</f>
        <v>17400</v>
      </c>
      <c r="K8" s="39">
        <f>I8+J8</f>
        <v>86152.931122953509</v>
      </c>
      <c r="L8" s="10">
        <f>K8*25</f>
        <v>2153823.2780738375</v>
      </c>
    </row>
    <row r="9" spans="2:14" x14ac:dyDescent="0.5">
      <c r="B9" s="3" t="s">
        <v>10</v>
      </c>
      <c r="C9" s="6">
        <f>13698 * D28*((0.05*((1.05)^25))/((1.05^25)-1))</f>
        <v>2429766.9002121184</v>
      </c>
      <c r="D9" s="6">
        <f>29*D28</f>
        <v>72500</v>
      </c>
      <c r="E9" s="6">
        <f>C9+D9</f>
        <v>2502266.9002121184</v>
      </c>
      <c r="F9" s="10">
        <f>E9*25</f>
        <v>62556672.505302958</v>
      </c>
      <c r="H9" s="3" t="s">
        <v>10</v>
      </c>
      <c r="I9" s="39">
        <f>1615 * J28*((0.05*((1.05)^25))/((1.05^25)-1))</f>
        <v>458352.87415302335</v>
      </c>
      <c r="J9" s="39">
        <f>29*J28</f>
        <v>116000</v>
      </c>
      <c r="K9" s="39">
        <f>I9+J9</f>
        <v>574352.87415302335</v>
      </c>
      <c r="L9" s="10">
        <f>K9*25</f>
        <v>14358821.853825584</v>
      </c>
      <c r="M9" s="7"/>
      <c r="N9" s="6"/>
    </row>
    <row r="10" spans="2:14" x14ac:dyDescent="0.5">
      <c r="B10" s="3" t="s">
        <v>11</v>
      </c>
      <c r="C10" s="6">
        <f>13698 * D29*((0.05*((1.05)^25))/((1.05^25)-1))</f>
        <v>0</v>
      </c>
      <c r="D10" s="6">
        <f>29*D29</f>
        <v>0</v>
      </c>
      <c r="E10" s="6">
        <f>C10+D10</f>
        <v>0</v>
      </c>
      <c r="F10" s="10">
        <f>E10*25</f>
        <v>0</v>
      </c>
      <c r="H10" s="3" t="s">
        <v>11</v>
      </c>
      <c r="I10" s="39">
        <f>1615 * J29*((0.05*((1.05)^25))/((1.05^25)-1))</f>
        <v>0</v>
      </c>
      <c r="J10" s="39">
        <f>29*J29</f>
        <v>0</v>
      </c>
      <c r="K10" s="39">
        <f>I10+J10</f>
        <v>0</v>
      </c>
      <c r="L10" s="10">
        <f>K10*25</f>
        <v>0</v>
      </c>
      <c r="M10" s="7"/>
    </row>
    <row r="11" spans="2:14" ht="14.7" customHeight="1" thickBot="1" x14ac:dyDescent="0.55000000000000004">
      <c r="B11" s="16" t="s">
        <v>12</v>
      </c>
      <c r="C11" s="14">
        <f>13698 * D30*((0.05*((1.05)^25))/((1.05^25)-1))</f>
        <v>0</v>
      </c>
      <c r="D11" s="14">
        <f>29*D30</f>
        <v>0</v>
      </c>
      <c r="E11" s="14">
        <f>C11+D11</f>
        <v>0</v>
      </c>
      <c r="F11" s="15">
        <f>E11*25</f>
        <v>0</v>
      </c>
      <c r="H11" s="16" t="s">
        <v>12</v>
      </c>
      <c r="I11" s="14">
        <f>1615 * J30*((0.05*((1.05)^25))/((1.05^25)-1))</f>
        <v>0</v>
      </c>
      <c r="J11" s="14">
        <f>29*J30</f>
        <v>0</v>
      </c>
      <c r="K11" s="14">
        <f>I11+J11</f>
        <v>0</v>
      </c>
      <c r="L11" s="13">
        <f>K11*25</f>
        <v>0</v>
      </c>
    </row>
    <row r="12" spans="2:14" ht="14.7" customHeight="1" thickBot="1" x14ac:dyDescent="0.55000000000000004">
      <c r="B12" s="24" t="s">
        <v>13</v>
      </c>
      <c r="C12" s="18" t="s">
        <v>4</v>
      </c>
      <c r="D12" s="18" t="s">
        <v>5</v>
      </c>
      <c r="E12" s="18" t="s">
        <v>6</v>
      </c>
      <c r="F12" s="19" t="s">
        <v>7</v>
      </c>
      <c r="H12" s="24" t="s">
        <v>13</v>
      </c>
      <c r="I12" s="18" t="s">
        <v>4</v>
      </c>
      <c r="J12" s="18" t="s">
        <v>5</v>
      </c>
      <c r="K12" s="18" t="s">
        <v>6</v>
      </c>
      <c r="L12" s="19" t="s">
        <v>7</v>
      </c>
    </row>
    <row r="13" spans="2:14" x14ac:dyDescent="0.5">
      <c r="B13" s="3" t="s">
        <v>14</v>
      </c>
      <c r="C13" s="4">
        <f>2490 * D38*((0.05*((1.05)^10))/((1.05^10)-1))</f>
        <v>967399.17499196157</v>
      </c>
      <c r="D13" s="1">
        <f>37.35*D38</f>
        <v>112050</v>
      </c>
      <c r="E13">
        <f>C13+D13</f>
        <v>1079449.1749919616</v>
      </c>
      <c r="F13" s="9">
        <f>E13*25</f>
        <v>26986229.374799039</v>
      </c>
      <c r="H13" s="3" t="s">
        <v>14</v>
      </c>
      <c r="I13" s="4">
        <f>2490 * J38*((0.05*((1.05)^10))/((1.05^10)-1))</f>
        <v>1289865.5666559488</v>
      </c>
      <c r="J13" s="1">
        <f>37.35*J38</f>
        <v>149400</v>
      </c>
      <c r="K13" s="39">
        <f>I13+J13</f>
        <v>1439265.5666559488</v>
      </c>
      <c r="L13" s="10">
        <f>K13*25</f>
        <v>35981639.166398719</v>
      </c>
    </row>
    <row r="14" spans="2:14" x14ac:dyDescent="0.5">
      <c r="B14" s="3" t="s">
        <v>15</v>
      </c>
      <c r="C14" s="4">
        <f>1570 * D39*((0.05*((1.05)^10))/((1.05^10)-1))</f>
        <v>0</v>
      </c>
      <c r="D14" s="1">
        <f>23.55*D39</f>
        <v>0</v>
      </c>
      <c r="E14">
        <f>C14+D14</f>
        <v>0</v>
      </c>
      <c r="F14" s="9">
        <f>E14*25</f>
        <v>0</v>
      </c>
      <c r="H14" s="3" t="s">
        <v>15</v>
      </c>
      <c r="I14" s="4">
        <f>1570 * J39*((0.05*((1.05)^10))/((1.05^10)-1))</f>
        <v>0</v>
      </c>
      <c r="J14" s="1">
        <f>23.55*J39</f>
        <v>0</v>
      </c>
      <c r="K14" s="38">
        <f>I14+J14</f>
        <v>0</v>
      </c>
      <c r="L14" s="10">
        <f>K14*25</f>
        <v>0</v>
      </c>
    </row>
    <row r="15" spans="2:14" ht="14.7" customHeight="1" thickBot="1" x14ac:dyDescent="0.55000000000000004">
      <c r="B15" s="16" t="s">
        <v>16</v>
      </c>
      <c r="C15" s="5">
        <f>1190 * D40*((0.05*((1.05)^10))/((1.05^10)-1))</f>
        <v>0</v>
      </c>
      <c r="D15" s="2">
        <f>17.85*D40</f>
        <v>0</v>
      </c>
      <c r="E15" s="12">
        <f>C15+D15</f>
        <v>0</v>
      </c>
      <c r="F15" s="13">
        <f>E15*25</f>
        <v>0</v>
      </c>
      <c r="H15" s="16" t="s">
        <v>16</v>
      </c>
      <c r="I15" s="5">
        <f>1190 * J40*((0.05*((1.05)^10))/((1.05^10)-1))</f>
        <v>0</v>
      </c>
      <c r="J15" s="2">
        <f>17.85*J40</f>
        <v>0</v>
      </c>
      <c r="K15" s="12">
        <f>I15+J15</f>
        <v>0</v>
      </c>
      <c r="L15" s="15">
        <f>K15*25</f>
        <v>0</v>
      </c>
    </row>
    <row r="16" spans="2:14" ht="14.7" customHeight="1" thickBot="1" x14ac:dyDescent="0.55000000000000004">
      <c r="B16" s="24" t="s">
        <v>17</v>
      </c>
      <c r="C16" s="18" t="s">
        <v>4</v>
      </c>
      <c r="D16" s="18" t="s">
        <v>5</v>
      </c>
      <c r="E16" s="18" t="s">
        <v>6</v>
      </c>
      <c r="F16" s="19" t="s">
        <v>7</v>
      </c>
      <c r="H16" s="24" t="s">
        <v>17</v>
      </c>
      <c r="I16" s="18" t="s">
        <v>4</v>
      </c>
      <c r="J16" s="18" t="s">
        <v>5</v>
      </c>
      <c r="K16" s="18" t="s">
        <v>6</v>
      </c>
      <c r="L16" s="19" t="s">
        <v>7</v>
      </c>
    </row>
    <row r="17" spans="2:14" ht="14.7" customHeight="1" thickBot="1" x14ac:dyDescent="0.55000000000000004">
      <c r="B17" s="16" t="s">
        <v>18</v>
      </c>
      <c r="C17" s="12">
        <v>53266.698422994428</v>
      </c>
      <c r="D17" s="12">
        <v>66382.079999999987</v>
      </c>
      <c r="E17" s="12">
        <f>D17+C17</f>
        <v>119648.77842299442</v>
      </c>
      <c r="F17" s="13">
        <f>E17*25</f>
        <v>2991219.4605748607</v>
      </c>
      <c r="H17" s="16" t="s">
        <v>18</v>
      </c>
      <c r="I17" s="12">
        <v>53266.698422994428</v>
      </c>
      <c r="J17" s="12">
        <v>66382.079999999987</v>
      </c>
      <c r="K17" s="12">
        <f>J17+I17</f>
        <v>119648.77842299442</v>
      </c>
      <c r="L17" s="15">
        <f>K17*25</f>
        <v>2991219.4605748607</v>
      </c>
    </row>
    <row r="18" spans="2:14" ht="14.7" customHeight="1" thickBot="1" x14ac:dyDescent="0.55000000000000004">
      <c r="B18" s="24" t="s">
        <v>19</v>
      </c>
      <c r="C18" s="18" t="s">
        <v>4</v>
      </c>
      <c r="D18" s="18" t="s">
        <v>5</v>
      </c>
      <c r="E18" s="18" t="s">
        <v>6</v>
      </c>
      <c r="F18" s="19" t="s">
        <v>7</v>
      </c>
      <c r="H18" s="24" t="s">
        <v>20</v>
      </c>
      <c r="I18" s="18" t="s">
        <v>4</v>
      </c>
      <c r="J18" s="18" t="s">
        <v>5</v>
      </c>
      <c r="K18" s="18" t="s">
        <v>6</v>
      </c>
      <c r="L18" s="19" t="s">
        <v>7</v>
      </c>
    </row>
    <row r="19" spans="2:14" ht="14.7" customHeight="1" thickBot="1" x14ac:dyDescent="0.55000000000000004">
      <c r="B19" s="11"/>
      <c r="C19" s="12">
        <f>C48*300*((0.05*((1.05)^20))/((1.05^20)-1))</f>
        <v>905617.83903414221</v>
      </c>
      <c r="D19" s="12">
        <v>0</v>
      </c>
      <c r="E19" s="12">
        <f>D19+C19</f>
        <v>905617.83903414221</v>
      </c>
      <c r="F19" s="13">
        <f>E19*25</f>
        <v>22640445.975853555</v>
      </c>
      <c r="H19" s="11"/>
      <c r="I19" s="14">
        <f>(I48/10)*3000*((0.05*((1.05)^20))/((1.05^20)-1))</f>
        <v>133122.45214935689</v>
      </c>
      <c r="J19" s="12">
        <v>0</v>
      </c>
      <c r="K19" s="12">
        <f>J19+I19</f>
        <v>133122.45214935689</v>
      </c>
      <c r="L19" s="15">
        <f>K19*25</f>
        <v>3328061.3037339221</v>
      </c>
    </row>
    <row r="20" spans="2:14" ht="14.7" customHeight="1" thickBot="1" x14ac:dyDescent="0.55000000000000004">
      <c r="B20" s="24" t="s">
        <v>21</v>
      </c>
      <c r="C20" s="18" t="s">
        <v>4</v>
      </c>
      <c r="D20" s="18" t="s">
        <v>5</v>
      </c>
      <c r="E20" s="18" t="s">
        <v>6</v>
      </c>
      <c r="F20" s="19" t="s">
        <v>7</v>
      </c>
      <c r="H20" s="24" t="s">
        <v>21</v>
      </c>
      <c r="I20" s="18" t="s">
        <v>4</v>
      </c>
      <c r="J20" s="18" t="s">
        <v>5</v>
      </c>
      <c r="K20" s="18" t="s">
        <v>6</v>
      </c>
      <c r="L20" s="19" t="s">
        <v>7</v>
      </c>
    </row>
    <row r="21" spans="2:14" ht="14.7" customHeight="1" thickBot="1" x14ac:dyDescent="0.55000000000000004">
      <c r="B21" s="11"/>
      <c r="C21" s="12">
        <v>0</v>
      </c>
      <c r="D21" s="12">
        <v>0</v>
      </c>
      <c r="E21" s="12">
        <f>C21+D21</f>
        <v>0</v>
      </c>
      <c r="F21" s="13">
        <f>E21*25</f>
        <v>0</v>
      </c>
      <c r="H21" s="11"/>
      <c r="I21" s="12">
        <v>0</v>
      </c>
      <c r="J21" s="12">
        <v>0</v>
      </c>
      <c r="K21" s="12">
        <f>J21+I21</f>
        <v>0</v>
      </c>
      <c r="L21" s="13">
        <f>K21*25</f>
        <v>0</v>
      </c>
    </row>
    <row r="22" spans="2:14" ht="14.7" customHeight="1" thickBot="1" x14ac:dyDescent="0.55000000000000004">
      <c r="B22" s="17"/>
      <c r="C22" s="18" t="s">
        <v>4</v>
      </c>
      <c r="D22" s="18" t="s">
        <v>5</v>
      </c>
      <c r="E22" s="18" t="s">
        <v>6</v>
      </c>
      <c r="F22" s="19" t="s">
        <v>7</v>
      </c>
      <c r="H22" s="17"/>
      <c r="I22" s="18" t="s">
        <v>4</v>
      </c>
      <c r="J22" s="18" t="s">
        <v>5</v>
      </c>
      <c r="K22" s="18" t="s">
        <v>6</v>
      </c>
      <c r="L22" s="19" t="s">
        <v>7</v>
      </c>
    </row>
    <row r="23" spans="2:14" ht="14.7" customHeight="1" thickBot="1" x14ac:dyDescent="0.55000000000000004">
      <c r="B23" s="24" t="s">
        <v>22</v>
      </c>
      <c r="C23" s="12">
        <v>5425148.0487545468</v>
      </c>
      <c r="D23" s="12">
        <v>282832.08</v>
      </c>
      <c r="E23" s="25">
        <v>5707980.1287545469</v>
      </c>
      <c r="F23" s="13">
        <f>D23*25</f>
        <v>7070802</v>
      </c>
      <c r="H23" s="24" t="s">
        <v>22</v>
      </c>
      <c r="I23" s="14">
        <v>2003360.5225042759</v>
      </c>
      <c r="J23" s="14">
        <v>349182.08</v>
      </c>
      <c r="K23" s="14">
        <v>4062917.2247025901</v>
      </c>
      <c r="L23" s="15">
        <f>K23*25</f>
        <v>101572930.61756475</v>
      </c>
      <c r="M23" s="6"/>
    </row>
    <row r="24" spans="2:14" ht="14.7" customHeight="1" thickBot="1" x14ac:dyDescent="0.55000000000000004">
      <c r="B24" s="8"/>
      <c r="F24" s="9"/>
      <c r="H24" s="8"/>
      <c r="I24" s="39"/>
      <c r="J24" s="39"/>
      <c r="K24" s="39"/>
      <c r="L24" s="10"/>
      <c r="M24" s="6"/>
      <c r="N24" s="7"/>
    </row>
    <row r="25" spans="2:14" ht="14.7" customHeight="1" thickBot="1" x14ac:dyDescent="0.55000000000000004">
      <c r="B25" s="29" t="s">
        <v>3</v>
      </c>
      <c r="C25" s="30"/>
      <c r="D25" s="31"/>
      <c r="F25" s="9"/>
      <c r="H25" s="29" t="s">
        <v>3</v>
      </c>
      <c r="I25" s="30"/>
      <c r="J25" s="31"/>
      <c r="K25" s="38"/>
      <c r="L25" s="10"/>
      <c r="M25" s="6"/>
    </row>
    <row r="26" spans="2:14" ht="14.7" customHeight="1" thickBot="1" x14ac:dyDescent="0.55000000000000004">
      <c r="B26" s="17" t="s">
        <v>23</v>
      </c>
      <c r="C26" s="18" t="s">
        <v>24</v>
      </c>
      <c r="D26" s="19" t="s">
        <v>25</v>
      </c>
      <c r="F26" s="9"/>
      <c r="H26" s="17" t="s">
        <v>23</v>
      </c>
      <c r="I26" s="18" t="s">
        <v>24</v>
      </c>
      <c r="J26" s="19" t="s">
        <v>25</v>
      </c>
      <c r="K26" s="38"/>
      <c r="L26" s="10"/>
      <c r="M26" s="6"/>
    </row>
    <row r="27" spans="2:14" x14ac:dyDescent="0.5">
      <c r="B27" s="23" t="s">
        <v>9</v>
      </c>
      <c r="C27">
        <v>11</v>
      </c>
      <c r="D27" s="9">
        <v>1100</v>
      </c>
      <c r="F27" s="9"/>
      <c r="H27" s="8" t="s">
        <v>9</v>
      </c>
      <c r="I27" s="38">
        <v>6</v>
      </c>
      <c r="J27" s="9">
        <v>600</v>
      </c>
      <c r="K27" s="38"/>
      <c r="L27" s="9"/>
    </row>
    <row r="28" spans="2:14" x14ac:dyDescent="0.5">
      <c r="B28" s="3" t="s">
        <v>10</v>
      </c>
      <c r="C28">
        <v>5</v>
      </c>
      <c r="D28" s="9">
        <v>2500</v>
      </c>
      <c r="F28" s="9"/>
      <c r="H28" s="8" t="s">
        <v>10</v>
      </c>
      <c r="I28" s="38">
        <v>8</v>
      </c>
      <c r="J28" s="9">
        <v>4000</v>
      </c>
      <c r="K28" s="38"/>
      <c r="L28" s="9"/>
    </row>
    <row r="29" spans="2:14" x14ac:dyDescent="0.5">
      <c r="B29" s="3" t="s">
        <v>11</v>
      </c>
      <c r="C29">
        <v>0</v>
      </c>
      <c r="D29" s="9">
        <v>0</v>
      </c>
      <c r="F29" s="9"/>
      <c r="H29" s="8" t="s">
        <v>11</v>
      </c>
      <c r="I29" s="38">
        <v>0</v>
      </c>
      <c r="J29" s="9">
        <v>0</v>
      </c>
      <c r="K29" s="38"/>
      <c r="L29" s="9"/>
    </row>
    <row r="30" spans="2:14" x14ac:dyDescent="0.5">
      <c r="B30" s="3" t="s">
        <v>12</v>
      </c>
      <c r="C30">
        <v>0</v>
      </c>
      <c r="D30" s="9">
        <v>0</v>
      </c>
      <c r="F30" s="9"/>
      <c r="H30" s="8" t="s">
        <v>12</v>
      </c>
      <c r="I30" s="38">
        <v>0</v>
      </c>
      <c r="J30" s="9">
        <v>0</v>
      </c>
      <c r="K30" s="38"/>
      <c r="L30" s="9"/>
    </row>
    <row r="31" spans="2:14" ht="14.7" customHeight="1" thickBot="1" x14ac:dyDescent="0.55000000000000004">
      <c r="B31" s="16" t="s">
        <v>26</v>
      </c>
      <c r="C31" s="12">
        <v>16</v>
      </c>
      <c r="D31" s="13">
        <v>3600</v>
      </c>
      <c r="F31" s="9"/>
      <c r="H31" s="11" t="s">
        <v>26</v>
      </c>
      <c r="I31" s="12">
        <v>14</v>
      </c>
      <c r="J31" s="13">
        <v>4600</v>
      </c>
      <c r="K31" s="38"/>
      <c r="L31" s="9"/>
    </row>
    <row r="32" spans="2:14" ht="14.7" customHeight="1" thickBot="1" x14ac:dyDescent="0.55000000000000004">
      <c r="B32" s="8"/>
      <c r="F32" s="9"/>
      <c r="H32" s="8"/>
      <c r="I32" s="38"/>
      <c r="J32" s="38"/>
      <c r="K32" s="38"/>
      <c r="L32" s="9"/>
    </row>
    <row r="33" spans="2:12" ht="14.7" customHeight="1" thickBot="1" x14ac:dyDescent="0.55000000000000004">
      <c r="B33" s="29" t="s">
        <v>21</v>
      </c>
      <c r="C33" s="31"/>
      <c r="F33" s="9"/>
      <c r="H33" s="29" t="s">
        <v>21</v>
      </c>
      <c r="I33" s="31"/>
      <c r="J33" s="38"/>
      <c r="K33" s="38"/>
      <c r="L33" s="9"/>
    </row>
    <row r="34" spans="2:12" ht="14.7" customHeight="1" thickBot="1" x14ac:dyDescent="0.55000000000000004">
      <c r="B34" s="24" t="s">
        <v>25</v>
      </c>
      <c r="C34" s="13">
        <v>0</v>
      </c>
      <c r="F34" s="9"/>
      <c r="H34" s="24" t="s">
        <v>25</v>
      </c>
      <c r="I34" s="13">
        <v>0</v>
      </c>
      <c r="J34" s="38"/>
      <c r="K34" s="38"/>
      <c r="L34" s="9"/>
    </row>
    <row r="35" spans="2:12" ht="14.7" customHeight="1" thickBot="1" x14ac:dyDescent="0.55000000000000004">
      <c r="B35" s="8"/>
      <c r="F35" s="9"/>
      <c r="H35" s="8"/>
      <c r="I35" s="38"/>
      <c r="J35" s="38"/>
      <c r="K35" s="38"/>
      <c r="L35" s="9"/>
    </row>
    <row r="36" spans="2:12" ht="14.7" customHeight="1" thickBot="1" x14ac:dyDescent="0.55000000000000004">
      <c r="B36" s="29" t="s">
        <v>13</v>
      </c>
      <c r="C36" s="30"/>
      <c r="D36" s="31"/>
      <c r="F36" s="9"/>
      <c r="H36" s="29" t="s">
        <v>13</v>
      </c>
      <c r="I36" s="30"/>
      <c r="J36" s="31"/>
      <c r="K36" s="38"/>
      <c r="L36" s="9"/>
    </row>
    <row r="37" spans="2:12" ht="14.7" customHeight="1" thickBot="1" x14ac:dyDescent="0.55000000000000004">
      <c r="B37" s="24" t="s">
        <v>23</v>
      </c>
      <c r="C37" s="18" t="s">
        <v>24</v>
      </c>
      <c r="D37" s="19" t="s">
        <v>25</v>
      </c>
      <c r="F37" s="9"/>
      <c r="H37" s="17" t="s">
        <v>23</v>
      </c>
      <c r="I37" s="18" t="s">
        <v>24</v>
      </c>
      <c r="J37" s="19" t="s">
        <v>25</v>
      </c>
      <c r="K37" s="38"/>
      <c r="L37" s="9"/>
    </row>
    <row r="38" spans="2:12" x14ac:dyDescent="0.5">
      <c r="B38" s="23" t="s">
        <v>14</v>
      </c>
      <c r="C38">
        <v>3</v>
      </c>
      <c r="D38" s="9">
        <v>3000</v>
      </c>
      <c r="F38" s="9"/>
      <c r="H38" s="23" t="s">
        <v>14</v>
      </c>
      <c r="I38" s="38">
        <v>4</v>
      </c>
      <c r="J38" s="9">
        <v>4000</v>
      </c>
      <c r="K38" s="38"/>
      <c r="L38" s="9"/>
    </row>
    <row r="39" spans="2:12" x14ac:dyDescent="0.5">
      <c r="B39" s="3" t="s">
        <v>15</v>
      </c>
      <c r="C39">
        <v>0</v>
      </c>
      <c r="D39" s="9">
        <v>0</v>
      </c>
      <c r="F39" s="9"/>
      <c r="H39" s="3" t="s">
        <v>15</v>
      </c>
      <c r="I39" s="38">
        <v>0</v>
      </c>
      <c r="J39" s="9">
        <v>0</v>
      </c>
      <c r="K39" s="38"/>
      <c r="L39" s="9"/>
    </row>
    <row r="40" spans="2:12" x14ac:dyDescent="0.5">
      <c r="B40" s="3" t="s">
        <v>16</v>
      </c>
      <c r="C40">
        <v>0</v>
      </c>
      <c r="D40" s="9">
        <v>0</v>
      </c>
      <c r="F40" s="9"/>
      <c r="H40" s="3" t="s">
        <v>16</v>
      </c>
      <c r="I40" s="38">
        <v>0</v>
      </c>
      <c r="J40" s="9">
        <v>0</v>
      </c>
      <c r="K40" s="38"/>
      <c r="L40" s="9"/>
    </row>
    <row r="41" spans="2:12" ht="14.7" customHeight="1" thickBot="1" x14ac:dyDescent="0.55000000000000004">
      <c r="B41" s="16" t="s">
        <v>26</v>
      </c>
      <c r="C41" s="12">
        <v>3</v>
      </c>
      <c r="D41" s="13">
        <v>3000</v>
      </c>
      <c r="F41" s="9"/>
      <c r="H41" s="16" t="s">
        <v>26</v>
      </c>
      <c r="I41" s="12">
        <v>4</v>
      </c>
      <c r="J41" s="13">
        <v>4000</v>
      </c>
      <c r="K41" s="38"/>
      <c r="L41" s="9"/>
    </row>
    <row r="42" spans="2:12" ht="14.7" customHeight="1" thickBot="1" x14ac:dyDescent="0.55000000000000004">
      <c r="B42" s="8"/>
      <c r="F42" s="9"/>
      <c r="H42" s="8"/>
      <c r="I42" s="38"/>
      <c r="J42" s="38"/>
      <c r="K42" s="38"/>
      <c r="L42" s="9"/>
    </row>
    <row r="43" spans="2:12" ht="14.7" customHeight="1" thickBot="1" x14ac:dyDescent="0.55000000000000004">
      <c r="B43" s="29" t="s">
        <v>27</v>
      </c>
      <c r="C43" s="30"/>
      <c r="D43" s="31"/>
      <c r="F43" s="9"/>
      <c r="H43" s="29" t="s">
        <v>27</v>
      </c>
      <c r="I43" s="30"/>
      <c r="J43" s="31"/>
      <c r="K43" s="38"/>
      <c r="L43" s="9"/>
    </row>
    <row r="44" spans="2:12" ht="14.7" customHeight="1" thickBot="1" x14ac:dyDescent="0.55000000000000004">
      <c r="B44" s="24" t="s">
        <v>23</v>
      </c>
      <c r="C44" s="18" t="s">
        <v>24</v>
      </c>
      <c r="D44" s="19" t="s">
        <v>25</v>
      </c>
      <c r="F44" s="9"/>
      <c r="H44" s="17" t="s">
        <v>23</v>
      </c>
      <c r="I44" s="18" t="s">
        <v>24</v>
      </c>
      <c r="J44" s="19" t="s">
        <v>25</v>
      </c>
      <c r="K44" s="38"/>
      <c r="L44" s="9"/>
    </row>
    <row r="45" spans="2:12" ht="14.7" customHeight="1" thickBot="1" x14ac:dyDescent="0.55000000000000004">
      <c r="B45" s="24" t="s">
        <v>18</v>
      </c>
      <c r="C45" s="12">
        <v>236</v>
      </c>
      <c r="D45" s="13">
        <v>4148.8799999999992</v>
      </c>
      <c r="F45" s="9"/>
      <c r="H45" s="24" t="s">
        <v>18</v>
      </c>
      <c r="I45" s="12">
        <v>236</v>
      </c>
      <c r="J45" s="13">
        <v>4148.8799999999992</v>
      </c>
      <c r="K45" s="38"/>
      <c r="L45" s="9"/>
    </row>
    <row r="46" spans="2:12" ht="14.7" customHeight="1" thickBot="1" x14ac:dyDescent="0.55000000000000004">
      <c r="B46" s="8"/>
      <c r="F46" s="9"/>
      <c r="H46" s="8"/>
      <c r="I46" s="38"/>
      <c r="J46" s="38"/>
      <c r="K46" s="38"/>
      <c r="L46" s="9"/>
    </row>
    <row r="47" spans="2:12" ht="14.7" customHeight="1" thickBot="1" x14ac:dyDescent="0.55000000000000004">
      <c r="B47" s="29" t="s">
        <v>28</v>
      </c>
      <c r="C47" s="31"/>
      <c r="F47" s="9"/>
      <c r="H47" s="29" t="s">
        <v>28</v>
      </c>
      <c r="I47" s="31"/>
      <c r="J47" s="38"/>
      <c r="K47" s="38"/>
      <c r="L47" s="9"/>
    </row>
    <row r="48" spans="2:12" ht="14.7" customHeight="1" thickBot="1" x14ac:dyDescent="0.55000000000000004">
      <c r="B48" s="11" t="s">
        <v>29</v>
      </c>
      <c r="C48" s="13">
        <v>37620</v>
      </c>
      <c r="F48" s="9"/>
      <c r="H48" s="24" t="s">
        <v>29</v>
      </c>
      <c r="I48" s="13">
        <v>5530</v>
      </c>
      <c r="J48" s="38"/>
      <c r="K48" s="38"/>
      <c r="L48" s="9"/>
    </row>
    <row r="49" spans="2:12" ht="14.7" customHeight="1" thickBot="1" x14ac:dyDescent="0.55000000000000004">
      <c r="B49" s="8"/>
      <c r="F49" s="9"/>
      <c r="H49" s="8"/>
      <c r="I49" s="38"/>
      <c r="J49" s="38"/>
      <c r="K49" s="38"/>
      <c r="L49" s="9"/>
    </row>
    <row r="50" spans="2:12" ht="14.7" customHeight="1" thickBot="1" x14ac:dyDescent="0.55000000000000004">
      <c r="B50" s="29" t="s">
        <v>30</v>
      </c>
      <c r="C50" s="30"/>
      <c r="D50" s="31"/>
      <c r="F50" s="9"/>
      <c r="H50" s="35" t="s">
        <v>30</v>
      </c>
      <c r="I50" s="36"/>
      <c r="J50" s="37"/>
      <c r="K50" s="38"/>
      <c r="L50" s="9"/>
    </row>
    <row r="51" spans="2:12" ht="14.7" customHeight="1" thickBot="1" x14ac:dyDescent="0.55000000000000004">
      <c r="B51" s="11" t="s">
        <v>31</v>
      </c>
      <c r="C51" s="12" t="s">
        <v>32</v>
      </c>
      <c r="D51" s="13" t="s">
        <v>33</v>
      </c>
      <c r="F51" s="9"/>
      <c r="H51" s="24" t="s">
        <v>31</v>
      </c>
      <c r="I51" s="18" t="s">
        <v>61</v>
      </c>
      <c r="J51" s="21" t="s">
        <v>33</v>
      </c>
      <c r="K51" s="38"/>
      <c r="L51" s="9"/>
    </row>
    <row r="52" spans="2:12" ht="14.7" customHeight="1" x14ac:dyDescent="0.5">
      <c r="B52" s="23" t="s">
        <v>34</v>
      </c>
      <c r="C52" s="26">
        <v>4069503.39456606</v>
      </c>
      <c r="D52" s="27">
        <f>C52*25</f>
        <v>101737584.86415151</v>
      </c>
      <c r="F52" s="9"/>
      <c r="H52" s="3" t="s">
        <v>34</v>
      </c>
      <c r="I52" s="40">
        <v>5677887.6755911699</v>
      </c>
      <c r="J52" s="27">
        <f>I52*25</f>
        <v>141947191.88977924</v>
      </c>
      <c r="K52" s="38"/>
      <c r="L52" s="9"/>
    </row>
    <row r="53" spans="2:12" ht="14.7" customHeight="1" thickBot="1" x14ac:dyDescent="0.55000000000000004">
      <c r="B53" s="16" t="s">
        <v>35</v>
      </c>
      <c r="C53" s="25">
        <v>1315297.116586573</v>
      </c>
      <c r="D53" s="28">
        <f>C53*25</f>
        <v>32882427.914664324</v>
      </c>
      <c r="F53" s="9"/>
      <c r="H53" s="16" t="s">
        <v>35</v>
      </c>
      <c r="I53" s="25">
        <v>223688.3061627498</v>
      </c>
      <c r="J53" s="28">
        <f>I53*25</f>
        <v>5592207.6540687447</v>
      </c>
      <c r="K53" s="38"/>
      <c r="L53" s="9"/>
    </row>
    <row r="54" spans="2:12" ht="14.7" customHeight="1" thickBot="1" x14ac:dyDescent="0.55000000000000004">
      <c r="B54" s="8"/>
      <c r="F54" s="9"/>
      <c r="H54" s="8"/>
      <c r="I54" s="39"/>
      <c r="J54" s="10"/>
      <c r="K54" s="38"/>
      <c r="L54" s="9"/>
    </row>
    <row r="55" spans="2:12" ht="14.7" customHeight="1" thickBot="1" x14ac:dyDescent="0.55000000000000004">
      <c r="B55" s="29" t="s">
        <v>36</v>
      </c>
      <c r="C55" s="30"/>
      <c r="D55" s="31"/>
      <c r="F55" s="9"/>
      <c r="H55" s="35" t="s">
        <v>36</v>
      </c>
      <c r="I55" s="36"/>
      <c r="J55" s="37"/>
      <c r="K55" s="38"/>
      <c r="L55" s="9"/>
    </row>
    <row r="56" spans="2:12" ht="14.7" customHeight="1" thickBot="1" x14ac:dyDescent="0.55000000000000004">
      <c r="B56" s="11" t="s">
        <v>31</v>
      </c>
      <c r="C56" s="12" t="s">
        <v>32</v>
      </c>
      <c r="D56" s="13" t="s">
        <v>33</v>
      </c>
      <c r="F56" s="9"/>
      <c r="H56" s="24" t="s">
        <v>31</v>
      </c>
      <c r="I56" s="20">
        <v>1542142.3316420401</v>
      </c>
      <c r="J56" s="21" t="s">
        <v>33</v>
      </c>
      <c r="K56" s="38"/>
      <c r="L56" s="9"/>
    </row>
    <row r="57" spans="2:12" ht="14.7" customHeight="1" thickBot="1" x14ac:dyDescent="0.55000000000000004">
      <c r="B57" s="23" t="s">
        <v>34</v>
      </c>
      <c r="C57">
        <v>1105297.2182771999</v>
      </c>
      <c r="D57" s="9">
        <f>C57*25</f>
        <v>27632430.456929997</v>
      </c>
      <c r="F57" s="9"/>
      <c r="H57" s="16" t="s">
        <v>34</v>
      </c>
      <c r="I57" s="14">
        <v>96947.1504613016</v>
      </c>
      <c r="J57" s="15">
        <f>I57*25</f>
        <v>2423678.76153254</v>
      </c>
      <c r="K57" s="38"/>
      <c r="L57" s="9"/>
    </row>
    <row r="58" spans="2:12" ht="14.7" customHeight="1" thickBot="1" x14ac:dyDescent="0.55000000000000004">
      <c r="B58" s="16" t="s">
        <v>35</v>
      </c>
      <c r="C58" s="12">
        <v>603860.33669930103</v>
      </c>
      <c r="D58" s="13">
        <f>C58*25</f>
        <v>15096508.417482525</v>
      </c>
      <c r="F58" s="9"/>
      <c r="H58" s="8" t="s">
        <v>35</v>
      </c>
      <c r="I58" s="12">
        <v>223688.3061627498</v>
      </c>
      <c r="J58" s="38">
        <f>I58*25</f>
        <v>5592207.6540687447</v>
      </c>
      <c r="K58" s="38"/>
      <c r="L58" s="9"/>
    </row>
    <row r="59" spans="2:12" ht="14.7" customHeight="1" thickBot="1" x14ac:dyDescent="0.55000000000000004">
      <c r="B59" s="8"/>
      <c r="F59" s="9"/>
      <c r="H59" s="8"/>
      <c r="I59" s="38"/>
      <c r="J59" s="38"/>
      <c r="K59" s="38"/>
      <c r="L59" s="9"/>
    </row>
    <row r="60" spans="2:12" ht="14.7" customHeight="1" thickBot="1" x14ac:dyDescent="0.55000000000000004">
      <c r="B60" s="29" t="s">
        <v>37</v>
      </c>
      <c r="C60" s="31"/>
      <c r="F60" s="9"/>
      <c r="H60" s="29" t="s">
        <v>38</v>
      </c>
      <c r="I60" s="31"/>
      <c r="J60" s="38"/>
      <c r="K60" s="38"/>
      <c r="L60" s="9"/>
    </row>
    <row r="61" spans="2:12" ht="14.7" customHeight="1" thickBot="1" x14ac:dyDescent="0.55000000000000004">
      <c r="B61" s="24" t="s">
        <v>39</v>
      </c>
      <c r="C61" s="13">
        <v>338578.82555489702</v>
      </c>
      <c r="F61" s="9"/>
      <c r="H61" s="24" t="s">
        <v>39</v>
      </c>
      <c r="I61" s="13">
        <v>49687.736470930802</v>
      </c>
      <c r="J61" s="38"/>
      <c r="K61" s="38"/>
      <c r="L61" s="9"/>
    </row>
    <row r="62" spans="2:12" ht="14.7" customHeight="1" thickBot="1" x14ac:dyDescent="0.55000000000000004">
      <c r="B62" s="8"/>
      <c r="F62" s="9"/>
      <c r="H62" s="8"/>
      <c r="I62" s="38"/>
      <c r="J62" s="38"/>
      <c r="K62" s="38"/>
      <c r="L62" s="9"/>
    </row>
    <row r="63" spans="2:12" ht="14.7" customHeight="1" thickBot="1" x14ac:dyDescent="0.55000000000000004">
      <c r="B63" s="29" t="s">
        <v>40</v>
      </c>
      <c r="C63" s="31"/>
      <c r="F63" s="9"/>
      <c r="H63" s="29" t="s">
        <v>40</v>
      </c>
      <c r="I63" s="31"/>
      <c r="J63" s="38"/>
      <c r="K63" s="38"/>
      <c r="L63" s="9"/>
    </row>
    <row r="64" spans="2:12" ht="14.7" customHeight="1" thickBot="1" x14ac:dyDescent="0.55000000000000004">
      <c r="B64" s="29">
        <f>E23/B70</f>
        <v>0.88128205662817727</v>
      </c>
      <c r="C64" s="31"/>
      <c r="F64" s="9"/>
      <c r="H64" s="29">
        <f>K23/B70</f>
        <v>0.62729301205139432</v>
      </c>
      <c r="I64" s="31"/>
      <c r="J64" s="38"/>
      <c r="K64" s="38"/>
      <c r="L64" s="9"/>
    </row>
    <row r="65" spans="2:12" x14ac:dyDescent="0.5">
      <c r="B65" s="8"/>
      <c r="F65" s="9"/>
      <c r="H65" s="8"/>
      <c r="I65" s="38"/>
      <c r="J65" s="38"/>
      <c r="K65" s="38"/>
      <c r="L65" s="9"/>
    </row>
    <row r="66" spans="2:12" ht="14.7" customHeight="1" thickBot="1" x14ac:dyDescent="0.55000000000000004">
      <c r="B66" s="11"/>
      <c r="C66" s="12"/>
      <c r="D66" s="12"/>
      <c r="E66" s="12"/>
      <c r="F66" s="13"/>
      <c r="G66" s="12"/>
      <c r="H66" s="11"/>
      <c r="I66" s="12"/>
      <c r="J66" s="12"/>
      <c r="K66" s="12"/>
      <c r="L66" s="13"/>
    </row>
    <row r="67" spans="2:12" ht="14.7" customHeight="1" thickBot="1" x14ac:dyDescent="0.55000000000000004">
      <c r="B67" s="11"/>
      <c r="C67" s="12"/>
      <c r="L67" s="9"/>
    </row>
    <row r="68" spans="2:12" ht="14.7" customHeight="1" thickBot="1" x14ac:dyDescent="0.55000000000000004">
      <c r="B68" s="32" t="s">
        <v>41</v>
      </c>
      <c r="C68" s="33"/>
      <c r="L68" s="9"/>
    </row>
    <row r="69" spans="2:12" ht="14.7" customHeight="1" thickBot="1" x14ac:dyDescent="0.55000000000000004">
      <c r="B69" s="17" t="s">
        <v>42</v>
      </c>
      <c r="C69" s="19" t="s">
        <v>43</v>
      </c>
      <c r="L69" s="9"/>
    </row>
    <row r="70" spans="2:12" ht="14.7" customHeight="1" thickBot="1" x14ac:dyDescent="0.55000000000000004">
      <c r="B70" s="11">
        <f>C108</f>
        <v>6476904.9656968191</v>
      </c>
      <c r="C70" s="13">
        <f>D108</f>
        <v>161922624.14242047</v>
      </c>
      <c r="D70" s="12"/>
      <c r="E70" s="12"/>
      <c r="F70" s="12"/>
      <c r="G70" s="12"/>
      <c r="H70" s="12"/>
      <c r="I70" s="12"/>
      <c r="J70" s="12"/>
      <c r="K70" s="12"/>
      <c r="L70" s="13"/>
    </row>
    <row r="71" spans="2:12" ht="14.7" customHeight="1" thickBot="1" x14ac:dyDescent="0.55000000000000004"/>
    <row r="72" spans="2:12" ht="14.7" customHeight="1" thickBot="1" x14ac:dyDescent="0.55000000000000004">
      <c r="B72" s="29" t="s">
        <v>44</v>
      </c>
      <c r="C72" s="30"/>
      <c r="D72" s="30"/>
      <c r="E72" s="30"/>
      <c r="F72" s="31"/>
    </row>
    <row r="73" spans="2:12" ht="14.7" customHeight="1" thickBot="1" x14ac:dyDescent="0.55000000000000004">
      <c r="B73" s="29" t="s">
        <v>45</v>
      </c>
      <c r="C73" s="30"/>
      <c r="D73" s="30"/>
      <c r="E73" s="30"/>
      <c r="F73" s="31"/>
    </row>
    <row r="74" spans="2:12" ht="14.7" customHeight="1" thickBot="1" x14ac:dyDescent="0.55000000000000004">
      <c r="B74" s="24" t="s">
        <v>46</v>
      </c>
      <c r="C74" s="18" t="s">
        <v>4</v>
      </c>
      <c r="D74" s="18" t="s">
        <v>5</v>
      </c>
      <c r="E74" s="18" t="s">
        <v>6</v>
      </c>
      <c r="F74" s="19" t="s">
        <v>7</v>
      </c>
    </row>
    <row r="75" spans="2:12" x14ac:dyDescent="0.5">
      <c r="B75" s="23" t="s">
        <v>9</v>
      </c>
      <c r="C75">
        <v>12771.442313861329</v>
      </c>
      <c r="D75">
        <v>29800</v>
      </c>
      <c r="E75">
        <f>C75+D75</f>
        <v>42571.442313861327</v>
      </c>
      <c r="F75" s="9">
        <f>E75*25</f>
        <v>1064286.0578465331</v>
      </c>
    </row>
    <row r="76" spans="2:12" x14ac:dyDescent="0.5">
      <c r="B76" s="3" t="s">
        <v>10</v>
      </c>
      <c r="C76">
        <v>31928.605784653319</v>
      </c>
      <c r="D76">
        <v>74500</v>
      </c>
      <c r="E76">
        <f>C76+D76</f>
        <v>106428.60578465332</v>
      </c>
      <c r="F76" s="9">
        <f>E76*25</f>
        <v>2660715.1446163328</v>
      </c>
    </row>
    <row r="77" spans="2:12" x14ac:dyDescent="0.5">
      <c r="B77" s="3" t="s">
        <v>14</v>
      </c>
      <c r="C77">
        <v>0</v>
      </c>
      <c r="D77">
        <v>0</v>
      </c>
      <c r="E77">
        <f>C77+D77</f>
        <v>0</v>
      </c>
      <c r="F77" s="9">
        <f>E77*25</f>
        <v>0</v>
      </c>
    </row>
    <row r="78" spans="2:12" x14ac:dyDescent="0.5">
      <c r="B78" s="3" t="s">
        <v>47</v>
      </c>
      <c r="C78">
        <v>0</v>
      </c>
      <c r="D78">
        <v>0</v>
      </c>
      <c r="E78">
        <f>C78+D78</f>
        <v>0</v>
      </c>
      <c r="F78" s="9">
        <f>E78*25</f>
        <v>0</v>
      </c>
    </row>
    <row r="79" spans="2:12" ht="14.7" customHeight="1" thickBot="1" x14ac:dyDescent="0.55000000000000004">
      <c r="B79" s="16" t="s">
        <v>48</v>
      </c>
      <c r="C79" s="12"/>
      <c r="D79" s="12"/>
      <c r="E79">
        <f>C79+D79</f>
        <v>0</v>
      </c>
      <c r="F79" s="9">
        <f>E79*25</f>
        <v>0</v>
      </c>
    </row>
    <row r="80" spans="2:12" ht="14.7" customHeight="1" thickBot="1" x14ac:dyDescent="0.55000000000000004">
      <c r="B80" s="17" t="s">
        <v>49</v>
      </c>
      <c r="C80" s="18" t="s">
        <v>4</v>
      </c>
      <c r="D80" s="18" t="s">
        <v>5</v>
      </c>
      <c r="E80" s="18" t="s">
        <v>6</v>
      </c>
      <c r="F80" s="19" t="s">
        <v>7</v>
      </c>
    </row>
    <row r="81" spans="2:6" x14ac:dyDescent="0.5">
      <c r="B81" s="23" t="s">
        <v>18</v>
      </c>
      <c r="C81">
        <v>53266.698422994428</v>
      </c>
      <c r="D81">
        <v>66382.079999999987</v>
      </c>
      <c r="E81">
        <f>C81+D81</f>
        <v>119648.77842299442</v>
      </c>
      <c r="F81" s="9">
        <f>E81*25</f>
        <v>2991219.4605748607</v>
      </c>
    </row>
    <row r="82" spans="2:6" ht="14.7" customHeight="1" thickBot="1" x14ac:dyDescent="0.55000000000000004">
      <c r="B82" s="16" t="s">
        <v>50</v>
      </c>
      <c r="C82" s="12"/>
      <c r="D82" s="12"/>
      <c r="E82">
        <f>C82+D82</f>
        <v>0</v>
      </c>
      <c r="F82" s="9">
        <f>E82*25</f>
        <v>0</v>
      </c>
    </row>
    <row r="83" spans="2:6" ht="14.7" customHeight="1" thickBot="1" x14ac:dyDescent="0.55000000000000004">
      <c r="B83" s="17"/>
      <c r="C83" s="18" t="s">
        <v>4</v>
      </c>
      <c r="D83" s="18" t="s">
        <v>5</v>
      </c>
      <c r="E83" s="18" t="s">
        <v>6</v>
      </c>
      <c r="F83" s="19" t="s">
        <v>7</v>
      </c>
    </row>
    <row r="84" spans="2:6" ht="14.7" customHeight="1" thickBot="1" x14ac:dyDescent="0.55000000000000004">
      <c r="B84" s="24" t="s">
        <v>22</v>
      </c>
      <c r="C84" s="12">
        <v>97966.746521509078</v>
      </c>
      <c r="D84" s="12">
        <v>5351461.1526189037</v>
      </c>
      <c r="E84" s="12">
        <v>5449427.8991404129</v>
      </c>
      <c r="F84" s="13">
        <f>E84*25</f>
        <v>136235697.47851032</v>
      </c>
    </row>
    <row r="85" spans="2:6" ht="14.7" customHeight="1" thickBot="1" x14ac:dyDescent="0.55000000000000004">
      <c r="B85" s="8"/>
      <c r="F85" s="9"/>
    </row>
    <row r="86" spans="2:6" ht="14.7" customHeight="1" thickBot="1" x14ac:dyDescent="0.55000000000000004">
      <c r="B86" s="29" t="s">
        <v>46</v>
      </c>
      <c r="C86" s="30"/>
      <c r="D86" s="31"/>
      <c r="F86" s="9"/>
    </row>
    <row r="87" spans="2:6" ht="14.7" customHeight="1" thickBot="1" x14ac:dyDescent="0.55000000000000004">
      <c r="B87" s="24" t="s">
        <v>23</v>
      </c>
      <c r="C87" s="18" t="s">
        <v>24</v>
      </c>
      <c r="D87" s="19" t="s">
        <v>25</v>
      </c>
      <c r="F87" s="9"/>
    </row>
    <row r="88" spans="2:6" x14ac:dyDescent="0.5">
      <c r="B88" s="23" t="s">
        <v>9</v>
      </c>
      <c r="C88">
        <v>2</v>
      </c>
      <c r="D88" s="9">
        <v>200</v>
      </c>
      <c r="F88" s="9"/>
    </row>
    <row r="89" spans="2:6" x14ac:dyDescent="0.5">
      <c r="B89" s="3" t="s">
        <v>10</v>
      </c>
      <c r="C89">
        <v>1</v>
      </c>
      <c r="D89" s="9">
        <v>500</v>
      </c>
      <c r="F89" s="9"/>
    </row>
    <row r="90" spans="2:6" x14ac:dyDescent="0.5">
      <c r="B90" s="3" t="s">
        <v>14</v>
      </c>
      <c r="C90">
        <v>0</v>
      </c>
      <c r="D90" s="9">
        <v>0</v>
      </c>
      <c r="F90" s="9"/>
    </row>
    <row r="91" spans="2:6" x14ac:dyDescent="0.5">
      <c r="B91" s="3" t="s">
        <v>47</v>
      </c>
      <c r="C91">
        <v>0</v>
      </c>
      <c r="D91" s="9">
        <v>0</v>
      </c>
      <c r="F91" s="9"/>
    </row>
    <row r="92" spans="2:6" ht="14.7" customHeight="1" thickBot="1" x14ac:dyDescent="0.55000000000000004">
      <c r="B92" s="16" t="s">
        <v>26</v>
      </c>
      <c r="C92" s="12">
        <v>3</v>
      </c>
      <c r="D92" s="13">
        <v>700</v>
      </c>
      <c r="F92" s="9"/>
    </row>
    <row r="93" spans="2:6" ht="14.7" customHeight="1" thickBot="1" x14ac:dyDescent="0.55000000000000004">
      <c r="B93" s="8"/>
      <c r="F93" s="9"/>
    </row>
    <row r="94" spans="2:6" ht="14.7" customHeight="1" thickBot="1" x14ac:dyDescent="0.55000000000000004">
      <c r="B94" s="29" t="s">
        <v>51</v>
      </c>
      <c r="C94" s="30"/>
      <c r="D94" s="31"/>
      <c r="F94" s="9"/>
    </row>
    <row r="95" spans="2:6" ht="14.7" customHeight="1" thickBot="1" x14ac:dyDescent="0.55000000000000004">
      <c r="B95" s="17" t="s">
        <v>23</v>
      </c>
      <c r="C95" s="18" t="s">
        <v>24</v>
      </c>
      <c r="D95" s="19" t="s">
        <v>25</v>
      </c>
      <c r="F95" s="9"/>
    </row>
    <row r="96" spans="2:6" ht="14.7" customHeight="1" thickBot="1" x14ac:dyDescent="0.55000000000000004">
      <c r="B96" s="24" t="s">
        <v>18</v>
      </c>
      <c r="C96" s="12">
        <v>236</v>
      </c>
      <c r="D96" s="13">
        <v>4148.8799999999992</v>
      </c>
      <c r="F96" s="9"/>
    </row>
    <row r="97" spans="2:6" ht="14.7" customHeight="1" thickBot="1" x14ac:dyDescent="0.55000000000000004">
      <c r="B97" s="8"/>
      <c r="F97" s="9"/>
    </row>
    <row r="98" spans="2:6" ht="14.7" customHeight="1" thickBot="1" x14ac:dyDescent="0.55000000000000004">
      <c r="B98" s="29" t="s">
        <v>52</v>
      </c>
      <c r="C98" s="30"/>
      <c r="D98" s="31"/>
      <c r="F98" s="9"/>
    </row>
    <row r="99" spans="2:6" ht="14.7" customHeight="1" thickBot="1" x14ac:dyDescent="0.55000000000000004">
      <c r="B99" s="17" t="s">
        <v>53</v>
      </c>
      <c r="C99" s="18" t="s">
        <v>54</v>
      </c>
      <c r="D99" s="19" t="s">
        <v>55</v>
      </c>
      <c r="F99" s="9"/>
    </row>
    <row r="100" spans="2:6" x14ac:dyDescent="0.5">
      <c r="B100" s="23" t="s">
        <v>56</v>
      </c>
      <c r="C100">
        <v>1134084.8982171081</v>
      </c>
      <c r="D100" s="9">
        <f>C100*25</f>
        <v>28352122.455427703</v>
      </c>
      <c r="F100" s="9"/>
    </row>
    <row r="101" spans="2:6" x14ac:dyDescent="0.5">
      <c r="B101" s="3" t="s">
        <v>57</v>
      </c>
      <c r="C101">
        <v>1348914.8969513101</v>
      </c>
      <c r="D101" s="9">
        <f>C101*25</f>
        <v>33722872.423782751</v>
      </c>
      <c r="F101" s="9"/>
    </row>
    <row r="102" spans="2:6" ht="14.7" customHeight="1" thickBot="1" x14ac:dyDescent="0.55000000000000004">
      <c r="B102" s="16" t="s">
        <v>26</v>
      </c>
      <c r="C102" s="12">
        <f>C100+C101</f>
        <v>2482999.7951684184</v>
      </c>
      <c r="D102" s="13">
        <f>C102*25</f>
        <v>62074994.879210457</v>
      </c>
      <c r="F102" s="9"/>
    </row>
    <row r="103" spans="2:6" ht="14.7" customHeight="1" thickBot="1" x14ac:dyDescent="0.55000000000000004">
      <c r="B103" s="8"/>
      <c r="F103" s="9"/>
    </row>
    <row r="104" spans="2:6" ht="14.7" customHeight="1" thickBot="1" x14ac:dyDescent="0.55000000000000004">
      <c r="B104" s="29" t="s">
        <v>58</v>
      </c>
      <c r="C104" s="30"/>
      <c r="D104" s="31"/>
      <c r="F104" s="9"/>
    </row>
    <row r="105" spans="2:6" ht="14.7" customHeight="1" thickBot="1" x14ac:dyDescent="0.55000000000000004">
      <c r="B105" s="17" t="s">
        <v>53</v>
      </c>
      <c r="C105" s="18" t="s">
        <v>59</v>
      </c>
      <c r="D105" s="22" t="s">
        <v>60</v>
      </c>
      <c r="F105" s="9"/>
    </row>
    <row r="106" spans="2:6" x14ac:dyDescent="0.5">
      <c r="B106" s="23" t="s">
        <v>56</v>
      </c>
      <c r="C106">
        <f>2.6085*C100</f>
        <v>2958260.4569993261</v>
      </c>
      <c r="D106" s="9">
        <f>C106*25</f>
        <v>73956511.424983159</v>
      </c>
      <c r="F106" s="9"/>
    </row>
    <row r="107" spans="2:6" x14ac:dyDescent="0.5">
      <c r="B107" s="3" t="s">
        <v>57</v>
      </c>
      <c r="C107">
        <f>2.6085*C101</f>
        <v>3518644.5086974921</v>
      </c>
      <c r="D107" s="9">
        <f>C107*25</f>
        <v>87966112.717437297</v>
      </c>
      <c r="F107" s="9"/>
    </row>
    <row r="108" spans="2:6" ht="14.7" customHeight="1" thickBot="1" x14ac:dyDescent="0.55000000000000004">
      <c r="B108" s="16" t="s">
        <v>26</v>
      </c>
      <c r="C108" s="12">
        <f>2.6085*C102</f>
        <v>6476904.9656968191</v>
      </c>
      <c r="D108" s="13">
        <f>C108*25</f>
        <v>161922624.14242047</v>
      </c>
      <c r="E108" s="12"/>
      <c r="F108" s="13"/>
    </row>
  </sheetData>
  <mergeCells count="30">
    <mergeCell ref="H64:I64"/>
    <mergeCell ref="H50:J50"/>
    <mergeCell ref="H55:J55"/>
    <mergeCell ref="B86:D86"/>
    <mergeCell ref="B104:D104"/>
    <mergeCell ref="B73:F73"/>
    <mergeCell ref="B36:D36"/>
    <mergeCell ref="B94:D94"/>
    <mergeCell ref="B50:D50"/>
    <mergeCell ref="B68:C68"/>
    <mergeCell ref="B64:C64"/>
    <mergeCell ref="B47:C47"/>
    <mergeCell ref="B98:D98"/>
    <mergeCell ref="B72:F72"/>
    <mergeCell ref="H33:I33"/>
    <mergeCell ref="B5:L5"/>
    <mergeCell ref="B63:C63"/>
    <mergeCell ref="B43:D43"/>
    <mergeCell ref="H25:J25"/>
    <mergeCell ref="H6:L6"/>
    <mergeCell ref="H60:I60"/>
    <mergeCell ref="B60:C60"/>
    <mergeCell ref="B55:D55"/>
    <mergeCell ref="H47:I47"/>
    <mergeCell ref="B25:D25"/>
    <mergeCell ref="H43:J43"/>
    <mergeCell ref="B6:F6"/>
    <mergeCell ref="B33:C33"/>
    <mergeCell ref="H36:J36"/>
    <mergeCell ref="H63:I63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B4:N108"/>
  <sheetViews>
    <sheetView tabSelected="1" topLeftCell="A15" zoomScale="70" zoomScaleNormal="70" workbookViewId="0">
      <selection activeCell="M29" sqref="M29"/>
    </sheetView>
  </sheetViews>
  <sheetFormatPr defaultColWidth="39.234375" defaultRowHeight="14.35" x14ac:dyDescent="0.5"/>
  <cols>
    <col min="1" max="1" width="13.52734375" customWidth="1"/>
    <col min="2" max="2" width="15.234375" bestFit="1" customWidth="1"/>
    <col min="3" max="3" width="17.64453125" bestFit="1" customWidth="1"/>
    <col min="4" max="4" width="18.64453125" bestFit="1" customWidth="1"/>
    <col min="5" max="5" width="12.46875" bestFit="1" customWidth="1"/>
    <col min="6" max="6" width="14.5859375" bestFit="1" customWidth="1"/>
    <col min="7" max="7" width="12.46875" customWidth="1"/>
    <col min="8" max="8" width="15.234375" bestFit="1" customWidth="1"/>
    <col min="9" max="9" width="15.703125" bestFit="1" customWidth="1"/>
    <col min="10" max="10" width="18" bestFit="1" customWidth="1"/>
    <col min="11" max="11" width="12.46875" bestFit="1" customWidth="1"/>
    <col min="12" max="12" width="14.5859375" bestFit="1" customWidth="1"/>
    <col min="13" max="14" width="13.41015625" bestFit="1" customWidth="1"/>
    <col min="15" max="15" width="11.76171875" bestFit="1" customWidth="1"/>
  </cols>
  <sheetData>
    <row r="4" spans="2:14" ht="14.7" customHeight="1" thickBot="1" x14ac:dyDescent="0.55000000000000004"/>
    <row r="5" spans="2:14" ht="14.7" customHeight="1" thickBot="1" x14ac:dyDescent="0.55000000000000004">
      <c r="B5" s="29" t="s">
        <v>0</v>
      </c>
      <c r="C5" s="30"/>
      <c r="D5" s="30"/>
      <c r="E5" s="30"/>
      <c r="F5" s="30"/>
      <c r="G5" s="30"/>
      <c r="H5" s="30"/>
      <c r="I5" s="30"/>
      <c r="J5" s="30"/>
      <c r="K5" s="30"/>
      <c r="L5" s="31"/>
    </row>
    <row r="6" spans="2:14" ht="14.7" customHeight="1" thickBot="1" x14ac:dyDescent="0.55000000000000004">
      <c r="B6" s="29" t="s">
        <v>1</v>
      </c>
      <c r="C6" s="30"/>
      <c r="D6" s="30"/>
      <c r="E6" s="30"/>
      <c r="F6" s="31"/>
      <c r="H6" s="29" t="s">
        <v>2</v>
      </c>
      <c r="I6" s="30"/>
      <c r="J6" s="30"/>
      <c r="K6" s="30"/>
      <c r="L6" s="31"/>
    </row>
    <row r="7" spans="2:14" ht="14.7" customHeight="1" thickBot="1" x14ac:dyDescent="0.55000000000000004">
      <c r="B7" s="24" t="s">
        <v>3</v>
      </c>
      <c r="C7" s="18" t="s">
        <v>4</v>
      </c>
      <c r="D7" s="18" t="s">
        <v>5</v>
      </c>
      <c r="E7" s="18" t="s">
        <v>6</v>
      </c>
      <c r="F7" s="19" t="s">
        <v>7</v>
      </c>
      <c r="H7" s="24" t="s">
        <v>3</v>
      </c>
      <c r="I7" s="18" t="s">
        <v>4</v>
      </c>
      <c r="J7" s="18" t="s">
        <v>5</v>
      </c>
      <c r="K7" s="18" t="s">
        <v>6</v>
      </c>
      <c r="L7" s="19" t="s">
        <v>7</v>
      </c>
    </row>
    <row r="8" spans="2:14" x14ac:dyDescent="0.5">
      <c r="B8" s="3" t="s">
        <v>8</v>
      </c>
      <c r="C8" s="6">
        <f>13698 * D27*((0.05*((1.05)^25))/((1.05^25)-1))</f>
        <v>388762.70403393894</v>
      </c>
      <c r="D8" s="6">
        <f>29*D27</f>
        <v>11600</v>
      </c>
      <c r="E8" s="6">
        <f>C8+D8</f>
        <v>400362.70403393894</v>
      </c>
      <c r="F8" s="10">
        <f>E8*25</f>
        <v>10009067.600848474</v>
      </c>
      <c r="H8" s="3" t="s">
        <v>9</v>
      </c>
      <c r="I8" s="39">
        <f>1615 * J27*((0.05*((1.05)^25))/((1.05^25)-1))</f>
        <v>0</v>
      </c>
      <c r="J8" s="39">
        <f>29*J27</f>
        <v>0</v>
      </c>
      <c r="K8" s="39">
        <f>I8+J8</f>
        <v>0</v>
      </c>
      <c r="L8" s="10">
        <f>K8*25</f>
        <v>0</v>
      </c>
    </row>
    <row r="9" spans="2:14" x14ac:dyDescent="0.5">
      <c r="B9" s="3" t="s">
        <v>10</v>
      </c>
      <c r="C9" s="6">
        <f>13698 * D28*((0.05*((1.05)^25))/((1.05^25)-1))</f>
        <v>3887627.0403393894</v>
      </c>
      <c r="D9" s="6">
        <f>29*D28</f>
        <v>116000</v>
      </c>
      <c r="E9" s="6">
        <f>C9+D9</f>
        <v>4003627.0403393894</v>
      </c>
      <c r="F9" s="10">
        <f>E9*25</f>
        <v>100090676.00848474</v>
      </c>
      <c r="H9" s="3" t="s">
        <v>10</v>
      </c>
      <c r="I9" s="39">
        <f>1615 * J28*((0.05*((1.05)^25))/((1.05^25)-1))</f>
        <v>515646.9834221513</v>
      </c>
      <c r="J9" s="39">
        <f>29*J28</f>
        <v>130500</v>
      </c>
      <c r="K9" s="39">
        <f>I9+J9</f>
        <v>646146.9834221513</v>
      </c>
      <c r="L9" s="10">
        <f>K9*25</f>
        <v>16153674.585553782</v>
      </c>
      <c r="M9" s="7"/>
      <c r="N9" s="6"/>
    </row>
    <row r="10" spans="2:14" x14ac:dyDescent="0.5">
      <c r="B10" s="3" t="s">
        <v>11</v>
      </c>
      <c r="C10" s="6">
        <f>13698 * D29*((0.05*((1.05)^25))/((1.05^25)-1))</f>
        <v>0</v>
      </c>
      <c r="D10" s="6">
        <f>29*D29</f>
        <v>0</v>
      </c>
      <c r="E10" s="6">
        <f>C10+D10</f>
        <v>0</v>
      </c>
      <c r="F10" s="10">
        <f>E10*25</f>
        <v>0</v>
      </c>
      <c r="H10" s="3" t="s">
        <v>11</v>
      </c>
      <c r="I10" s="39">
        <f>1615 * J29*((0.05*((1.05)^25))/((1.05^25)-1))</f>
        <v>0</v>
      </c>
      <c r="J10" s="39">
        <f>29*J29</f>
        <v>0</v>
      </c>
      <c r="K10" s="39">
        <f>I10+J10</f>
        <v>0</v>
      </c>
      <c r="L10" s="10">
        <f>K10*25</f>
        <v>0</v>
      </c>
      <c r="M10" s="7"/>
    </row>
    <row r="11" spans="2:14" ht="14.7" customHeight="1" thickBot="1" x14ac:dyDescent="0.55000000000000004">
      <c r="B11" s="16" t="s">
        <v>12</v>
      </c>
      <c r="C11" s="14">
        <f>13698 * D30*((0.05*((1.05)^25))/((1.05^25)-1))</f>
        <v>0</v>
      </c>
      <c r="D11" s="14">
        <f>29*D30</f>
        <v>0</v>
      </c>
      <c r="E11" s="14">
        <f>C11+D11</f>
        <v>0</v>
      </c>
      <c r="F11" s="15">
        <f>E11*25</f>
        <v>0</v>
      </c>
      <c r="H11" s="16" t="s">
        <v>12</v>
      </c>
      <c r="I11" s="14">
        <f>1615 * J30*((0.05*((1.05)^25))/((1.05^25)-1))</f>
        <v>0</v>
      </c>
      <c r="J11" s="14">
        <f>29*J30</f>
        <v>0</v>
      </c>
      <c r="K11" s="14">
        <f>I11+J11</f>
        <v>0</v>
      </c>
      <c r="L11" s="13">
        <f>K11*25</f>
        <v>0</v>
      </c>
    </row>
    <row r="12" spans="2:14" ht="14.7" customHeight="1" thickBot="1" x14ac:dyDescent="0.55000000000000004">
      <c r="B12" s="24" t="s">
        <v>13</v>
      </c>
      <c r="C12" s="18" t="s">
        <v>4</v>
      </c>
      <c r="D12" s="18" t="s">
        <v>5</v>
      </c>
      <c r="E12" s="18" t="s">
        <v>6</v>
      </c>
      <c r="F12" s="19" t="s">
        <v>7</v>
      </c>
      <c r="H12" s="24" t="s">
        <v>13</v>
      </c>
      <c r="I12" s="18" t="s">
        <v>4</v>
      </c>
      <c r="J12" s="18" t="s">
        <v>5</v>
      </c>
      <c r="K12" s="18" t="s">
        <v>6</v>
      </c>
      <c r="L12" s="19" t="s">
        <v>7</v>
      </c>
    </row>
    <row r="13" spans="2:14" x14ac:dyDescent="0.5">
      <c r="B13" s="3" t="s">
        <v>14</v>
      </c>
      <c r="C13" s="4">
        <f>2490 * D38*((0.05*((1.05)^10))/((1.05^10)-1))</f>
        <v>1289865.5666559488</v>
      </c>
      <c r="D13" s="1">
        <f>37.35*D38</f>
        <v>149400</v>
      </c>
      <c r="E13">
        <f>C13+D13</f>
        <v>1439265.5666559488</v>
      </c>
      <c r="F13" s="9">
        <f>E13*25</f>
        <v>35981639.166398719</v>
      </c>
      <c r="H13" s="3" t="s">
        <v>14</v>
      </c>
      <c r="I13" s="4">
        <f>2490 * J38*((0.05*((1.05)^10))/((1.05^10)-1))</f>
        <v>1289865.5666559488</v>
      </c>
      <c r="J13" s="1">
        <f>37.35*J38</f>
        <v>149400</v>
      </c>
      <c r="K13" s="39">
        <f>I13+J13</f>
        <v>1439265.5666559488</v>
      </c>
      <c r="L13" s="10">
        <f>K13*25</f>
        <v>35981639.166398719</v>
      </c>
    </row>
    <row r="14" spans="2:14" x14ac:dyDescent="0.5">
      <c r="B14" s="3" t="s">
        <v>15</v>
      </c>
      <c r="C14" s="4">
        <f>1570 * D39*((0.05*((1.05)^10))/((1.05^10)-1))</f>
        <v>0</v>
      </c>
      <c r="D14" s="1">
        <f>23.55*D39</f>
        <v>0</v>
      </c>
      <c r="E14">
        <f>C14+D14</f>
        <v>0</v>
      </c>
      <c r="F14" s="9">
        <f>E14*25</f>
        <v>0</v>
      </c>
      <c r="H14" s="3" t="s">
        <v>15</v>
      </c>
      <c r="I14" s="4">
        <f>1570 * J39*((0.05*((1.05)^10))/((1.05^10)-1))</f>
        <v>0</v>
      </c>
      <c r="J14" s="1">
        <f>23.55*J39</f>
        <v>0</v>
      </c>
      <c r="K14" s="38">
        <f>I14+J14</f>
        <v>0</v>
      </c>
      <c r="L14" s="10">
        <f>K14*25</f>
        <v>0</v>
      </c>
    </row>
    <row r="15" spans="2:14" ht="14.7" customHeight="1" thickBot="1" x14ac:dyDescent="0.55000000000000004">
      <c r="B15" s="16" t="s">
        <v>16</v>
      </c>
      <c r="C15" s="5">
        <f>1190 * D40*((0.05*((1.05)^10))/((1.05^10)-1))</f>
        <v>0</v>
      </c>
      <c r="D15" s="2">
        <f>17.85*D40</f>
        <v>0</v>
      </c>
      <c r="E15" s="12">
        <f>C15+D15</f>
        <v>0</v>
      </c>
      <c r="F15" s="13">
        <f>E15*25</f>
        <v>0</v>
      </c>
      <c r="H15" s="16" t="s">
        <v>16</v>
      </c>
      <c r="I15" s="5">
        <f>1190 * J40*((0.05*((1.05)^10))/((1.05^10)-1))</f>
        <v>0</v>
      </c>
      <c r="J15" s="2">
        <f>17.85*J40</f>
        <v>0</v>
      </c>
      <c r="K15" s="12">
        <f>I15+J15</f>
        <v>0</v>
      </c>
      <c r="L15" s="15">
        <f>K15*25</f>
        <v>0</v>
      </c>
    </row>
    <row r="16" spans="2:14" ht="14.7" customHeight="1" thickBot="1" x14ac:dyDescent="0.55000000000000004">
      <c r="B16" s="24" t="s">
        <v>17</v>
      </c>
      <c r="C16" s="18" t="s">
        <v>4</v>
      </c>
      <c r="D16" s="18" t="s">
        <v>5</v>
      </c>
      <c r="E16" s="18" t="s">
        <v>6</v>
      </c>
      <c r="F16" s="19" t="s">
        <v>7</v>
      </c>
      <c r="H16" s="24" t="s">
        <v>17</v>
      </c>
      <c r="I16" s="18" t="s">
        <v>4</v>
      </c>
      <c r="J16" s="18" t="s">
        <v>5</v>
      </c>
      <c r="K16" s="18" t="s">
        <v>6</v>
      </c>
      <c r="L16" s="19" t="s">
        <v>7</v>
      </c>
    </row>
    <row r="17" spans="2:14" ht="14.7" customHeight="1" thickBot="1" x14ac:dyDescent="0.55000000000000004">
      <c r="B17" s="16" t="s">
        <v>18</v>
      </c>
      <c r="C17" s="12">
        <v>68163.317473492891</v>
      </c>
      <c r="D17" s="12">
        <v>84946.559999999998</v>
      </c>
      <c r="E17" s="12">
        <f>D17+C17</f>
        <v>153109.87747349287</v>
      </c>
      <c r="F17" s="13">
        <f>E17*25</f>
        <v>3827746.9368373221</v>
      </c>
      <c r="H17" s="16" t="s">
        <v>18</v>
      </c>
      <c r="I17" s="12">
        <v>68163.317473492891</v>
      </c>
      <c r="J17" s="12">
        <v>84946.559999999998</v>
      </c>
      <c r="K17" s="12">
        <f>J17+I17</f>
        <v>153109.87747349287</v>
      </c>
      <c r="L17" s="15">
        <f>K17*25</f>
        <v>3827746.9368373221</v>
      </c>
    </row>
    <row r="18" spans="2:14" ht="14.7" customHeight="1" thickBot="1" x14ac:dyDescent="0.55000000000000004">
      <c r="B18" s="24" t="s">
        <v>19</v>
      </c>
      <c r="C18" s="18" t="s">
        <v>4</v>
      </c>
      <c r="D18" s="18" t="s">
        <v>5</v>
      </c>
      <c r="E18" s="18" t="s">
        <v>6</v>
      </c>
      <c r="F18" s="19" t="s">
        <v>7</v>
      </c>
      <c r="H18" s="24" t="s">
        <v>20</v>
      </c>
      <c r="I18" s="18" t="s">
        <v>4</v>
      </c>
      <c r="J18" s="18" t="s">
        <v>5</v>
      </c>
      <c r="K18" s="18" t="s">
        <v>6</v>
      </c>
      <c r="L18" s="19" t="s">
        <v>7</v>
      </c>
    </row>
    <row r="19" spans="2:14" ht="14.7" customHeight="1" thickBot="1" x14ac:dyDescent="0.55000000000000004">
      <c r="B19" s="11"/>
      <c r="C19" s="12">
        <f>C48*300*((0.05*((1.05)^20))/((1.05^20)-1))</f>
        <v>440291.07591532322</v>
      </c>
      <c r="D19" s="12">
        <v>0</v>
      </c>
      <c r="E19" s="12">
        <f>D19+C19</f>
        <v>440291.07591532322</v>
      </c>
      <c r="F19" s="13">
        <f>E19*25</f>
        <v>11007276.89788308</v>
      </c>
      <c r="H19" s="11"/>
      <c r="I19" s="14">
        <f>(I48/10)*3000*((0.05*((1.05)^20))/((1.05^20)-1))</f>
        <v>373609.48595985875</v>
      </c>
      <c r="J19" s="12">
        <v>0</v>
      </c>
      <c r="K19" s="12">
        <f>J19+I19</f>
        <v>373609.48595985875</v>
      </c>
      <c r="L19" s="15">
        <f>K19*25</f>
        <v>9340237.1489964686</v>
      </c>
    </row>
    <row r="20" spans="2:14" ht="14.7" customHeight="1" thickBot="1" x14ac:dyDescent="0.55000000000000004">
      <c r="B20" s="24" t="s">
        <v>21</v>
      </c>
      <c r="C20" s="18" t="s">
        <v>4</v>
      </c>
      <c r="D20" s="18" t="s">
        <v>5</v>
      </c>
      <c r="E20" s="18" t="s">
        <v>6</v>
      </c>
      <c r="F20" s="19" t="s">
        <v>7</v>
      </c>
      <c r="H20" s="24" t="s">
        <v>21</v>
      </c>
      <c r="I20" s="18" t="s">
        <v>4</v>
      </c>
      <c r="J20" s="18" t="s">
        <v>5</v>
      </c>
      <c r="K20" s="18" t="s">
        <v>6</v>
      </c>
      <c r="L20" s="19" t="s">
        <v>7</v>
      </c>
    </row>
    <row r="21" spans="2:14" ht="14.7" customHeight="1" thickBot="1" x14ac:dyDescent="0.55000000000000004">
      <c r="B21" s="11"/>
      <c r="C21" s="12">
        <v>0</v>
      </c>
      <c r="D21" s="12">
        <v>0</v>
      </c>
      <c r="E21" s="12">
        <f>C21+D21</f>
        <v>0</v>
      </c>
      <c r="F21" s="13">
        <f>E21*25</f>
        <v>0</v>
      </c>
      <c r="H21" s="11"/>
      <c r="I21" s="12">
        <v>0</v>
      </c>
      <c r="J21" s="12">
        <v>0</v>
      </c>
      <c r="K21" s="12">
        <f>J21+I21</f>
        <v>0</v>
      </c>
      <c r="L21" s="13">
        <f>K21*25</f>
        <v>0</v>
      </c>
    </row>
    <row r="22" spans="2:14" ht="14.7" customHeight="1" thickBot="1" x14ac:dyDescent="0.55000000000000004">
      <c r="B22" s="17"/>
      <c r="C22" s="18" t="s">
        <v>4</v>
      </c>
      <c r="D22" s="18" t="s">
        <v>5</v>
      </c>
      <c r="E22" s="18" t="s">
        <v>6</v>
      </c>
      <c r="F22" s="19" t="s">
        <v>7</v>
      </c>
      <c r="H22" s="17"/>
      <c r="I22" s="18" t="s">
        <v>4</v>
      </c>
      <c r="J22" s="18" t="s">
        <v>5</v>
      </c>
      <c r="K22" s="18" t="s">
        <v>6</v>
      </c>
      <c r="L22" s="19" t="s">
        <v>7</v>
      </c>
    </row>
    <row r="23" spans="2:14" ht="14.7" customHeight="1" thickBot="1" x14ac:dyDescent="0.55000000000000004">
      <c r="B23" s="24" t="s">
        <v>22</v>
      </c>
      <c r="C23" s="12">
        <v>6078079.8930800986</v>
      </c>
      <c r="D23" s="12">
        <v>361946.56</v>
      </c>
      <c r="E23" s="25">
        <v>6440026.4530800991</v>
      </c>
      <c r="F23" s="13">
        <f>D23*25</f>
        <v>9048664</v>
      </c>
      <c r="H23" s="24" t="s">
        <v>22</v>
      </c>
      <c r="I23" s="14">
        <v>2247285.3535114508</v>
      </c>
      <c r="J23" s="14">
        <v>364846.56</v>
      </c>
      <c r="K23" s="14">
        <v>4062917.2247025901</v>
      </c>
      <c r="L23" s="15">
        <f>K23*25</f>
        <v>101572930.61756475</v>
      </c>
      <c r="M23" s="6"/>
    </row>
    <row r="24" spans="2:14" ht="14.7" customHeight="1" thickBot="1" x14ac:dyDescent="0.55000000000000004">
      <c r="B24" s="8"/>
      <c r="F24" s="9"/>
      <c r="H24" s="8"/>
      <c r="I24" s="39"/>
      <c r="J24" s="39"/>
      <c r="K24" s="39"/>
      <c r="L24" s="10"/>
      <c r="M24" s="6"/>
      <c r="N24" s="7"/>
    </row>
    <row r="25" spans="2:14" ht="14.7" customHeight="1" thickBot="1" x14ac:dyDescent="0.55000000000000004">
      <c r="B25" s="29" t="s">
        <v>3</v>
      </c>
      <c r="C25" s="30"/>
      <c r="D25" s="31"/>
      <c r="F25" s="9"/>
      <c r="H25" s="29" t="s">
        <v>3</v>
      </c>
      <c r="I25" s="30"/>
      <c r="J25" s="31"/>
      <c r="K25" s="38"/>
      <c r="L25" s="10"/>
      <c r="M25" s="6"/>
    </row>
    <row r="26" spans="2:14" ht="14.7" customHeight="1" thickBot="1" x14ac:dyDescent="0.55000000000000004">
      <c r="B26" s="17" t="s">
        <v>23</v>
      </c>
      <c r="C26" s="18" t="s">
        <v>24</v>
      </c>
      <c r="D26" s="19" t="s">
        <v>25</v>
      </c>
      <c r="F26" s="9"/>
      <c r="H26" s="17" t="s">
        <v>23</v>
      </c>
      <c r="I26" s="18" t="s">
        <v>24</v>
      </c>
      <c r="J26" s="19" t="s">
        <v>25</v>
      </c>
      <c r="K26" s="38"/>
      <c r="L26" s="10"/>
      <c r="M26" s="6"/>
    </row>
    <row r="27" spans="2:14" x14ac:dyDescent="0.5">
      <c r="B27" s="23" t="s">
        <v>9</v>
      </c>
      <c r="C27">
        <v>4</v>
      </c>
      <c r="D27" s="9">
        <v>400</v>
      </c>
      <c r="F27" s="9"/>
      <c r="H27" s="8" t="s">
        <v>9</v>
      </c>
      <c r="I27" s="38">
        <v>0</v>
      </c>
      <c r="J27" s="9">
        <v>0</v>
      </c>
      <c r="K27" s="38"/>
      <c r="L27" s="9"/>
    </row>
    <row r="28" spans="2:14" x14ac:dyDescent="0.5">
      <c r="B28" s="3" t="s">
        <v>10</v>
      </c>
      <c r="C28">
        <v>8</v>
      </c>
      <c r="D28" s="9">
        <v>4000</v>
      </c>
      <c r="F28" s="9"/>
      <c r="H28" s="8" t="s">
        <v>10</v>
      </c>
      <c r="I28" s="38">
        <v>9</v>
      </c>
      <c r="J28" s="9">
        <v>4500</v>
      </c>
      <c r="K28" s="38"/>
      <c r="L28" s="9"/>
    </row>
    <row r="29" spans="2:14" x14ac:dyDescent="0.5">
      <c r="B29" s="3" t="s">
        <v>11</v>
      </c>
      <c r="C29">
        <v>0</v>
      </c>
      <c r="D29" s="9">
        <v>0</v>
      </c>
      <c r="F29" s="9"/>
      <c r="H29" s="8" t="s">
        <v>11</v>
      </c>
      <c r="I29" s="38">
        <v>0</v>
      </c>
      <c r="J29" s="9">
        <v>0</v>
      </c>
      <c r="K29" s="38"/>
      <c r="L29" s="9"/>
    </row>
    <row r="30" spans="2:14" x14ac:dyDescent="0.5">
      <c r="B30" s="3" t="s">
        <v>12</v>
      </c>
      <c r="C30">
        <v>0</v>
      </c>
      <c r="D30" s="9">
        <v>0</v>
      </c>
      <c r="F30" s="9"/>
      <c r="H30" s="8" t="s">
        <v>12</v>
      </c>
      <c r="I30" s="38">
        <v>0</v>
      </c>
      <c r="J30" s="9">
        <v>0</v>
      </c>
      <c r="K30" s="38"/>
      <c r="L30" s="9"/>
    </row>
    <row r="31" spans="2:14" ht="14.7" customHeight="1" thickBot="1" x14ac:dyDescent="0.55000000000000004">
      <c r="B31" s="16" t="s">
        <v>26</v>
      </c>
      <c r="C31" s="12">
        <v>12</v>
      </c>
      <c r="D31" s="13">
        <v>4400</v>
      </c>
      <c r="F31" s="9"/>
      <c r="H31" s="11" t="s">
        <v>26</v>
      </c>
      <c r="I31" s="12">
        <v>9</v>
      </c>
      <c r="J31" s="13">
        <v>4500</v>
      </c>
      <c r="K31" s="38"/>
      <c r="L31" s="9"/>
    </row>
    <row r="32" spans="2:14" ht="14.7" customHeight="1" thickBot="1" x14ac:dyDescent="0.55000000000000004">
      <c r="B32" s="8"/>
      <c r="F32" s="9"/>
      <c r="H32" s="8"/>
      <c r="I32" s="38"/>
      <c r="J32" s="38"/>
      <c r="K32" s="38"/>
      <c r="L32" s="9"/>
    </row>
    <row r="33" spans="2:12" ht="14.7" customHeight="1" thickBot="1" x14ac:dyDescent="0.55000000000000004">
      <c r="B33" s="29" t="s">
        <v>21</v>
      </c>
      <c r="C33" s="31"/>
      <c r="F33" s="9"/>
      <c r="H33" s="29" t="s">
        <v>21</v>
      </c>
      <c r="I33" s="31"/>
      <c r="J33" s="38"/>
      <c r="K33" s="38"/>
      <c r="L33" s="9"/>
    </row>
    <row r="34" spans="2:12" ht="14.7" customHeight="1" thickBot="1" x14ac:dyDescent="0.55000000000000004">
      <c r="B34" s="24" t="s">
        <v>25</v>
      </c>
      <c r="C34" s="13">
        <v>0</v>
      </c>
      <c r="F34" s="9"/>
      <c r="H34" s="24" t="s">
        <v>25</v>
      </c>
      <c r="I34" s="13">
        <v>0</v>
      </c>
      <c r="J34" s="38"/>
      <c r="K34" s="38"/>
      <c r="L34" s="9"/>
    </row>
    <row r="35" spans="2:12" ht="14.7" customHeight="1" thickBot="1" x14ac:dyDescent="0.55000000000000004">
      <c r="B35" s="8"/>
      <c r="F35" s="9"/>
      <c r="H35" s="8"/>
      <c r="I35" s="38"/>
      <c r="J35" s="38"/>
      <c r="K35" s="38"/>
      <c r="L35" s="9"/>
    </row>
    <row r="36" spans="2:12" ht="14.7" customHeight="1" thickBot="1" x14ac:dyDescent="0.55000000000000004">
      <c r="B36" s="29" t="s">
        <v>13</v>
      </c>
      <c r="C36" s="30"/>
      <c r="D36" s="31"/>
      <c r="F36" s="9"/>
      <c r="H36" s="29" t="s">
        <v>13</v>
      </c>
      <c r="I36" s="30"/>
      <c r="J36" s="31"/>
      <c r="K36" s="38"/>
      <c r="L36" s="9"/>
    </row>
    <row r="37" spans="2:12" ht="14.7" customHeight="1" thickBot="1" x14ac:dyDescent="0.55000000000000004">
      <c r="B37" s="24" t="s">
        <v>23</v>
      </c>
      <c r="C37" s="18" t="s">
        <v>24</v>
      </c>
      <c r="D37" s="19" t="s">
        <v>25</v>
      </c>
      <c r="F37" s="9"/>
      <c r="H37" s="17" t="s">
        <v>23</v>
      </c>
      <c r="I37" s="18" t="s">
        <v>24</v>
      </c>
      <c r="J37" s="19" t="s">
        <v>25</v>
      </c>
      <c r="K37" s="38"/>
      <c r="L37" s="9"/>
    </row>
    <row r="38" spans="2:12" x14ac:dyDescent="0.5">
      <c r="B38" s="23" t="s">
        <v>14</v>
      </c>
      <c r="C38">
        <v>4</v>
      </c>
      <c r="D38" s="9">
        <v>4000</v>
      </c>
      <c r="F38" s="9"/>
      <c r="H38" s="23" t="s">
        <v>14</v>
      </c>
      <c r="I38" s="38">
        <v>4</v>
      </c>
      <c r="J38" s="9">
        <v>4000</v>
      </c>
      <c r="K38" s="38"/>
      <c r="L38" s="9"/>
    </row>
    <row r="39" spans="2:12" x14ac:dyDescent="0.5">
      <c r="B39" s="3" t="s">
        <v>15</v>
      </c>
      <c r="C39">
        <v>0</v>
      </c>
      <c r="D39" s="9">
        <v>0</v>
      </c>
      <c r="F39" s="9"/>
      <c r="H39" s="3" t="s">
        <v>15</v>
      </c>
      <c r="I39" s="38">
        <v>0</v>
      </c>
      <c r="J39" s="9">
        <v>0</v>
      </c>
      <c r="K39" s="38"/>
      <c r="L39" s="9"/>
    </row>
    <row r="40" spans="2:12" x14ac:dyDescent="0.5">
      <c r="B40" s="3" t="s">
        <v>16</v>
      </c>
      <c r="C40">
        <v>0</v>
      </c>
      <c r="D40" s="9">
        <v>0</v>
      </c>
      <c r="F40" s="9"/>
      <c r="H40" s="3" t="s">
        <v>16</v>
      </c>
      <c r="I40" s="38">
        <v>0</v>
      </c>
      <c r="J40" s="9">
        <v>0</v>
      </c>
      <c r="K40" s="38"/>
      <c r="L40" s="9"/>
    </row>
    <row r="41" spans="2:12" ht="14.7" customHeight="1" thickBot="1" x14ac:dyDescent="0.55000000000000004">
      <c r="B41" s="16" t="s">
        <v>26</v>
      </c>
      <c r="C41" s="12">
        <v>4</v>
      </c>
      <c r="D41" s="13">
        <v>4000</v>
      </c>
      <c r="F41" s="9"/>
      <c r="H41" s="16" t="s">
        <v>26</v>
      </c>
      <c r="I41" s="12">
        <v>4</v>
      </c>
      <c r="J41" s="13">
        <v>4000</v>
      </c>
      <c r="K41" s="38"/>
      <c r="L41" s="9"/>
    </row>
    <row r="42" spans="2:12" ht="14.7" customHeight="1" thickBot="1" x14ac:dyDescent="0.55000000000000004">
      <c r="B42" s="8"/>
      <c r="F42" s="9"/>
      <c r="H42" s="8"/>
      <c r="I42" s="38"/>
      <c r="J42" s="38"/>
      <c r="K42" s="38"/>
      <c r="L42" s="9"/>
    </row>
    <row r="43" spans="2:12" ht="14.7" customHeight="1" thickBot="1" x14ac:dyDescent="0.55000000000000004">
      <c r="B43" s="29" t="s">
        <v>27</v>
      </c>
      <c r="C43" s="30"/>
      <c r="D43" s="31"/>
      <c r="F43" s="9"/>
      <c r="H43" s="29" t="s">
        <v>27</v>
      </c>
      <c r="I43" s="30"/>
      <c r="J43" s="31"/>
      <c r="K43" s="38"/>
      <c r="L43" s="9"/>
    </row>
    <row r="44" spans="2:12" ht="14.7" customHeight="1" thickBot="1" x14ac:dyDescent="0.55000000000000004">
      <c r="B44" s="24" t="s">
        <v>23</v>
      </c>
      <c r="C44" s="18" t="s">
        <v>24</v>
      </c>
      <c r="D44" s="19" t="s">
        <v>25</v>
      </c>
      <c r="F44" s="9"/>
      <c r="H44" s="17" t="s">
        <v>23</v>
      </c>
      <c r="I44" s="18" t="s">
        <v>24</v>
      </c>
      <c r="J44" s="19" t="s">
        <v>25</v>
      </c>
      <c r="K44" s="38"/>
      <c r="L44" s="9"/>
    </row>
    <row r="45" spans="2:12" ht="14.7" customHeight="1" thickBot="1" x14ac:dyDescent="0.55000000000000004">
      <c r="B45" s="24" t="s">
        <v>18</v>
      </c>
      <c r="C45" s="12">
        <v>302</v>
      </c>
      <c r="D45" s="13">
        <v>5309.16</v>
      </c>
      <c r="F45" s="9"/>
      <c r="H45" s="24" t="s">
        <v>18</v>
      </c>
      <c r="I45" s="12">
        <v>302</v>
      </c>
      <c r="J45" s="13">
        <v>5309.16</v>
      </c>
      <c r="K45" s="38"/>
      <c r="L45" s="9"/>
    </row>
    <row r="46" spans="2:12" ht="14.7" customHeight="1" thickBot="1" x14ac:dyDescent="0.55000000000000004">
      <c r="B46" s="8"/>
      <c r="F46" s="9"/>
      <c r="H46" s="8"/>
      <c r="I46" s="38"/>
      <c r="J46" s="38"/>
      <c r="K46" s="38"/>
      <c r="L46" s="9"/>
    </row>
    <row r="47" spans="2:12" ht="14.7" customHeight="1" thickBot="1" x14ac:dyDescent="0.55000000000000004">
      <c r="B47" s="29" t="s">
        <v>28</v>
      </c>
      <c r="C47" s="31"/>
      <c r="F47" s="9"/>
      <c r="H47" s="29" t="s">
        <v>28</v>
      </c>
      <c r="I47" s="31"/>
      <c r="J47" s="38"/>
      <c r="K47" s="38"/>
      <c r="L47" s="9"/>
    </row>
    <row r="48" spans="2:12" ht="14.7" customHeight="1" thickBot="1" x14ac:dyDescent="0.55000000000000004">
      <c r="B48" s="11" t="s">
        <v>29</v>
      </c>
      <c r="C48" s="13">
        <v>18290</v>
      </c>
      <c r="F48" s="9"/>
      <c r="H48" s="24" t="s">
        <v>29</v>
      </c>
      <c r="I48" s="13">
        <v>15520</v>
      </c>
      <c r="J48" s="38"/>
      <c r="K48" s="38"/>
      <c r="L48" s="9"/>
    </row>
    <row r="49" spans="2:12" ht="14.7" customHeight="1" thickBot="1" x14ac:dyDescent="0.55000000000000004">
      <c r="B49" s="8"/>
      <c r="F49" s="9"/>
      <c r="H49" s="8"/>
      <c r="I49" s="38"/>
      <c r="J49" s="38"/>
      <c r="K49" s="38"/>
      <c r="L49" s="9"/>
    </row>
    <row r="50" spans="2:12" ht="14.7" customHeight="1" thickBot="1" x14ac:dyDescent="0.55000000000000004">
      <c r="B50" s="29" t="s">
        <v>30</v>
      </c>
      <c r="C50" s="30"/>
      <c r="D50" s="31"/>
      <c r="F50" s="9"/>
      <c r="H50" s="35" t="s">
        <v>30</v>
      </c>
      <c r="I50" s="36"/>
      <c r="J50" s="37"/>
      <c r="K50" s="38"/>
      <c r="L50" s="9"/>
    </row>
    <row r="51" spans="2:12" ht="14.7" customHeight="1" thickBot="1" x14ac:dyDescent="0.55000000000000004">
      <c r="B51" s="11" t="s">
        <v>31</v>
      </c>
      <c r="C51" s="12" t="s">
        <v>32</v>
      </c>
      <c r="D51" s="13" t="s">
        <v>33</v>
      </c>
      <c r="F51" s="9"/>
      <c r="H51" s="24" t="s">
        <v>31</v>
      </c>
      <c r="I51" s="18" t="s">
        <v>61</v>
      </c>
      <c r="J51" s="21" t="s">
        <v>33</v>
      </c>
      <c r="K51" s="38"/>
      <c r="L51" s="9"/>
    </row>
    <row r="52" spans="2:12" ht="14.7" customHeight="1" x14ac:dyDescent="0.5">
      <c r="B52" s="23" t="s">
        <v>34</v>
      </c>
      <c r="C52" s="26">
        <v>5050059.7211559201</v>
      </c>
      <c r="D52" s="27">
        <f>C52*25</f>
        <v>126251493.028898</v>
      </c>
      <c r="F52" s="9"/>
      <c r="H52" s="3" t="s">
        <v>34</v>
      </c>
      <c r="I52" s="40">
        <v>4317492.1616603704</v>
      </c>
      <c r="J52" s="27">
        <f>I52*25</f>
        <v>107937304.04150926</v>
      </c>
      <c r="K52" s="38"/>
      <c r="L52" s="9"/>
    </row>
    <row r="53" spans="2:12" ht="14.7" customHeight="1" thickBot="1" x14ac:dyDescent="0.55000000000000004">
      <c r="B53" s="16" t="s">
        <v>35</v>
      </c>
      <c r="C53" s="25">
        <v>995354.08035960491</v>
      </c>
      <c r="D53" s="28">
        <f>C53*25</f>
        <v>24883852.008990124</v>
      </c>
      <c r="F53" s="9"/>
      <c r="H53" s="16" t="s">
        <v>35</v>
      </c>
      <c r="I53" s="25">
        <v>867422.84027600894</v>
      </c>
      <c r="J53" s="28">
        <f>I53*25</f>
        <v>21685571.006900225</v>
      </c>
      <c r="K53" s="38"/>
      <c r="L53" s="9"/>
    </row>
    <row r="54" spans="2:12" ht="14.7" customHeight="1" thickBot="1" x14ac:dyDescent="0.55000000000000004">
      <c r="B54" s="8"/>
      <c r="F54" s="9"/>
      <c r="H54" s="8"/>
      <c r="I54" s="39"/>
      <c r="J54" s="10"/>
      <c r="K54" s="38"/>
      <c r="L54" s="9"/>
    </row>
    <row r="55" spans="2:12" ht="14.7" customHeight="1" thickBot="1" x14ac:dyDescent="0.55000000000000004">
      <c r="B55" s="29" t="s">
        <v>36</v>
      </c>
      <c r="C55" s="30"/>
      <c r="D55" s="31"/>
      <c r="F55" s="9"/>
      <c r="H55" s="35" t="s">
        <v>36</v>
      </c>
      <c r="I55" s="36"/>
      <c r="J55" s="37"/>
      <c r="K55" s="38"/>
      <c r="L55" s="9"/>
    </row>
    <row r="56" spans="2:12" ht="14.7" customHeight="1" thickBot="1" x14ac:dyDescent="0.55000000000000004">
      <c r="B56" s="11" t="s">
        <v>31</v>
      </c>
      <c r="C56" s="12" t="s">
        <v>32</v>
      </c>
      <c r="D56" s="13" t="s">
        <v>33</v>
      </c>
      <c r="F56" s="9"/>
      <c r="H56" s="24" t="s">
        <v>31</v>
      </c>
      <c r="I56" s="20">
        <v>1172652.1920559001</v>
      </c>
      <c r="J56" s="21" t="s">
        <v>33</v>
      </c>
      <c r="K56" s="38"/>
      <c r="L56" s="9"/>
    </row>
    <row r="57" spans="2:12" ht="14.7" customHeight="1" thickBot="1" x14ac:dyDescent="0.55000000000000004">
      <c r="B57" s="23" t="s">
        <v>34</v>
      </c>
      <c r="C57">
        <v>1371621.15883247</v>
      </c>
      <c r="D57" s="9">
        <f>C57*25</f>
        <v>34290528.970811747</v>
      </c>
      <c r="F57" s="9"/>
      <c r="H57" s="16" t="s">
        <v>34</v>
      </c>
      <c r="I57" s="14">
        <v>337288.93617647898</v>
      </c>
      <c r="J57" s="15">
        <f>I57*25</f>
        <v>8432223.4044119753</v>
      </c>
      <c r="K57" s="38"/>
      <c r="L57" s="9"/>
    </row>
    <row r="58" spans="2:12" ht="14.7" customHeight="1" thickBot="1" x14ac:dyDescent="0.55000000000000004">
      <c r="B58" s="16" t="s">
        <v>35</v>
      </c>
      <c r="C58" s="12">
        <v>391161.97244335001</v>
      </c>
      <c r="D58" s="13">
        <f>C58*25</f>
        <v>9779049.3110837508</v>
      </c>
      <c r="F58" s="9"/>
      <c r="H58" s="8" t="s">
        <v>35</v>
      </c>
      <c r="I58" s="12">
        <v>867422.84027600894</v>
      </c>
      <c r="J58" s="38">
        <f>I58*25</f>
        <v>21685571.006900225</v>
      </c>
      <c r="K58" s="38"/>
      <c r="L58" s="9"/>
    </row>
    <row r="59" spans="2:12" ht="14.7" customHeight="1" thickBot="1" x14ac:dyDescent="0.55000000000000004">
      <c r="B59" s="8"/>
      <c r="F59" s="9"/>
      <c r="H59" s="8"/>
      <c r="I59" s="38"/>
      <c r="J59" s="38"/>
      <c r="K59" s="38"/>
      <c r="L59" s="9"/>
    </row>
    <row r="60" spans="2:12" ht="14.7" customHeight="1" thickBot="1" x14ac:dyDescent="0.55000000000000004">
      <c r="B60" s="29" t="s">
        <v>37</v>
      </c>
      <c r="C60" s="31"/>
      <c r="F60" s="9"/>
      <c r="H60" s="29" t="s">
        <v>38</v>
      </c>
      <c r="I60" s="31"/>
      <c r="J60" s="38"/>
      <c r="K60" s="38"/>
      <c r="L60" s="9"/>
    </row>
    <row r="61" spans="2:12" ht="14.7" customHeight="1" thickBot="1" x14ac:dyDescent="0.55000000000000004">
      <c r="B61" s="24" t="s">
        <v>39</v>
      </c>
      <c r="C61" s="13">
        <v>165870.00000000099</v>
      </c>
      <c r="F61" s="9"/>
      <c r="H61" s="24" t="s">
        <v>39</v>
      </c>
      <c r="I61" s="13">
        <v>139611.887190215</v>
      </c>
      <c r="J61" s="38"/>
      <c r="K61" s="38"/>
      <c r="L61" s="9"/>
    </row>
    <row r="62" spans="2:12" ht="14.7" customHeight="1" thickBot="1" x14ac:dyDescent="0.55000000000000004">
      <c r="B62" s="8"/>
      <c r="F62" s="9"/>
      <c r="H62" s="8"/>
      <c r="I62" s="38"/>
      <c r="J62" s="38"/>
      <c r="K62" s="38"/>
      <c r="L62" s="9"/>
    </row>
    <row r="63" spans="2:12" ht="14.7" customHeight="1" thickBot="1" x14ac:dyDescent="0.55000000000000004">
      <c r="B63" s="29" t="s">
        <v>40</v>
      </c>
      <c r="C63" s="31"/>
      <c r="F63" s="9"/>
      <c r="H63" s="29" t="s">
        <v>40</v>
      </c>
      <c r="I63" s="31"/>
      <c r="J63" s="38"/>
      <c r="K63" s="38"/>
      <c r="L63" s="9"/>
    </row>
    <row r="64" spans="2:12" ht="14.7" customHeight="1" thickBot="1" x14ac:dyDescent="0.55000000000000004">
      <c r="B64" s="29">
        <f>E23/B70</f>
        <v>0.96322124415384847</v>
      </c>
      <c r="C64" s="31"/>
      <c r="F64" s="9"/>
      <c r="H64" s="29">
        <f>K23/B70</f>
        <v>0.6076820045048742</v>
      </c>
      <c r="I64" s="31"/>
      <c r="J64" s="38"/>
      <c r="K64" s="38"/>
      <c r="L64" s="9"/>
    </row>
    <row r="65" spans="2:12" x14ac:dyDescent="0.5">
      <c r="B65" s="8"/>
      <c r="F65" s="9"/>
      <c r="H65" s="8"/>
      <c r="I65" s="38"/>
      <c r="J65" s="38"/>
      <c r="K65" s="38"/>
      <c r="L65" s="9"/>
    </row>
    <row r="66" spans="2:12" ht="14.7" customHeight="1" thickBot="1" x14ac:dyDescent="0.55000000000000004">
      <c r="B66" s="11"/>
      <c r="C66" s="12"/>
      <c r="D66" s="12"/>
      <c r="E66" s="12"/>
      <c r="F66" s="13"/>
      <c r="G66" s="12"/>
      <c r="H66" s="11"/>
      <c r="I66" s="12"/>
      <c r="J66" s="12"/>
      <c r="K66" s="12"/>
      <c r="L66" s="13"/>
    </row>
    <row r="67" spans="2:12" ht="14.7" customHeight="1" thickBot="1" x14ac:dyDescent="0.55000000000000004">
      <c r="B67" s="11"/>
      <c r="C67" s="12"/>
      <c r="L67" s="9"/>
    </row>
    <row r="68" spans="2:12" ht="14.7" customHeight="1" thickBot="1" x14ac:dyDescent="0.55000000000000004">
      <c r="B68" s="32" t="s">
        <v>41</v>
      </c>
      <c r="C68" s="33"/>
      <c r="L68" s="9"/>
    </row>
    <row r="69" spans="2:12" ht="14.7" customHeight="1" thickBot="1" x14ac:dyDescent="0.55000000000000004">
      <c r="B69" s="17" t="s">
        <v>42</v>
      </c>
      <c r="C69" s="19" t="s">
        <v>43</v>
      </c>
      <c r="L69" s="9"/>
    </row>
    <row r="70" spans="2:12" ht="14.7" customHeight="1" thickBot="1" x14ac:dyDescent="0.55000000000000004">
      <c r="B70" s="11">
        <f>C108</f>
        <v>6685926.5118653048</v>
      </c>
      <c r="C70" s="13">
        <f>D108</f>
        <v>167148162.79663262</v>
      </c>
      <c r="D70" s="12"/>
      <c r="E70" s="12"/>
      <c r="F70" s="12"/>
      <c r="G70" s="12"/>
      <c r="H70" s="12"/>
      <c r="I70" s="12"/>
      <c r="J70" s="12"/>
      <c r="K70" s="12"/>
      <c r="L70" s="13"/>
    </row>
    <row r="71" spans="2:12" ht="14.7" customHeight="1" thickBot="1" x14ac:dyDescent="0.55000000000000004"/>
    <row r="72" spans="2:12" ht="14.7" customHeight="1" thickBot="1" x14ac:dyDescent="0.55000000000000004">
      <c r="B72" s="29" t="s">
        <v>44</v>
      </c>
      <c r="C72" s="30"/>
      <c r="D72" s="30"/>
      <c r="E72" s="30"/>
      <c r="F72" s="31"/>
    </row>
    <row r="73" spans="2:12" ht="14.7" customHeight="1" thickBot="1" x14ac:dyDescent="0.55000000000000004">
      <c r="B73" s="29" t="s">
        <v>45</v>
      </c>
      <c r="C73" s="30"/>
      <c r="D73" s="30"/>
      <c r="E73" s="30"/>
      <c r="F73" s="31"/>
    </row>
    <row r="74" spans="2:12" ht="14.7" customHeight="1" thickBot="1" x14ac:dyDescent="0.55000000000000004">
      <c r="B74" s="24" t="s">
        <v>46</v>
      </c>
      <c r="C74" s="18" t="s">
        <v>4</v>
      </c>
      <c r="D74" s="18" t="s">
        <v>5</v>
      </c>
      <c r="E74" s="18" t="s">
        <v>6</v>
      </c>
      <c r="F74" s="19" t="s">
        <v>7</v>
      </c>
    </row>
    <row r="75" spans="2:12" x14ac:dyDescent="0.5">
      <c r="B75" s="23" t="s">
        <v>9</v>
      </c>
      <c r="C75">
        <v>38314.326941583982</v>
      </c>
      <c r="D75">
        <v>89400</v>
      </c>
      <c r="E75">
        <f>C75+D75</f>
        <v>127714.32694158397</v>
      </c>
      <c r="F75" s="9">
        <f>E75*25</f>
        <v>3192858.1735395994</v>
      </c>
    </row>
    <row r="76" spans="2:12" x14ac:dyDescent="0.5">
      <c r="B76" s="3" t="s">
        <v>10</v>
      </c>
      <c r="C76">
        <v>0</v>
      </c>
      <c r="D76">
        <v>0</v>
      </c>
      <c r="E76">
        <f>C76+D76</f>
        <v>0</v>
      </c>
      <c r="F76" s="9">
        <f>E76*25</f>
        <v>0</v>
      </c>
    </row>
    <row r="77" spans="2:12" x14ac:dyDescent="0.5">
      <c r="B77" s="3" t="s">
        <v>14</v>
      </c>
      <c r="C77">
        <v>0</v>
      </c>
      <c r="D77">
        <v>0</v>
      </c>
      <c r="E77">
        <f>C77+D77</f>
        <v>0</v>
      </c>
      <c r="F77" s="9">
        <f>E77*25</f>
        <v>0</v>
      </c>
    </row>
    <row r="78" spans="2:12" x14ac:dyDescent="0.5">
      <c r="B78" s="3" t="s">
        <v>47</v>
      </c>
      <c r="C78">
        <v>0</v>
      </c>
      <c r="D78">
        <v>0</v>
      </c>
      <c r="E78">
        <f>C78+D78</f>
        <v>0</v>
      </c>
      <c r="F78" s="9">
        <f>E78*25</f>
        <v>0</v>
      </c>
    </row>
    <row r="79" spans="2:12" ht="14.7" customHeight="1" thickBot="1" x14ac:dyDescent="0.55000000000000004">
      <c r="B79" s="16" t="s">
        <v>48</v>
      </c>
      <c r="C79" s="12"/>
      <c r="D79" s="12"/>
      <c r="E79">
        <f>C79+D79</f>
        <v>0</v>
      </c>
      <c r="F79" s="9">
        <f>E79*25</f>
        <v>0</v>
      </c>
    </row>
    <row r="80" spans="2:12" ht="14.7" customHeight="1" thickBot="1" x14ac:dyDescent="0.55000000000000004">
      <c r="B80" s="17" t="s">
        <v>49</v>
      </c>
      <c r="C80" s="18" t="s">
        <v>4</v>
      </c>
      <c r="D80" s="18" t="s">
        <v>5</v>
      </c>
      <c r="E80" s="18" t="s">
        <v>6</v>
      </c>
      <c r="F80" s="19" t="s">
        <v>7</v>
      </c>
    </row>
    <row r="81" spans="2:6" x14ac:dyDescent="0.5">
      <c r="B81" s="23" t="s">
        <v>18</v>
      </c>
      <c r="C81">
        <v>68163.317473492891</v>
      </c>
      <c r="D81">
        <v>84946.559999999998</v>
      </c>
      <c r="E81">
        <f>C81+D81</f>
        <v>153109.87747349287</v>
      </c>
      <c r="F81" s="9">
        <f>E81*25</f>
        <v>3827746.9368373221</v>
      </c>
    </row>
    <row r="82" spans="2:6" ht="14.7" customHeight="1" thickBot="1" x14ac:dyDescent="0.55000000000000004">
      <c r="B82" s="16" t="s">
        <v>50</v>
      </c>
      <c r="C82" s="12"/>
      <c r="D82" s="12"/>
      <c r="E82">
        <f>C82+D82</f>
        <v>0</v>
      </c>
      <c r="F82" s="9">
        <f>E82*25</f>
        <v>0</v>
      </c>
    </row>
    <row r="83" spans="2:6" ht="14.7" customHeight="1" thickBot="1" x14ac:dyDescent="0.55000000000000004">
      <c r="B83" s="17"/>
      <c r="C83" s="18" t="s">
        <v>4</v>
      </c>
      <c r="D83" s="18" t="s">
        <v>5</v>
      </c>
      <c r="E83" s="18" t="s">
        <v>6</v>
      </c>
      <c r="F83" s="19" t="s">
        <v>7</v>
      </c>
    </row>
    <row r="84" spans="2:6" ht="14.7" customHeight="1" thickBot="1" x14ac:dyDescent="0.55000000000000004">
      <c r="B84" s="24" t="s">
        <v>22</v>
      </c>
      <c r="C84" s="12">
        <v>106477.64441507689</v>
      </c>
      <c r="D84" s="12">
        <v>5522318.8302729381</v>
      </c>
      <c r="E84" s="12">
        <v>5628796.4746880149</v>
      </c>
      <c r="F84" s="13">
        <f>E84*25</f>
        <v>140719911.86720037</v>
      </c>
    </row>
    <row r="85" spans="2:6" ht="14.7" customHeight="1" thickBot="1" x14ac:dyDescent="0.55000000000000004">
      <c r="B85" s="8"/>
      <c r="F85" s="9"/>
    </row>
    <row r="86" spans="2:6" ht="14.7" customHeight="1" thickBot="1" x14ac:dyDescent="0.55000000000000004">
      <c r="B86" s="29" t="s">
        <v>46</v>
      </c>
      <c r="C86" s="30"/>
      <c r="D86" s="31"/>
      <c r="F86" s="9"/>
    </row>
    <row r="87" spans="2:6" ht="14.7" customHeight="1" thickBot="1" x14ac:dyDescent="0.55000000000000004">
      <c r="B87" s="24" t="s">
        <v>23</v>
      </c>
      <c r="C87" s="18" t="s">
        <v>24</v>
      </c>
      <c r="D87" s="19" t="s">
        <v>25</v>
      </c>
      <c r="F87" s="9"/>
    </row>
    <row r="88" spans="2:6" x14ac:dyDescent="0.5">
      <c r="B88" s="23" t="s">
        <v>9</v>
      </c>
      <c r="C88">
        <v>6</v>
      </c>
      <c r="D88" s="9">
        <v>600</v>
      </c>
      <c r="F88" s="9"/>
    </row>
    <row r="89" spans="2:6" x14ac:dyDescent="0.5">
      <c r="B89" s="3" t="s">
        <v>10</v>
      </c>
      <c r="C89">
        <v>0</v>
      </c>
      <c r="D89" s="9">
        <v>0</v>
      </c>
      <c r="F89" s="9"/>
    </row>
    <row r="90" spans="2:6" x14ac:dyDescent="0.5">
      <c r="B90" s="3" t="s">
        <v>14</v>
      </c>
      <c r="C90">
        <v>0</v>
      </c>
      <c r="D90" s="9">
        <v>0</v>
      </c>
      <c r="F90" s="9"/>
    </row>
    <row r="91" spans="2:6" x14ac:dyDescent="0.5">
      <c r="B91" s="3" t="s">
        <v>47</v>
      </c>
      <c r="C91">
        <v>0</v>
      </c>
      <c r="D91" s="9">
        <v>0</v>
      </c>
      <c r="F91" s="9"/>
    </row>
    <row r="92" spans="2:6" ht="14.7" customHeight="1" thickBot="1" x14ac:dyDescent="0.55000000000000004">
      <c r="B92" s="16" t="s">
        <v>26</v>
      </c>
      <c r="C92" s="12">
        <v>6</v>
      </c>
      <c r="D92" s="13">
        <v>600</v>
      </c>
      <c r="F92" s="9"/>
    </row>
    <row r="93" spans="2:6" ht="14.7" customHeight="1" thickBot="1" x14ac:dyDescent="0.55000000000000004">
      <c r="B93" s="8"/>
      <c r="F93" s="9"/>
    </row>
    <row r="94" spans="2:6" ht="14.7" customHeight="1" thickBot="1" x14ac:dyDescent="0.55000000000000004">
      <c r="B94" s="29" t="s">
        <v>51</v>
      </c>
      <c r="C94" s="30"/>
      <c r="D94" s="31"/>
      <c r="F94" s="9"/>
    </row>
    <row r="95" spans="2:6" ht="14.7" customHeight="1" thickBot="1" x14ac:dyDescent="0.55000000000000004">
      <c r="B95" s="17" t="s">
        <v>23</v>
      </c>
      <c r="C95" s="18" t="s">
        <v>24</v>
      </c>
      <c r="D95" s="19" t="s">
        <v>25</v>
      </c>
      <c r="F95" s="9"/>
    </row>
    <row r="96" spans="2:6" ht="14.7" customHeight="1" thickBot="1" x14ac:dyDescent="0.55000000000000004">
      <c r="B96" s="24" t="s">
        <v>18</v>
      </c>
      <c r="C96" s="12">
        <v>302</v>
      </c>
      <c r="D96" s="13">
        <v>5309.16</v>
      </c>
      <c r="F96" s="9"/>
    </row>
    <row r="97" spans="2:6" ht="14.7" customHeight="1" thickBot="1" x14ac:dyDescent="0.55000000000000004">
      <c r="B97" s="8"/>
      <c r="F97" s="9"/>
    </row>
    <row r="98" spans="2:6" ht="14.7" customHeight="1" thickBot="1" x14ac:dyDescent="0.55000000000000004">
      <c r="B98" s="29" t="s">
        <v>52</v>
      </c>
      <c r="C98" s="30"/>
      <c r="D98" s="31"/>
      <c r="F98" s="9"/>
    </row>
    <row r="99" spans="2:6" ht="14.7" customHeight="1" thickBot="1" x14ac:dyDescent="0.55000000000000004">
      <c r="B99" s="17" t="s">
        <v>53</v>
      </c>
      <c r="C99" s="18" t="s">
        <v>54</v>
      </c>
      <c r="D99" s="19" t="s">
        <v>55</v>
      </c>
      <c r="F99" s="9"/>
    </row>
    <row r="100" spans="2:6" x14ac:dyDescent="0.5">
      <c r="B100" s="23" t="s">
        <v>56</v>
      </c>
      <c r="C100">
        <v>922105.2631578953</v>
      </c>
      <c r="D100" s="9">
        <f>C100*25</f>
        <v>23052631.578947384</v>
      </c>
      <c r="F100" s="9"/>
    </row>
    <row r="101" spans="2:6" x14ac:dyDescent="0.5">
      <c r="B101" s="3" t="s">
        <v>57</v>
      </c>
      <c r="C101">
        <v>1641025.4678619651</v>
      </c>
      <c r="D101" s="9">
        <f>C101*25</f>
        <v>41025636.696549125</v>
      </c>
      <c r="F101" s="9"/>
    </row>
    <row r="102" spans="2:6" ht="14.7" customHeight="1" thickBot="1" x14ac:dyDescent="0.55000000000000004">
      <c r="B102" s="16" t="s">
        <v>26</v>
      </c>
      <c r="C102" s="12">
        <f>C100+C101</f>
        <v>2563130.7310198601</v>
      </c>
      <c r="D102" s="13">
        <f>C102*25</f>
        <v>64078268.275496505</v>
      </c>
      <c r="F102" s="9"/>
    </row>
    <row r="103" spans="2:6" ht="14.7" customHeight="1" thickBot="1" x14ac:dyDescent="0.55000000000000004">
      <c r="B103" s="8"/>
      <c r="F103" s="9"/>
    </row>
    <row r="104" spans="2:6" ht="14.7" customHeight="1" thickBot="1" x14ac:dyDescent="0.55000000000000004">
      <c r="B104" s="29" t="s">
        <v>58</v>
      </c>
      <c r="C104" s="30"/>
      <c r="D104" s="31"/>
      <c r="F104" s="9"/>
    </row>
    <row r="105" spans="2:6" ht="14.7" customHeight="1" thickBot="1" x14ac:dyDescent="0.55000000000000004">
      <c r="B105" s="17" t="s">
        <v>53</v>
      </c>
      <c r="C105" s="18" t="s">
        <v>59</v>
      </c>
      <c r="D105" s="22" t="s">
        <v>60</v>
      </c>
      <c r="F105" s="9"/>
    </row>
    <row r="106" spans="2:6" x14ac:dyDescent="0.5">
      <c r="B106" s="23" t="s">
        <v>56</v>
      </c>
      <c r="C106">
        <f>2.6085*C100</f>
        <v>2405311.5789473699</v>
      </c>
      <c r="D106" s="9">
        <f>C106*25</f>
        <v>60132789.473684251</v>
      </c>
      <c r="F106" s="9"/>
    </row>
    <row r="107" spans="2:6" x14ac:dyDescent="0.5">
      <c r="B107" s="3" t="s">
        <v>57</v>
      </c>
      <c r="C107">
        <f>2.6085*C101</f>
        <v>4280614.9329179358</v>
      </c>
      <c r="D107" s="9">
        <f>C107*25</f>
        <v>107015373.3229484</v>
      </c>
      <c r="F107" s="9"/>
    </row>
    <row r="108" spans="2:6" ht="14.7" customHeight="1" thickBot="1" x14ac:dyDescent="0.55000000000000004">
      <c r="B108" s="16" t="s">
        <v>26</v>
      </c>
      <c r="C108" s="12">
        <f>2.6085*C102</f>
        <v>6685926.5118653048</v>
      </c>
      <c r="D108" s="13">
        <f>C108*25</f>
        <v>167148162.79663262</v>
      </c>
      <c r="E108" s="12"/>
      <c r="F108" s="13"/>
    </row>
  </sheetData>
  <mergeCells count="30">
    <mergeCell ref="H64:I64"/>
    <mergeCell ref="H50:J50"/>
    <mergeCell ref="H55:J55"/>
    <mergeCell ref="B86:D86"/>
    <mergeCell ref="B104:D104"/>
    <mergeCell ref="B73:F73"/>
    <mergeCell ref="B36:D36"/>
    <mergeCell ref="B94:D94"/>
    <mergeCell ref="B50:D50"/>
    <mergeCell ref="B68:C68"/>
    <mergeCell ref="B64:C64"/>
    <mergeCell ref="B47:C47"/>
    <mergeCell ref="B98:D98"/>
    <mergeCell ref="B72:F72"/>
    <mergeCell ref="H33:I33"/>
    <mergeCell ref="B5:L5"/>
    <mergeCell ref="B63:C63"/>
    <mergeCell ref="B43:D43"/>
    <mergeCell ref="H25:J25"/>
    <mergeCell ref="H6:L6"/>
    <mergeCell ref="H60:I60"/>
    <mergeCell ref="B60:C60"/>
    <mergeCell ref="B55:D55"/>
    <mergeCell ref="H47:I47"/>
    <mergeCell ref="B25:D25"/>
    <mergeCell ref="H43:J43"/>
    <mergeCell ref="B6:F6"/>
    <mergeCell ref="B33:C33"/>
    <mergeCell ref="H36:J36"/>
    <mergeCell ref="H63:I63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B4:N108"/>
  <sheetViews>
    <sheetView tabSelected="1" topLeftCell="A15" zoomScale="70" zoomScaleNormal="70" workbookViewId="0">
      <selection activeCell="M29" sqref="M29"/>
    </sheetView>
  </sheetViews>
  <sheetFormatPr defaultColWidth="39.234375" defaultRowHeight="14.35" x14ac:dyDescent="0.5"/>
  <cols>
    <col min="1" max="1" width="13.52734375" customWidth="1"/>
    <col min="2" max="2" width="15.234375" bestFit="1" customWidth="1"/>
    <col min="3" max="3" width="17.64453125" bestFit="1" customWidth="1"/>
    <col min="4" max="4" width="18.64453125" bestFit="1" customWidth="1"/>
    <col min="5" max="5" width="12.46875" bestFit="1" customWidth="1"/>
    <col min="6" max="6" width="14.5859375" bestFit="1" customWidth="1"/>
    <col min="7" max="7" width="12.46875" customWidth="1"/>
    <col min="8" max="8" width="15.234375" bestFit="1" customWidth="1"/>
    <col min="9" max="9" width="15.703125" bestFit="1" customWidth="1"/>
    <col min="10" max="10" width="18" bestFit="1" customWidth="1"/>
    <col min="11" max="11" width="12.46875" bestFit="1" customWidth="1"/>
    <col min="12" max="12" width="14.5859375" bestFit="1" customWidth="1"/>
    <col min="13" max="14" width="13.41015625" bestFit="1" customWidth="1"/>
    <col min="15" max="15" width="11.76171875" bestFit="1" customWidth="1"/>
  </cols>
  <sheetData>
    <row r="4" spans="2:14" ht="14.7" customHeight="1" thickBot="1" x14ac:dyDescent="0.55000000000000004"/>
    <row r="5" spans="2:14" ht="14.7" customHeight="1" thickBot="1" x14ac:dyDescent="0.55000000000000004">
      <c r="B5" s="29" t="s">
        <v>0</v>
      </c>
      <c r="C5" s="30"/>
      <c r="D5" s="30"/>
      <c r="E5" s="30"/>
      <c r="F5" s="30"/>
      <c r="G5" s="30"/>
      <c r="H5" s="30"/>
      <c r="I5" s="30"/>
      <c r="J5" s="30"/>
      <c r="K5" s="30"/>
      <c r="L5" s="31"/>
    </row>
    <row r="6" spans="2:14" ht="14.7" customHeight="1" thickBot="1" x14ac:dyDescent="0.55000000000000004">
      <c r="B6" s="29" t="s">
        <v>1</v>
      </c>
      <c r="C6" s="30"/>
      <c r="D6" s="30"/>
      <c r="E6" s="30"/>
      <c r="F6" s="31"/>
      <c r="H6" s="29" t="s">
        <v>2</v>
      </c>
      <c r="I6" s="30"/>
      <c r="J6" s="30"/>
      <c r="K6" s="30"/>
      <c r="L6" s="31"/>
    </row>
    <row r="7" spans="2:14" ht="14.7" customHeight="1" thickBot="1" x14ac:dyDescent="0.55000000000000004">
      <c r="B7" s="24" t="s">
        <v>3</v>
      </c>
      <c r="C7" s="18" t="s">
        <v>4</v>
      </c>
      <c r="D7" s="18" t="s">
        <v>5</v>
      </c>
      <c r="E7" s="18" t="s">
        <v>6</v>
      </c>
      <c r="F7" s="19" t="s">
        <v>7</v>
      </c>
      <c r="H7" s="24" t="s">
        <v>3</v>
      </c>
      <c r="I7" s="18" t="s">
        <v>4</v>
      </c>
      <c r="J7" s="18" t="s">
        <v>5</v>
      </c>
      <c r="K7" s="18" t="s">
        <v>6</v>
      </c>
      <c r="L7" s="19" t="s">
        <v>7</v>
      </c>
    </row>
    <row r="8" spans="2:14" x14ac:dyDescent="0.5">
      <c r="B8" s="3" t="s">
        <v>8</v>
      </c>
      <c r="C8" s="6">
        <f>13698 * D27*((0.05*((1.05)^25))/((1.05^25)-1))</f>
        <v>0</v>
      </c>
      <c r="D8" s="6">
        <f>29*D27</f>
        <v>0</v>
      </c>
      <c r="E8" s="6">
        <f>C8+D8</f>
        <v>0</v>
      </c>
      <c r="F8" s="10">
        <f>E8*25</f>
        <v>0</v>
      </c>
      <c r="H8" s="3" t="s">
        <v>9</v>
      </c>
      <c r="I8" s="39">
        <f>1615 * J27*((0.05*((1.05)^25))/((1.05^25)-1))</f>
        <v>11458.821853825584</v>
      </c>
      <c r="J8" s="39">
        <f>29*J27</f>
        <v>2900</v>
      </c>
      <c r="K8" s="39">
        <f>I8+J8</f>
        <v>14358.821853825584</v>
      </c>
      <c r="L8" s="10">
        <f>K8*25</f>
        <v>358970.54634563962</v>
      </c>
    </row>
    <row r="9" spans="2:14" x14ac:dyDescent="0.5">
      <c r="B9" s="3" t="s">
        <v>10</v>
      </c>
      <c r="C9" s="6">
        <f>13698 * D28*((0.05*((1.05)^25))/((1.05^25)-1))</f>
        <v>4373580.4203818133</v>
      </c>
      <c r="D9" s="6">
        <f>29*D28</f>
        <v>130500</v>
      </c>
      <c r="E9" s="6">
        <f>C9+D9</f>
        <v>4504080.4203818133</v>
      </c>
      <c r="F9" s="10">
        <f>E9*25</f>
        <v>112602010.50954533</v>
      </c>
      <c r="H9" s="3" t="s">
        <v>10</v>
      </c>
      <c r="I9" s="39">
        <f>1615 * J28*((0.05*((1.05)^25))/((1.05^25)-1))</f>
        <v>515646.9834221513</v>
      </c>
      <c r="J9" s="39">
        <f>29*J28</f>
        <v>130500</v>
      </c>
      <c r="K9" s="39">
        <f>I9+J9</f>
        <v>646146.9834221513</v>
      </c>
      <c r="L9" s="10">
        <f>K9*25</f>
        <v>16153674.585553782</v>
      </c>
      <c r="M9" s="7"/>
      <c r="N9" s="6"/>
    </row>
    <row r="10" spans="2:14" x14ac:dyDescent="0.5">
      <c r="B10" s="3" t="s">
        <v>11</v>
      </c>
      <c r="C10" s="6">
        <f>13698 * D29*((0.05*((1.05)^25))/((1.05^25)-1))</f>
        <v>0</v>
      </c>
      <c r="D10" s="6">
        <f>29*D29</f>
        <v>0</v>
      </c>
      <c r="E10" s="6">
        <f>C10+D10</f>
        <v>0</v>
      </c>
      <c r="F10" s="10">
        <f>E10*25</f>
        <v>0</v>
      </c>
      <c r="H10" s="3" t="s">
        <v>11</v>
      </c>
      <c r="I10" s="39">
        <f>1615 * J29*((0.05*((1.05)^25))/((1.05^25)-1))</f>
        <v>0</v>
      </c>
      <c r="J10" s="39">
        <f>29*J29</f>
        <v>0</v>
      </c>
      <c r="K10" s="39">
        <f>I10+J10</f>
        <v>0</v>
      </c>
      <c r="L10" s="10">
        <f>K10*25</f>
        <v>0</v>
      </c>
      <c r="M10" s="7"/>
    </row>
    <row r="11" spans="2:14" ht="14.7" customHeight="1" thickBot="1" x14ac:dyDescent="0.55000000000000004">
      <c r="B11" s="16" t="s">
        <v>12</v>
      </c>
      <c r="C11" s="14">
        <f>13698 * D30*((0.05*((1.05)^25))/((1.05^25)-1))</f>
        <v>0</v>
      </c>
      <c r="D11" s="14">
        <f>29*D30</f>
        <v>0</v>
      </c>
      <c r="E11" s="14">
        <f>C11+D11</f>
        <v>0</v>
      </c>
      <c r="F11" s="15">
        <f>E11*25</f>
        <v>0</v>
      </c>
      <c r="H11" s="16" t="s">
        <v>12</v>
      </c>
      <c r="I11" s="14">
        <f>1615 * J30*((0.05*((1.05)^25))/((1.05^25)-1))</f>
        <v>0</v>
      </c>
      <c r="J11" s="14">
        <f>29*J30</f>
        <v>0</v>
      </c>
      <c r="K11" s="14">
        <f>I11+J11</f>
        <v>0</v>
      </c>
      <c r="L11" s="13">
        <f>K11*25</f>
        <v>0</v>
      </c>
    </row>
    <row r="12" spans="2:14" ht="14.7" customHeight="1" thickBot="1" x14ac:dyDescent="0.55000000000000004">
      <c r="B12" s="24" t="s">
        <v>13</v>
      </c>
      <c r="C12" s="18" t="s">
        <v>4</v>
      </c>
      <c r="D12" s="18" t="s">
        <v>5</v>
      </c>
      <c r="E12" s="18" t="s">
        <v>6</v>
      </c>
      <c r="F12" s="19" t="s">
        <v>7</v>
      </c>
      <c r="H12" s="24" t="s">
        <v>13</v>
      </c>
      <c r="I12" s="18" t="s">
        <v>4</v>
      </c>
      <c r="J12" s="18" t="s">
        <v>5</v>
      </c>
      <c r="K12" s="18" t="s">
        <v>6</v>
      </c>
      <c r="L12" s="19" t="s">
        <v>7</v>
      </c>
    </row>
    <row r="13" spans="2:14" x14ac:dyDescent="0.5">
      <c r="B13" s="3" t="s">
        <v>14</v>
      </c>
      <c r="C13" s="4">
        <f>2490 * D38*((0.05*((1.05)^10))/((1.05^10)-1))</f>
        <v>1289865.5666559488</v>
      </c>
      <c r="D13" s="1">
        <f>37.35*D38</f>
        <v>149400</v>
      </c>
      <c r="E13">
        <f>C13+D13</f>
        <v>1439265.5666559488</v>
      </c>
      <c r="F13" s="9">
        <f>E13*25</f>
        <v>35981639.166398719</v>
      </c>
      <c r="H13" s="3" t="s">
        <v>14</v>
      </c>
      <c r="I13" s="4">
        <f>2490 * J38*((0.05*((1.05)^10))/((1.05^10)-1))</f>
        <v>1289865.5666559488</v>
      </c>
      <c r="J13" s="1">
        <f>37.35*J38</f>
        <v>149400</v>
      </c>
      <c r="K13" s="39">
        <f>I13+J13</f>
        <v>1439265.5666559488</v>
      </c>
      <c r="L13" s="10">
        <f>K13*25</f>
        <v>35981639.166398719</v>
      </c>
    </row>
    <row r="14" spans="2:14" x14ac:dyDescent="0.5">
      <c r="B14" s="3" t="s">
        <v>15</v>
      </c>
      <c r="C14" s="4">
        <f>1570 * D39*((0.05*((1.05)^10))/((1.05^10)-1))</f>
        <v>0</v>
      </c>
      <c r="D14" s="1">
        <f>23.55*D39</f>
        <v>0</v>
      </c>
      <c r="E14">
        <f>C14+D14</f>
        <v>0</v>
      </c>
      <c r="F14" s="9">
        <f>E14*25</f>
        <v>0</v>
      </c>
      <c r="H14" s="3" t="s">
        <v>15</v>
      </c>
      <c r="I14" s="4">
        <f>1570 * J39*((0.05*((1.05)^10))/((1.05^10)-1))</f>
        <v>0</v>
      </c>
      <c r="J14" s="1">
        <f>23.55*J39</f>
        <v>0</v>
      </c>
      <c r="K14" s="38">
        <f>I14+J14</f>
        <v>0</v>
      </c>
      <c r="L14" s="10">
        <f>K14*25</f>
        <v>0</v>
      </c>
    </row>
    <row r="15" spans="2:14" ht="14.7" customHeight="1" thickBot="1" x14ac:dyDescent="0.55000000000000004">
      <c r="B15" s="16" t="s">
        <v>16</v>
      </c>
      <c r="C15" s="5">
        <f>1190 * D40*((0.05*((1.05)^10))/((1.05^10)-1))</f>
        <v>0</v>
      </c>
      <c r="D15" s="2">
        <f>17.85*D40</f>
        <v>0</v>
      </c>
      <c r="E15" s="12">
        <f>C15+D15</f>
        <v>0</v>
      </c>
      <c r="F15" s="13">
        <f>E15*25</f>
        <v>0</v>
      </c>
      <c r="H15" s="16" t="s">
        <v>16</v>
      </c>
      <c r="I15" s="5">
        <f>1190 * J40*((0.05*((1.05)^10))/((1.05^10)-1))</f>
        <v>0</v>
      </c>
      <c r="J15" s="2">
        <f>17.85*J40</f>
        <v>0</v>
      </c>
      <c r="K15" s="12">
        <f>I15+J15</f>
        <v>0</v>
      </c>
      <c r="L15" s="15">
        <f>K15*25</f>
        <v>0</v>
      </c>
    </row>
    <row r="16" spans="2:14" ht="14.7" customHeight="1" thickBot="1" x14ac:dyDescent="0.55000000000000004">
      <c r="B16" s="24" t="s">
        <v>17</v>
      </c>
      <c r="C16" s="18" t="s">
        <v>4</v>
      </c>
      <c r="D16" s="18" t="s">
        <v>5</v>
      </c>
      <c r="E16" s="18" t="s">
        <v>6</v>
      </c>
      <c r="F16" s="19" t="s">
        <v>7</v>
      </c>
      <c r="H16" s="24" t="s">
        <v>17</v>
      </c>
      <c r="I16" s="18" t="s">
        <v>4</v>
      </c>
      <c r="J16" s="18" t="s">
        <v>5</v>
      </c>
      <c r="K16" s="18" t="s">
        <v>6</v>
      </c>
      <c r="L16" s="19" t="s">
        <v>7</v>
      </c>
    </row>
    <row r="17" spans="2:14" ht="14.7" customHeight="1" thickBot="1" x14ac:dyDescent="0.55000000000000004">
      <c r="B17" s="16" t="s">
        <v>18</v>
      </c>
      <c r="C17" s="12">
        <v>57103.706360244039</v>
      </c>
      <c r="D17" s="12">
        <v>71163.839999999997</v>
      </c>
      <c r="E17" s="12">
        <f>D17+C17</f>
        <v>128267.54636024404</v>
      </c>
      <c r="F17" s="13">
        <f>E17*25</f>
        <v>3206688.6590061011</v>
      </c>
      <c r="H17" s="16" t="s">
        <v>18</v>
      </c>
      <c r="I17" s="12">
        <v>57103.706360244039</v>
      </c>
      <c r="J17" s="12">
        <v>71163.839999999997</v>
      </c>
      <c r="K17" s="12">
        <f>J17+I17</f>
        <v>128267.54636024404</v>
      </c>
      <c r="L17" s="15">
        <f>K17*25</f>
        <v>3206688.6590061011</v>
      </c>
    </row>
    <row r="18" spans="2:14" ht="14.7" customHeight="1" thickBot="1" x14ac:dyDescent="0.55000000000000004">
      <c r="B18" s="24" t="s">
        <v>19</v>
      </c>
      <c r="C18" s="18" t="s">
        <v>4</v>
      </c>
      <c r="D18" s="18" t="s">
        <v>5</v>
      </c>
      <c r="E18" s="18" t="s">
        <v>6</v>
      </c>
      <c r="F18" s="19" t="s">
        <v>7</v>
      </c>
      <c r="H18" s="24" t="s">
        <v>20</v>
      </c>
      <c r="I18" s="18" t="s">
        <v>4</v>
      </c>
      <c r="J18" s="18" t="s">
        <v>5</v>
      </c>
      <c r="K18" s="18" t="s">
        <v>6</v>
      </c>
      <c r="L18" s="19" t="s">
        <v>7</v>
      </c>
    </row>
    <row r="19" spans="2:14" ht="14.7" customHeight="1" thickBot="1" x14ac:dyDescent="0.55000000000000004">
      <c r="B19" s="11"/>
      <c r="C19" s="12">
        <f>C48*300*((0.05*((1.05)^20))/((1.05^20)-1))</f>
        <v>414533.2054271113</v>
      </c>
      <c r="D19" s="12">
        <v>0</v>
      </c>
      <c r="E19" s="12">
        <f>D19+C19</f>
        <v>414533.2054271113</v>
      </c>
      <c r="F19" s="13">
        <f>E19*25</f>
        <v>10363330.135677783</v>
      </c>
      <c r="H19" s="11"/>
      <c r="I19" s="14">
        <f>(I48/10)*3000*((0.05*((1.05)^20))/((1.05^20)-1))</f>
        <v>384923.69075374625</v>
      </c>
      <c r="J19" s="12">
        <v>0</v>
      </c>
      <c r="K19" s="12">
        <f>J19+I19</f>
        <v>384923.69075374625</v>
      </c>
      <c r="L19" s="15">
        <f>K19*25</f>
        <v>9623092.2688436564</v>
      </c>
    </row>
    <row r="20" spans="2:14" ht="14.7" customHeight="1" thickBot="1" x14ac:dyDescent="0.55000000000000004">
      <c r="B20" s="24" t="s">
        <v>21</v>
      </c>
      <c r="C20" s="18" t="s">
        <v>4</v>
      </c>
      <c r="D20" s="18" t="s">
        <v>5</v>
      </c>
      <c r="E20" s="18" t="s">
        <v>6</v>
      </c>
      <c r="F20" s="19" t="s">
        <v>7</v>
      </c>
      <c r="H20" s="24" t="s">
        <v>21</v>
      </c>
      <c r="I20" s="18" t="s">
        <v>4</v>
      </c>
      <c r="J20" s="18" t="s">
        <v>5</v>
      </c>
      <c r="K20" s="18" t="s">
        <v>6</v>
      </c>
      <c r="L20" s="19" t="s">
        <v>7</v>
      </c>
    </row>
    <row r="21" spans="2:14" ht="14.7" customHeight="1" thickBot="1" x14ac:dyDescent="0.55000000000000004">
      <c r="B21" s="11"/>
      <c r="C21" s="12">
        <v>0</v>
      </c>
      <c r="D21" s="12">
        <v>0</v>
      </c>
      <c r="E21" s="12">
        <f>C21+D21</f>
        <v>0</v>
      </c>
      <c r="F21" s="13">
        <f>E21*25</f>
        <v>0</v>
      </c>
      <c r="H21" s="11"/>
      <c r="I21" s="12">
        <v>271.70140022768072</v>
      </c>
      <c r="J21" s="12">
        <v>38</v>
      </c>
      <c r="K21" s="12">
        <f>J21+I21</f>
        <v>309.70140022768072</v>
      </c>
      <c r="L21" s="13">
        <f>K21*25</f>
        <v>7742.5350056920179</v>
      </c>
    </row>
    <row r="22" spans="2:14" ht="14.7" customHeight="1" thickBot="1" x14ac:dyDescent="0.55000000000000004">
      <c r="B22" s="17"/>
      <c r="C22" s="18" t="s">
        <v>4</v>
      </c>
      <c r="D22" s="18" t="s">
        <v>5</v>
      </c>
      <c r="E22" s="18" t="s">
        <v>6</v>
      </c>
      <c r="F22" s="19" t="s">
        <v>7</v>
      </c>
      <c r="H22" s="17"/>
      <c r="I22" s="18" t="s">
        <v>4</v>
      </c>
      <c r="J22" s="18" t="s">
        <v>5</v>
      </c>
      <c r="K22" s="18" t="s">
        <v>6</v>
      </c>
      <c r="L22" s="19" t="s">
        <v>7</v>
      </c>
    </row>
    <row r="23" spans="2:14" ht="14.7" customHeight="1" thickBot="1" x14ac:dyDescent="0.55000000000000004">
      <c r="B23" s="24" t="s">
        <v>22</v>
      </c>
      <c r="C23" s="12">
        <v>6135323.6265866868</v>
      </c>
      <c r="D23" s="12">
        <v>351063.84</v>
      </c>
      <c r="E23" s="25">
        <v>6486387.4665866867</v>
      </c>
      <c r="F23" s="13">
        <f>D23*25</f>
        <v>8776596</v>
      </c>
      <c r="H23" s="24" t="s">
        <v>22</v>
      </c>
      <c r="I23" s="14">
        <v>2259270.4704461428</v>
      </c>
      <c r="J23" s="14">
        <v>354001.84</v>
      </c>
      <c r="K23" s="14">
        <v>4062917.2247025901</v>
      </c>
      <c r="L23" s="15">
        <f>K23*25</f>
        <v>101572930.61756475</v>
      </c>
      <c r="M23" s="6"/>
    </row>
    <row r="24" spans="2:14" ht="14.7" customHeight="1" thickBot="1" x14ac:dyDescent="0.55000000000000004">
      <c r="B24" s="8"/>
      <c r="F24" s="9"/>
      <c r="H24" s="8"/>
      <c r="I24" s="39"/>
      <c r="J24" s="39"/>
      <c r="K24" s="39"/>
      <c r="L24" s="10"/>
      <c r="M24" s="6"/>
      <c r="N24" s="7"/>
    </row>
    <row r="25" spans="2:14" ht="14.7" customHeight="1" thickBot="1" x14ac:dyDescent="0.55000000000000004">
      <c r="B25" s="29" t="s">
        <v>3</v>
      </c>
      <c r="C25" s="30"/>
      <c r="D25" s="31"/>
      <c r="F25" s="9"/>
      <c r="H25" s="29" t="s">
        <v>3</v>
      </c>
      <c r="I25" s="30"/>
      <c r="J25" s="31"/>
      <c r="K25" s="38"/>
      <c r="L25" s="10"/>
      <c r="M25" s="6"/>
    </row>
    <row r="26" spans="2:14" ht="14.7" customHeight="1" thickBot="1" x14ac:dyDescent="0.55000000000000004">
      <c r="B26" s="17" t="s">
        <v>23</v>
      </c>
      <c r="C26" s="18" t="s">
        <v>24</v>
      </c>
      <c r="D26" s="19" t="s">
        <v>25</v>
      </c>
      <c r="F26" s="9"/>
      <c r="H26" s="17" t="s">
        <v>23</v>
      </c>
      <c r="I26" s="18" t="s">
        <v>24</v>
      </c>
      <c r="J26" s="19" t="s">
        <v>25</v>
      </c>
      <c r="K26" s="38"/>
      <c r="L26" s="10"/>
      <c r="M26" s="6"/>
    </row>
    <row r="27" spans="2:14" x14ac:dyDescent="0.5">
      <c r="B27" s="23" t="s">
        <v>9</v>
      </c>
      <c r="C27">
        <v>0</v>
      </c>
      <c r="D27" s="9">
        <v>0</v>
      </c>
      <c r="F27" s="9"/>
      <c r="H27" s="8" t="s">
        <v>9</v>
      </c>
      <c r="I27" s="38">
        <v>1</v>
      </c>
      <c r="J27" s="9">
        <v>100</v>
      </c>
      <c r="K27" s="38"/>
      <c r="L27" s="9"/>
    </row>
    <row r="28" spans="2:14" x14ac:dyDescent="0.5">
      <c r="B28" s="3" t="s">
        <v>10</v>
      </c>
      <c r="C28">
        <v>9</v>
      </c>
      <c r="D28" s="9">
        <v>4500</v>
      </c>
      <c r="F28" s="9"/>
      <c r="H28" s="8" t="s">
        <v>10</v>
      </c>
      <c r="I28" s="38">
        <v>9</v>
      </c>
      <c r="J28" s="9">
        <v>4500</v>
      </c>
      <c r="K28" s="38"/>
      <c r="L28" s="9"/>
    </row>
    <row r="29" spans="2:14" x14ac:dyDescent="0.5">
      <c r="B29" s="3" t="s">
        <v>11</v>
      </c>
      <c r="C29">
        <v>0</v>
      </c>
      <c r="D29" s="9">
        <v>0</v>
      </c>
      <c r="F29" s="9"/>
      <c r="H29" s="8" t="s">
        <v>11</v>
      </c>
      <c r="I29" s="38">
        <v>0</v>
      </c>
      <c r="J29" s="9">
        <v>0</v>
      </c>
      <c r="K29" s="38"/>
      <c r="L29" s="9"/>
    </row>
    <row r="30" spans="2:14" x14ac:dyDescent="0.5">
      <c r="B30" s="3" t="s">
        <v>12</v>
      </c>
      <c r="C30">
        <v>0</v>
      </c>
      <c r="D30" s="9">
        <v>0</v>
      </c>
      <c r="F30" s="9"/>
      <c r="H30" s="8" t="s">
        <v>12</v>
      </c>
      <c r="I30" s="38">
        <v>0</v>
      </c>
      <c r="J30" s="9">
        <v>0</v>
      </c>
      <c r="K30" s="38"/>
      <c r="L30" s="9"/>
    </row>
    <row r="31" spans="2:14" ht="14.7" customHeight="1" thickBot="1" x14ac:dyDescent="0.55000000000000004">
      <c r="B31" s="16" t="s">
        <v>26</v>
      </c>
      <c r="C31" s="12">
        <v>9</v>
      </c>
      <c r="D31" s="13">
        <v>4500</v>
      </c>
      <c r="F31" s="9"/>
      <c r="H31" s="11" t="s">
        <v>26</v>
      </c>
      <c r="I31" s="12">
        <v>10</v>
      </c>
      <c r="J31" s="13">
        <v>4600</v>
      </c>
      <c r="K31" s="38"/>
      <c r="L31" s="9"/>
    </row>
    <row r="32" spans="2:14" ht="14.7" customHeight="1" thickBot="1" x14ac:dyDescent="0.55000000000000004">
      <c r="B32" s="8"/>
      <c r="F32" s="9"/>
      <c r="H32" s="8"/>
      <c r="I32" s="38"/>
      <c r="J32" s="38"/>
      <c r="K32" s="38"/>
      <c r="L32" s="9"/>
    </row>
    <row r="33" spans="2:12" ht="14.7" customHeight="1" thickBot="1" x14ac:dyDescent="0.55000000000000004">
      <c r="B33" s="29" t="s">
        <v>21</v>
      </c>
      <c r="C33" s="31"/>
      <c r="F33" s="9"/>
      <c r="H33" s="29" t="s">
        <v>21</v>
      </c>
      <c r="I33" s="31"/>
      <c r="J33" s="38"/>
      <c r="K33" s="38"/>
      <c r="L33" s="9"/>
    </row>
    <row r="34" spans="2:12" ht="14.7" customHeight="1" thickBot="1" x14ac:dyDescent="0.55000000000000004">
      <c r="B34" s="24" t="s">
        <v>25</v>
      </c>
      <c r="C34" s="13">
        <v>0</v>
      </c>
      <c r="F34" s="9"/>
      <c r="H34" s="24" t="s">
        <v>25</v>
      </c>
      <c r="I34" s="13">
        <v>2</v>
      </c>
      <c r="J34" s="38"/>
      <c r="K34" s="38"/>
      <c r="L34" s="9"/>
    </row>
    <row r="35" spans="2:12" ht="14.7" customHeight="1" thickBot="1" x14ac:dyDescent="0.55000000000000004">
      <c r="B35" s="8"/>
      <c r="F35" s="9"/>
      <c r="H35" s="8"/>
      <c r="I35" s="38"/>
      <c r="J35" s="38"/>
      <c r="K35" s="38"/>
      <c r="L35" s="9"/>
    </row>
    <row r="36" spans="2:12" ht="14.7" customHeight="1" thickBot="1" x14ac:dyDescent="0.55000000000000004">
      <c r="B36" s="29" t="s">
        <v>13</v>
      </c>
      <c r="C36" s="30"/>
      <c r="D36" s="31"/>
      <c r="F36" s="9"/>
      <c r="H36" s="29" t="s">
        <v>13</v>
      </c>
      <c r="I36" s="30"/>
      <c r="J36" s="31"/>
      <c r="K36" s="38"/>
      <c r="L36" s="9"/>
    </row>
    <row r="37" spans="2:12" ht="14.7" customHeight="1" thickBot="1" x14ac:dyDescent="0.55000000000000004">
      <c r="B37" s="24" t="s">
        <v>23</v>
      </c>
      <c r="C37" s="18" t="s">
        <v>24</v>
      </c>
      <c r="D37" s="19" t="s">
        <v>25</v>
      </c>
      <c r="F37" s="9"/>
      <c r="H37" s="17" t="s">
        <v>23</v>
      </c>
      <c r="I37" s="18" t="s">
        <v>24</v>
      </c>
      <c r="J37" s="19" t="s">
        <v>25</v>
      </c>
      <c r="K37" s="38"/>
      <c r="L37" s="9"/>
    </row>
    <row r="38" spans="2:12" x14ac:dyDescent="0.5">
      <c r="B38" s="23" t="s">
        <v>14</v>
      </c>
      <c r="C38">
        <v>4</v>
      </c>
      <c r="D38" s="9">
        <v>4000</v>
      </c>
      <c r="F38" s="9"/>
      <c r="H38" s="23" t="s">
        <v>14</v>
      </c>
      <c r="I38" s="38">
        <v>4</v>
      </c>
      <c r="J38" s="9">
        <v>4000</v>
      </c>
      <c r="K38" s="38"/>
      <c r="L38" s="9"/>
    </row>
    <row r="39" spans="2:12" x14ac:dyDescent="0.5">
      <c r="B39" s="3" t="s">
        <v>15</v>
      </c>
      <c r="C39">
        <v>0</v>
      </c>
      <c r="D39" s="9">
        <v>0</v>
      </c>
      <c r="F39" s="9"/>
      <c r="H39" s="3" t="s">
        <v>15</v>
      </c>
      <c r="I39" s="38">
        <v>0</v>
      </c>
      <c r="J39" s="9">
        <v>0</v>
      </c>
      <c r="K39" s="38"/>
      <c r="L39" s="9"/>
    </row>
    <row r="40" spans="2:12" x14ac:dyDescent="0.5">
      <c r="B40" s="3" t="s">
        <v>16</v>
      </c>
      <c r="C40">
        <v>0</v>
      </c>
      <c r="D40" s="9">
        <v>0</v>
      </c>
      <c r="F40" s="9"/>
      <c r="H40" s="3" t="s">
        <v>16</v>
      </c>
      <c r="I40" s="38">
        <v>0</v>
      </c>
      <c r="J40" s="9">
        <v>0</v>
      </c>
      <c r="K40" s="38"/>
      <c r="L40" s="9"/>
    </row>
    <row r="41" spans="2:12" ht="14.7" customHeight="1" thickBot="1" x14ac:dyDescent="0.55000000000000004">
      <c r="B41" s="16" t="s">
        <v>26</v>
      </c>
      <c r="C41" s="12">
        <v>4</v>
      </c>
      <c r="D41" s="13">
        <v>4000</v>
      </c>
      <c r="F41" s="9"/>
      <c r="H41" s="16" t="s">
        <v>26</v>
      </c>
      <c r="I41" s="12">
        <v>4</v>
      </c>
      <c r="J41" s="13">
        <v>4000</v>
      </c>
      <c r="K41" s="38"/>
      <c r="L41" s="9"/>
    </row>
    <row r="42" spans="2:12" ht="14.7" customHeight="1" thickBot="1" x14ac:dyDescent="0.55000000000000004">
      <c r="B42" s="8"/>
      <c r="F42" s="9"/>
      <c r="H42" s="8"/>
      <c r="I42" s="38"/>
      <c r="J42" s="38"/>
      <c r="K42" s="38"/>
      <c r="L42" s="9"/>
    </row>
    <row r="43" spans="2:12" ht="14.7" customHeight="1" thickBot="1" x14ac:dyDescent="0.55000000000000004">
      <c r="B43" s="29" t="s">
        <v>27</v>
      </c>
      <c r="C43" s="30"/>
      <c r="D43" s="31"/>
      <c r="F43" s="9"/>
      <c r="H43" s="29" t="s">
        <v>27</v>
      </c>
      <c r="I43" s="30"/>
      <c r="J43" s="31"/>
      <c r="K43" s="38"/>
      <c r="L43" s="9"/>
    </row>
    <row r="44" spans="2:12" ht="14.7" customHeight="1" thickBot="1" x14ac:dyDescent="0.55000000000000004">
      <c r="B44" s="24" t="s">
        <v>23</v>
      </c>
      <c r="C44" s="18" t="s">
        <v>24</v>
      </c>
      <c r="D44" s="19" t="s">
        <v>25</v>
      </c>
      <c r="F44" s="9"/>
      <c r="H44" s="17" t="s">
        <v>23</v>
      </c>
      <c r="I44" s="18" t="s">
        <v>24</v>
      </c>
      <c r="J44" s="19" t="s">
        <v>25</v>
      </c>
      <c r="K44" s="38"/>
      <c r="L44" s="9"/>
    </row>
    <row r="45" spans="2:12" ht="14.7" customHeight="1" thickBot="1" x14ac:dyDescent="0.55000000000000004">
      <c r="B45" s="24" t="s">
        <v>18</v>
      </c>
      <c r="C45" s="12">
        <v>253</v>
      </c>
      <c r="D45" s="13">
        <v>4447.74</v>
      </c>
      <c r="F45" s="9"/>
      <c r="H45" s="24" t="s">
        <v>18</v>
      </c>
      <c r="I45" s="12">
        <v>253</v>
      </c>
      <c r="J45" s="13">
        <v>4447.74</v>
      </c>
      <c r="K45" s="38"/>
      <c r="L45" s="9"/>
    </row>
    <row r="46" spans="2:12" ht="14.7" customHeight="1" thickBot="1" x14ac:dyDescent="0.55000000000000004">
      <c r="B46" s="8"/>
      <c r="F46" s="9"/>
      <c r="H46" s="8"/>
      <c r="I46" s="38"/>
      <c r="J46" s="38"/>
      <c r="K46" s="38"/>
      <c r="L46" s="9"/>
    </row>
    <row r="47" spans="2:12" ht="14.7" customHeight="1" thickBot="1" x14ac:dyDescent="0.55000000000000004">
      <c r="B47" s="29" t="s">
        <v>28</v>
      </c>
      <c r="C47" s="31"/>
      <c r="F47" s="9"/>
      <c r="H47" s="29" t="s">
        <v>28</v>
      </c>
      <c r="I47" s="31"/>
      <c r="J47" s="38"/>
      <c r="K47" s="38"/>
      <c r="L47" s="9"/>
    </row>
    <row r="48" spans="2:12" ht="14.7" customHeight="1" thickBot="1" x14ac:dyDescent="0.55000000000000004">
      <c r="B48" s="11" t="s">
        <v>29</v>
      </c>
      <c r="C48" s="13">
        <v>17220</v>
      </c>
      <c r="F48" s="9"/>
      <c r="H48" s="24" t="s">
        <v>29</v>
      </c>
      <c r="I48" s="13">
        <v>15990</v>
      </c>
      <c r="J48" s="38"/>
      <c r="K48" s="38"/>
      <c r="L48" s="9"/>
    </row>
    <row r="49" spans="2:12" ht="14.7" customHeight="1" thickBot="1" x14ac:dyDescent="0.55000000000000004">
      <c r="B49" s="8"/>
      <c r="F49" s="9"/>
      <c r="H49" s="8"/>
      <c r="I49" s="38"/>
      <c r="J49" s="38"/>
      <c r="K49" s="38"/>
      <c r="L49" s="9"/>
    </row>
    <row r="50" spans="2:12" ht="14.7" customHeight="1" thickBot="1" x14ac:dyDescent="0.55000000000000004">
      <c r="B50" s="29" t="s">
        <v>30</v>
      </c>
      <c r="C50" s="30"/>
      <c r="D50" s="31"/>
      <c r="F50" s="9"/>
      <c r="H50" s="35" t="s">
        <v>30</v>
      </c>
      <c r="I50" s="36"/>
      <c r="J50" s="37"/>
      <c r="K50" s="38"/>
      <c r="L50" s="9"/>
    </row>
    <row r="51" spans="2:12" ht="14.7" customHeight="1" thickBot="1" x14ac:dyDescent="0.55000000000000004">
      <c r="B51" s="11" t="s">
        <v>31</v>
      </c>
      <c r="C51" s="12" t="s">
        <v>32</v>
      </c>
      <c r="D51" s="13" t="s">
        <v>33</v>
      </c>
      <c r="F51" s="9"/>
      <c r="H51" s="24" t="s">
        <v>31</v>
      </c>
      <c r="I51" s="18" t="s">
        <v>61</v>
      </c>
      <c r="J51" s="21" t="s">
        <v>33</v>
      </c>
      <c r="K51" s="38"/>
      <c r="L51" s="9"/>
    </row>
    <row r="52" spans="2:12" ht="14.7" customHeight="1" x14ac:dyDescent="0.5">
      <c r="B52" s="23" t="s">
        <v>34</v>
      </c>
      <c r="C52" s="26">
        <v>3568068.24703818</v>
      </c>
      <c r="D52" s="27">
        <f>C52*25</f>
        <v>89201706.175954506</v>
      </c>
      <c r="F52" s="9"/>
      <c r="H52" s="3" t="s">
        <v>34</v>
      </c>
      <c r="I52" s="40">
        <v>4524087.81207103</v>
      </c>
      <c r="J52" s="27">
        <f>I52*25</f>
        <v>113102195.30177575</v>
      </c>
      <c r="K52" s="38"/>
      <c r="L52" s="9"/>
    </row>
    <row r="53" spans="2:12" ht="14.7" customHeight="1" thickBot="1" x14ac:dyDescent="0.55000000000000004">
      <c r="B53" s="16" t="s">
        <v>35</v>
      </c>
      <c r="C53" s="25">
        <v>874046.71975459298</v>
      </c>
      <c r="D53" s="28">
        <f>C53*25</f>
        <v>21851167.993864823</v>
      </c>
      <c r="F53" s="9"/>
      <c r="H53" s="16" t="s">
        <v>35</v>
      </c>
      <c r="I53" s="25">
        <v>524135.15561876801</v>
      </c>
      <c r="J53" s="28">
        <f>I53*25</f>
        <v>13103378.890469201</v>
      </c>
      <c r="K53" s="38"/>
      <c r="L53" s="9"/>
    </row>
    <row r="54" spans="2:12" ht="14.7" customHeight="1" thickBot="1" x14ac:dyDescent="0.55000000000000004">
      <c r="B54" s="8"/>
      <c r="F54" s="9"/>
      <c r="H54" s="8"/>
      <c r="I54" s="39"/>
      <c r="J54" s="10"/>
      <c r="K54" s="38"/>
      <c r="L54" s="9"/>
    </row>
    <row r="55" spans="2:12" ht="14.7" customHeight="1" thickBot="1" x14ac:dyDescent="0.55000000000000004">
      <c r="B55" s="29" t="s">
        <v>36</v>
      </c>
      <c r="C55" s="30"/>
      <c r="D55" s="31"/>
      <c r="F55" s="9"/>
      <c r="H55" s="35" t="s">
        <v>36</v>
      </c>
      <c r="I55" s="36"/>
      <c r="J55" s="37"/>
      <c r="K55" s="38"/>
      <c r="L55" s="9"/>
    </row>
    <row r="56" spans="2:12" ht="14.7" customHeight="1" thickBot="1" x14ac:dyDescent="0.55000000000000004">
      <c r="B56" s="11" t="s">
        <v>31</v>
      </c>
      <c r="C56" s="12" t="s">
        <v>32</v>
      </c>
      <c r="D56" s="13" t="s">
        <v>33</v>
      </c>
      <c r="F56" s="9"/>
      <c r="H56" s="24" t="s">
        <v>31</v>
      </c>
      <c r="I56" s="20">
        <v>1228764.5909328701</v>
      </c>
      <c r="J56" s="21" t="s">
        <v>33</v>
      </c>
      <c r="K56" s="38"/>
      <c r="L56" s="9"/>
    </row>
    <row r="57" spans="2:12" ht="14.7" customHeight="1" thickBot="1" x14ac:dyDescent="0.55000000000000004">
      <c r="B57" s="23" t="s">
        <v>34</v>
      </c>
      <c r="C57">
        <v>969104.95598567999</v>
      </c>
      <c r="D57" s="9">
        <f>C57*25</f>
        <v>24227623.899641998</v>
      </c>
      <c r="F57" s="9"/>
      <c r="H57" s="16" t="s">
        <v>34</v>
      </c>
      <c r="I57" s="14">
        <v>247180.568475368</v>
      </c>
      <c r="J57" s="15">
        <f>I57*25</f>
        <v>6179514.2118841996</v>
      </c>
      <c r="K57" s="38"/>
      <c r="L57" s="9"/>
    </row>
    <row r="58" spans="2:12" ht="14.7" customHeight="1" thickBot="1" x14ac:dyDescent="0.55000000000000004">
      <c r="B58" s="16" t="s">
        <v>35</v>
      </c>
      <c r="C58" s="12">
        <v>350322.57096113195</v>
      </c>
      <c r="D58" s="13">
        <f>C58*25</f>
        <v>8758064.2740282994</v>
      </c>
      <c r="F58" s="9"/>
      <c r="H58" s="8" t="s">
        <v>35</v>
      </c>
      <c r="I58" s="12">
        <v>524135.15561876801</v>
      </c>
      <c r="J58" s="38">
        <f>I58*25</f>
        <v>13103378.890469201</v>
      </c>
      <c r="K58" s="38"/>
      <c r="L58" s="9"/>
    </row>
    <row r="59" spans="2:12" ht="14.7" customHeight="1" thickBot="1" x14ac:dyDescent="0.55000000000000004">
      <c r="B59" s="8"/>
      <c r="F59" s="9"/>
      <c r="H59" s="8"/>
      <c r="I59" s="38"/>
      <c r="J59" s="38"/>
      <c r="K59" s="38"/>
      <c r="L59" s="9"/>
    </row>
    <row r="60" spans="2:12" ht="14.7" customHeight="1" thickBot="1" x14ac:dyDescent="0.55000000000000004">
      <c r="B60" s="29" t="s">
        <v>37</v>
      </c>
      <c r="C60" s="31"/>
      <c r="F60" s="9"/>
      <c r="H60" s="29" t="s">
        <v>38</v>
      </c>
      <c r="I60" s="31"/>
      <c r="J60" s="38"/>
      <c r="K60" s="38"/>
      <c r="L60" s="9"/>
    </row>
    <row r="61" spans="2:12" ht="14.7" customHeight="1" thickBot="1" x14ac:dyDescent="0.55000000000000004">
      <c r="B61" s="24" t="s">
        <v>39</v>
      </c>
      <c r="C61" s="13">
        <v>155035.60022458699</v>
      </c>
      <c r="F61" s="9"/>
      <c r="H61" s="24" t="s">
        <v>39</v>
      </c>
      <c r="I61" s="13">
        <v>143909.36648969399</v>
      </c>
      <c r="J61" s="38"/>
      <c r="K61" s="38"/>
      <c r="L61" s="9"/>
    </row>
    <row r="62" spans="2:12" ht="14.7" customHeight="1" thickBot="1" x14ac:dyDescent="0.55000000000000004">
      <c r="B62" s="8"/>
      <c r="F62" s="9"/>
      <c r="H62" s="8"/>
      <c r="I62" s="38"/>
      <c r="J62" s="38"/>
      <c r="K62" s="38"/>
      <c r="L62" s="9"/>
    </row>
    <row r="63" spans="2:12" ht="14.7" customHeight="1" thickBot="1" x14ac:dyDescent="0.55000000000000004">
      <c r="B63" s="29" t="s">
        <v>40</v>
      </c>
      <c r="C63" s="31"/>
      <c r="F63" s="9"/>
      <c r="H63" s="29" t="s">
        <v>40</v>
      </c>
      <c r="I63" s="31"/>
      <c r="J63" s="38"/>
      <c r="K63" s="38"/>
      <c r="L63" s="9"/>
    </row>
    <row r="64" spans="2:12" ht="14.7" customHeight="1" thickBot="1" x14ac:dyDescent="0.55000000000000004">
      <c r="B64" s="29">
        <f>E23/B70</f>
        <v>0.93804059533232331</v>
      </c>
      <c r="C64" s="31"/>
      <c r="F64" s="9"/>
      <c r="H64" s="29">
        <f>K23/B70</f>
        <v>0.58756608541788446</v>
      </c>
      <c r="I64" s="31"/>
      <c r="J64" s="38"/>
      <c r="K64" s="38"/>
      <c r="L64" s="9"/>
    </row>
    <row r="65" spans="2:12" x14ac:dyDescent="0.5">
      <c r="B65" s="8"/>
      <c r="F65" s="9"/>
      <c r="H65" s="8"/>
      <c r="I65" s="38"/>
      <c r="J65" s="38"/>
      <c r="K65" s="38"/>
      <c r="L65" s="9"/>
    </row>
    <row r="66" spans="2:12" ht="14.7" customHeight="1" thickBot="1" x14ac:dyDescent="0.55000000000000004">
      <c r="B66" s="11"/>
      <c r="C66" s="12"/>
      <c r="D66" s="12"/>
      <c r="E66" s="12"/>
      <c r="F66" s="13"/>
      <c r="G66" s="12"/>
      <c r="H66" s="11"/>
      <c r="I66" s="12"/>
      <c r="J66" s="12"/>
      <c r="K66" s="12"/>
      <c r="L66" s="13"/>
    </row>
    <row r="67" spans="2:12" ht="14.7" customHeight="1" thickBot="1" x14ac:dyDescent="0.55000000000000004">
      <c r="B67" s="11"/>
      <c r="C67" s="12"/>
      <c r="L67" s="9"/>
    </row>
    <row r="68" spans="2:12" ht="14.7" customHeight="1" thickBot="1" x14ac:dyDescent="0.55000000000000004">
      <c r="B68" s="32" t="s">
        <v>41</v>
      </c>
      <c r="C68" s="33"/>
      <c r="L68" s="9"/>
    </row>
    <row r="69" spans="2:12" ht="14.7" customHeight="1" thickBot="1" x14ac:dyDescent="0.55000000000000004">
      <c r="B69" s="17" t="s">
        <v>42</v>
      </c>
      <c r="C69" s="19" t="s">
        <v>43</v>
      </c>
      <c r="L69" s="9"/>
    </row>
    <row r="70" spans="2:12" ht="14.7" customHeight="1" thickBot="1" x14ac:dyDescent="0.55000000000000004">
      <c r="B70" s="11">
        <f>C108</f>
        <v>6914825.9668748435</v>
      </c>
      <c r="C70" s="13">
        <f>D108</f>
        <v>172870649.1718711</v>
      </c>
      <c r="D70" s="12"/>
      <c r="E70" s="12"/>
      <c r="F70" s="12"/>
      <c r="G70" s="12"/>
      <c r="H70" s="12"/>
      <c r="I70" s="12"/>
      <c r="J70" s="12"/>
      <c r="K70" s="12"/>
      <c r="L70" s="13"/>
    </row>
    <row r="71" spans="2:12" ht="14.7" customHeight="1" thickBot="1" x14ac:dyDescent="0.55000000000000004"/>
    <row r="72" spans="2:12" ht="14.7" customHeight="1" thickBot="1" x14ac:dyDescent="0.55000000000000004">
      <c r="B72" s="29" t="s">
        <v>44</v>
      </c>
      <c r="C72" s="30"/>
      <c r="D72" s="30"/>
      <c r="E72" s="30"/>
      <c r="F72" s="31"/>
    </row>
    <row r="73" spans="2:12" ht="14.7" customHeight="1" thickBot="1" x14ac:dyDescent="0.55000000000000004">
      <c r="B73" s="29" t="s">
        <v>45</v>
      </c>
      <c r="C73" s="30"/>
      <c r="D73" s="30"/>
      <c r="E73" s="30"/>
      <c r="F73" s="31"/>
    </row>
    <row r="74" spans="2:12" ht="14.7" customHeight="1" thickBot="1" x14ac:dyDescent="0.55000000000000004">
      <c r="B74" s="24" t="s">
        <v>46</v>
      </c>
      <c r="C74" s="18" t="s">
        <v>4</v>
      </c>
      <c r="D74" s="18" t="s">
        <v>5</v>
      </c>
      <c r="E74" s="18" t="s">
        <v>6</v>
      </c>
      <c r="F74" s="19" t="s">
        <v>7</v>
      </c>
    </row>
    <row r="75" spans="2:12" x14ac:dyDescent="0.5">
      <c r="B75" s="23" t="s">
        <v>9</v>
      </c>
      <c r="C75">
        <v>44700.048098514642</v>
      </c>
      <c r="D75">
        <v>104300</v>
      </c>
      <c r="E75">
        <f>C75+D75</f>
        <v>149000.04809851464</v>
      </c>
      <c r="F75" s="9">
        <f>E75*25</f>
        <v>3725001.202462866</v>
      </c>
    </row>
    <row r="76" spans="2:12" x14ac:dyDescent="0.5">
      <c r="B76" s="3" t="s">
        <v>10</v>
      </c>
      <c r="C76">
        <v>0</v>
      </c>
      <c r="D76">
        <v>0</v>
      </c>
      <c r="E76">
        <f>C76+D76</f>
        <v>0</v>
      </c>
      <c r="F76" s="9">
        <f>E76*25</f>
        <v>0</v>
      </c>
    </row>
    <row r="77" spans="2:12" x14ac:dyDescent="0.5">
      <c r="B77" s="3" t="s">
        <v>14</v>
      </c>
      <c r="C77">
        <v>0</v>
      </c>
      <c r="D77">
        <v>0</v>
      </c>
      <c r="E77">
        <f>C77+D77</f>
        <v>0</v>
      </c>
      <c r="F77" s="9">
        <f>E77*25</f>
        <v>0</v>
      </c>
    </row>
    <row r="78" spans="2:12" x14ac:dyDescent="0.5">
      <c r="B78" s="3" t="s">
        <v>47</v>
      </c>
      <c r="C78">
        <v>0</v>
      </c>
      <c r="D78">
        <v>0</v>
      </c>
      <c r="E78">
        <f>C78+D78</f>
        <v>0</v>
      </c>
      <c r="F78" s="9">
        <f>E78*25</f>
        <v>0</v>
      </c>
    </row>
    <row r="79" spans="2:12" ht="14.7" customHeight="1" thickBot="1" x14ac:dyDescent="0.55000000000000004">
      <c r="B79" s="16" t="s">
        <v>48</v>
      </c>
      <c r="C79" s="12"/>
      <c r="D79" s="12"/>
      <c r="E79">
        <f>C79+D79</f>
        <v>0</v>
      </c>
      <c r="F79" s="9">
        <f>E79*25</f>
        <v>0</v>
      </c>
    </row>
    <row r="80" spans="2:12" ht="14.7" customHeight="1" thickBot="1" x14ac:dyDescent="0.55000000000000004">
      <c r="B80" s="17" t="s">
        <v>49</v>
      </c>
      <c r="C80" s="18" t="s">
        <v>4</v>
      </c>
      <c r="D80" s="18" t="s">
        <v>5</v>
      </c>
      <c r="E80" s="18" t="s">
        <v>6</v>
      </c>
      <c r="F80" s="19" t="s">
        <v>7</v>
      </c>
    </row>
    <row r="81" spans="2:6" x14ac:dyDescent="0.5">
      <c r="B81" s="23" t="s">
        <v>18</v>
      </c>
      <c r="C81">
        <v>57103.706360244039</v>
      </c>
      <c r="D81">
        <v>71163.839999999997</v>
      </c>
      <c r="E81">
        <f>C81+D81</f>
        <v>128267.54636024404</v>
      </c>
      <c r="F81" s="9">
        <f>E81*25</f>
        <v>3206688.6590061011</v>
      </c>
    </row>
    <row r="82" spans="2:6" ht="14.7" customHeight="1" thickBot="1" x14ac:dyDescent="0.55000000000000004">
      <c r="B82" s="16" t="s">
        <v>50</v>
      </c>
      <c r="C82" s="12"/>
      <c r="D82" s="12"/>
      <c r="E82">
        <f>C82+D82</f>
        <v>0</v>
      </c>
      <c r="F82" s="9">
        <f>E82*25</f>
        <v>0</v>
      </c>
    </row>
    <row r="83" spans="2:6" ht="14.7" customHeight="1" thickBot="1" x14ac:dyDescent="0.55000000000000004">
      <c r="B83" s="17"/>
      <c r="C83" s="18" t="s">
        <v>4</v>
      </c>
      <c r="D83" s="18" t="s">
        <v>5</v>
      </c>
      <c r="E83" s="18" t="s">
        <v>6</v>
      </c>
      <c r="F83" s="19" t="s">
        <v>7</v>
      </c>
    </row>
    <row r="84" spans="2:6" ht="14.7" customHeight="1" thickBot="1" x14ac:dyDescent="0.55000000000000004">
      <c r="B84" s="24" t="s">
        <v>22</v>
      </c>
      <c r="C84" s="12">
        <v>101803.7544587587</v>
      </c>
      <c r="D84" s="12">
        <v>5706529.3488688394</v>
      </c>
      <c r="E84" s="12">
        <v>5808333.1033275984</v>
      </c>
      <c r="F84" s="13">
        <f>E84*25</f>
        <v>145208327.58318996</v>
      </c>
    </row>
    <row r="85" spans="2:6" ht="14.7" customHeight="1" thickBot="1" x14ac:dyDescent="0.55000000000000004">
      <c r="B85" s="8"/>
      <c r="F85" s="9"/>
    </row>
    <row r="86" spans="2:6" ht="14.7" customHeight="1" thickBot="1" x14ac:dyDescent="0.55000000000000004">
      <c r="B86" s="29" t="s">
        <v>46</v>
      </c>
      <c r="C86" s="30"/>
      <c r="D86" s="31"/>
      <c r="F86" s="9"/>
    </row>
    <row r="87" spans="2:6" ht="14.7" customHeight="1" thickBot="1" x14ac:dyDescent="0.55000000000000004">
      <c r="B87" s="24" t="s">
        <v>23</v>
      </c>
      <c r="C87" s="18" t="s">
        <v>24</v>
      </c>
      <c r="D87" s="19" t="s">
        <v>25</v>
      </c>
      <c r="F87" s="9"/>
    </row>
    <row r="88" spans="2:6" x14ac:dyDescent="0.5">
      <c r="B88" s="23" t="s">
        <v>9</v>
      </c>
      <c r="C88">
        <v>6.9999999999999991</v>
      </c>
      <c r="D88" s="9">
        <v>699.99999999999989</v>
      </c>
      <c r="F88" s="9"/>
    </row>
    <row r="89" spans="2:6" x14ac:dyDescent="0.5">
      <c r="B89" s="3" t="s">
        <v>10</v>
      </c>
      <c r="C89">
        <v>0</v>
      </c>
      <c r="D89" s="9">
        <v>0</v>
      </c>
      <c r="F89" s="9"/>
    </row>
    <row r="90" spans="2:6" x14ac:dyDescent="0.5">
      <c r="B90" s="3" t="s">
        <v>14</v>
      </c>
      <c r="C90">
        <v>0</v>
      </c>
      <c r="D90" s="9">
        <v>0</v>
      </c>
      <c r="F90" s="9"/>
    </row>
    <row r="91" spans="2:6" x14ac:dyDescent="0.5">
      <c r="B91" s="3" t="s">
        <v>47</v>
      </c>
      <c r="C91">
        <v>0</v>
      </c>
      <c r="D91" s="9">
        <v>0</v>
      </c>
      <c r="F91" s="9"/>
    </row>
    <row r="92" spans="2:6" ht="14.7" customHeight="1" thickBot="1" x14ac:dyDescent="0.55000000000000004">
      <c r="B92" s="16" t="s">
        <v>26</v>
      </c>
      <c r="C92" s="12">
        <v>6.9999999999999991</v>
      </c>
      <c r="D92" s="13">
        <v>699.99999999999989</v>
      </c>
      <c r="F92" s="9"/>
    </row>
    <row r="93" spans="2:6" ht="14.7" customHeight="1" thickBot="1" x14ac:dyDescent="0.55000000000000004">
      <c r="B93" s="8"/>
      <c r="F93" s="9"/>
    </row>
    <row r="94" spans="2:6" ht="14.7" customHeight="1" thickBot="1" x14ac:dyDescent="0.55000000000000004">
      <c r="B94" s="29" t="s">
        <v>51</v>
      </c>
      <c r="C94" s="30"/>
      <c r="D94" s="31"/>
      <c r="F94" s="9"/>
    </row>
    <row r="95" spans="2:6" ht="14.7" customHeight="1" thickBot="1" x14ac:dyDescent="0.55000000000000004">
      <c r="B95" s="17" t="s">
        <v>23</v>
      </c>
      <c r="C95" s="18" t="s">
        <v>24</v>
      </c>
      <c r="D95" s="19" t="s">
        <v>25</v>
      </c>
      <c r="F95" s="9"/>
    </row>
    <row r="96" spans="2:6" ht="14.7" customHeight="1" thickBot="1" x14ac:dyDescent="0.55000000000000004">
      <c r="B96" s="24" t="s">
        <v>18</v>
      </c>
      <c r="C96" s="12">
        <v>253</v>
      </c>
      <c r="D96" s="13">
        <v>4447.74</v>
      </c>
      <c r="F96" s="9"/>
    </row>
    <row r="97" spans="2:6" ht="14.7" customHeight="1" thickBot="1" x14ac:dyDescent="0.55000000000000004">
      <c r="B97" s="8"/>
      <c r="F97" s="9"/>
    </row>
    <row r="98" spans="2:6" ht="14.7" customHeight="1" thickBot="1" x14ac:dyDescent="0.55000000000000004">
      <c r="B98" s="29" t="s">
        <v>52</v>
      </c>
      <c r="C98" s="30"/>
      <c r="D98" s="31"/>
      <c r="F98" s="9"/>
    </row>
    <row r="99" spans="2:6" ht="14.7" customHeight="1" thickBot="1" x14ac:dyDescent="0.55000000000000004">
      <c r="B99" s="17" t="s">
        <v>53</v>
      </c>
      <c r="C99" s="18" t="s">
        <v>54</v>
      </c>
      <c r="D99" s="19" t="s">
        <v>55</v>
      </c>
      <c r="F99" s="9"/>
    </row>
    <row r="100" spans="2:6" x14ac:dyDescent="0.5">
      <c r="B100" s="23" t="s">
        <v>56</v>
      </c>
      <c r="C100">
        <v>1013947.368421051</v>
      </c>
      <c r="D100" s="9">
        <f>C100*25</f>
        <v>25348684.210526273</v>
      </c>
      <c r="F100" s="9"/>
    </row>
    <row r="101" spans="2:6" x14ac:dyDescent="0.5">
      <c r="B101" s="3" t="s">
        <v>57</v>
      </c>
      <c r="C101">
        <v>1636934.7350387319</v>
      </c>
      <c r="D101" s="9">
        <f>C101*25</f>
        <v>40923368.3759683</v>
      </c>
      <c r="F101" s="9"/>
    </row>
    <row r="102" spans="2:6" ht="14.7" customHeight="1" thickBot="1" x14ac:dyDescent="0.55000000000000004">
      <c r="B102" s="16" t="s">
        <v>26</v>
      </c>
      <c r="C102" s="12">
        <f>C100+C101</f>
        <v>2650882.1034597829</v>
      </c>
      <c r="D102" s="13">
        <f>C102*25</f>
        <v>66272052.586494572</v>
      </c>
      <c r="F102" s="9"/>
    </row>
    <row r="103" spans="2:6" ht="14.7" customHeight="1" thickBot="1" x14ac:dyDescent="0.55000000000000004">
      <c r="B103" s="8"/>
      <c r="F103" s="9"/>
    </row>
    <row r="104" spans="2:6" ht="14.7" customHeight="1" thickBot="1" x14ac:dyDescent="0.55000000000000004">
      <c r="B104" s="29" t="s">
        <v>58</v>
      </c>
      <c r="C104" s="30"/>
      <c r="D104" s="31"/>
      <c r="F104" s="9"/>
    </row>
    <row r="105" spans="2:6" ht="14.7" customHeight="1" thickBot="1" x14ac:dyDescent="0.55000000000000004">
      <c r="B105" s="17" t="s">
        <v>53</v>
      </c>
      <c r="C105" s="18" t="s">
        <v>59</v>
      </c>
      <c r="D105" s="22" t="s">
        <v>60</v>
      </c>
      <c r="F105" s="9"/>
    </row>
    <row r="106" spans="2:6" x14ac:dyDescent="0.5">
      <c r="B106" s="23" t="s">
        <v>56</v>
      </c>
      <c r="C106">
        <f>2.6085*C100</f>
        <v>2644881.7105263113</v>
      </c>
      <c r="D106" s="9">
        <f>C106*25</f>
        <v>66122042.763157785</v>
      </c>
      <c r="F106" s="9"/>
    </row>
    <row r="107" spans="2:6" x14ac:dyDescent="0.5">
      <c r="B107" s="3" t="s">
        <v>57</v>
      </c>
      <c r="C107">
        <f>2.6085*C101</f>
        <v>4269944.2563485317</v>
      </c>
      <c r="D107" s="9">
        <f>C107*25</f>
        <v>106748606.4087133</v>
      </c>
      <c r="F107" s="9"/>
    </row>
    <row r="108" spans="2:6" ht="14.7" customHeight="1" thickBot="1" x14ac:dyDescent="0.55000000000000004">
      <c r="B108" s="16" t="s">
        <v>26</v>
      </c>
      <c r="C108" s="12">
        <f>2.6085*C102</f>
        <v>6914825.9668748435</v>
      </c>
      <c r="D108" s="13">
        <f>C108*25</f>
        <v>172870649.1718711</v>
      </c>
      <c r="E108" s="12"/>
      <c r="F108" s="13"/>
    </row>
  </sheetData>
  <mergeCells count="30">
    <mergeCell ref="H64:I64"/>
    <mergeCell ref="H50:J50"/>
    <mergeCell ref="H55:J55"/>
    <mergeCell ref="B86:D86"/>
    <mergeCell ref="B104:D104"/>
    <mergeCell ref="B73:F73"/>
    <mergeCell ref="B36:D36"/>
    <mergeCell ref="B94:D94"/>
    <mergeCell ref="B50:D50"/>
    <mergeCell ref="B68:C68"/>
    <mergeCell ref="B64:C64"/>
    <mergeCell ref="B47:C47"/>
    <mergeCell ref="B98:D98"/>
    <mergeCell ref="B72:F72"/>
    <mergeCell ref="H33:I33"/>
    <mergeCell ref="B5:L5"/>
    <mergeCell ref="B63:C63"/>
    <mergeCell ref="B43:D43"/>
    <mergeCell ref="H25:J25"/>
    <mergeCell ref="H6:L6"/>
    <mergeCell ref="H60:I60"/>
    <mergeCell ref="B60:C60"/>
    <mergeCell ref="B55:D55"/>
    <mergeCell ref="H47:I47"/>
    <mergeCell ref="B25:D25"/>
    <mergeCell ref="H43:J43"/>
    <mergeCell ref="B6:F6"/>
    <mergeCell ref="B33:C33"/>
    <mergeCell ref="H36:J36"/>
    <mergeCell ref="H63:I63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B4:N108"/>
  <sheetViews>
    <sheetView tabSelected="1" topLeftCell="A15" zoomScale="70" zoomScaleNormal="70" workbookViewId="0">
      <selection activeCell="M29" sqref="M29"/>
    </sheetView>
  </sheetViews>
  <sheetFormatPr defaultColWidth="39.234375" defaultRowHeight="14.35" x14ac:dyDescent="0.5"/>
  <cols>
    <col min="1" max="1" width="13.52734375" customWidth="1"/>
    <col min="2" max="2" width="15.234375" bestFit="1" customWidth="1"/>
    <col min="3" max="3" width="17.64453125" bestFit="1" customWidth="1"/>
    <col min="4" max="4" width="18.64453125" bestFit="1" customWidth="1"/>
    <col min="5" max="5" width="13.5859375" bestFit="1" customWidth="1"/>
    <col min="6" max="6" width="14.5859375" bestFit="1" customWidth="1"/>
    <col min="7" max="7" width="12.46875" customWidth="1"/>
    <col min="8" max="8" width="15.234375" bestFit="1" customWidth="1"/>
    <col min="9" max="9" width="15.703125" bestFit="1" customWidth="1"/>
    <col min="10" max="10" width="18" bestFit="1" customWidth="1"/>
    <col min="11" max="11" width="12.46875" bestFit="1" customWidth="1"/>
    <col min="12" max="12" width="14.5859375" bestFit="1" customWidth="1"/>
    <col min="13" max="14" width="14.41015625" bestFit="1" customWidth="1"/>
    <col min="15" max="15" width="12.3515625" bestFit="1" customWidth="1"/>
  </cols>
  <sheetData>
    <row r="4" spans="2:14" ht="14.7" customHeight="1" thickBot="1" x14ac:dyDescent="0.55000000000000004"/>
    <row r="5" spans="2:14" ht="14.7" customHeight="1" thickBot="1" x14ac:dyDescent="0.55000000000000004">
      <c r="B5" s="29" t="s">
        <v>0</v>
      </c>
      <c r="C5" s="30"/>
      <c r="D5" s="30"/>
      <c r="E5" s="30"/>
      <c r="F5" s="30"/>
      <c r="G5" s="30"/>
      <c r="H5" s="30"/>
      <c r="I5" s="30"/>
      <c r="J5" s="30"/>
      <c r="K5" s="30"/>
      <c r="L5" s="31"/>
    </row>
    <row r="6" spans="2:14" ht="14.7" customHeight="1" thickBot="1" x14ac:dyDescent="0.55000000000000004">
      <c r="B6" s="29" t="s">
        <v>1</v>
      </c>
      <c r="C6" s="30"/>
      <c r="D6" s="30"/>
      <c r="E6" s="30"/>
      <c r="F6" s="31"/>
      <c r="H6" s="29" t="s">
        <v>2</v>
      </c>
      <c r="I6" s="30"/>
      <c r="J6" s="30"/>
      <c r="K6" s="30"/>
      <c r="L6" s="31"/>
    </row>
    <row r="7" spans="2:14" ht="14.7" customHeight="1" thickBot="1" x14ac:dyDescent="0.55000000000000004">
      <c r="B7" s="24" t="s">
        <v>3</v>
      </c>
      <c r="C7" s="18" t="s">
        <v>4</v>
      </c>
      <c r="D7" s="18" t="s">
        <v>5</v>
      </c>
      <c r="E7" s="18" t="s">
        <v>6</v>
      </c>
      <c r="F7" s="19" t="s">
        <v>7</v>
      </c>
      <c r="H7" s="24" t="s">
        <v>3</v>
      </c>
      <c r="I7" s="18" t="s">
        <v>4</v>
      </c>
      <c r="J7" s="18" t="s">
        <v>5</v>
      </c>
      <c r="K7" s="18" t="s">
        <v>6</v>
      </c>
      <c r="L7" s="19" t="s">
        <v>7</v>
      </c>
    </row>
    <row r="8" spans="2:14" x14ac:dyDescent="0.5">
      <c r="B8" s="3" t="s">
        <v>8</v>
      </c>
      <c r="C8" s="6">
        <f>13698 * D27*((0.05*((1.05)^25))/((1.05^25)-1))</f>
        <v>2235385.5481951488</v>
      </c>
      <c r="D8" s="6">
        <f>29*D27</f>
        <v>66700</v>
      </c>
      <c r="E8" s="6">
        <f>C8+D8</f>
        <v>2302085.5481951488</v>
      </c>
      <c r="F8" s="10">
        <f>E8*25</f>
        <v>57552138.704878718</v>
      </c>
      <c r="H8" s="3" t="s">
        <v>9</v>
      </c>
      <c r="I8" s="39">
        <f>1615 * J27*((0.05*((1.05)^25))/((1.05^25)-1))</f>
        <v>1970917.3588580005</v>
      </c>
      <c r="J8" s="39">
        <f>29*J27</f>
        <v>498800</v>
      </c>
      <c r="K8" s="39">
        <f>I8+J8</f>
        <v>2469717.3588580005</v>
      </c>
      <c r="L8" s="10">
        <f>K8*25</f>
        <v>61742933.971450016</v>
      </c>
    </row>
    <row r="9" spans="2:14" x14ac:dyDescent="0.5">
      <c r="B9" s="3" t="s">
        <v>10</v>
      </c>
      <c r="C9" s="6">
        <f>13698 * D28*((0.05*((1.05)^25))/((1.05^25)-1))</f>
        <v>14092648.021230288</v>
      </c>
      <c r="D9" s="6">
        <f>29*D28</f>
        <v>420500</v>
      </c>
      <c r="E9" s="6">
        <f>C9+D9</f>
        <v>14513148.021230288</v>
      </c>
      <c r="F9" s="10">
        <f>E9*25</f>
        <v>362828700.53075719</v>
      </c>
      <c r="H9" s="3" t="s">
        <v>10</v>
      </c>
      <c r="I9" s="39">
        <f>1615 * J28*((0.05*((1.05)^25))/((1.05^25)-1))</f>
        <v>0</v>
      </c>
      <c r="J9" s="39">
        <f>29*J28</f>
        <v>0</v>
      </c>
      <c r="K9" s="39">
        <f>I9+J9</f>
        <v>0</v>
      </c>
      <c r="L9" s="10">
        <f>K9*25</f>
        <v>0</v>
      </c>
      <c r="M9" s="7"/>
      <c r="N9" s="6"/>
    </row>
    <row r="10" spans="2:14" x14ac:dyDescent="0.5">
      <c r="B10" s="3" t="s">
        <v>11</v>
      </c>
      <c r="C10" s="6">
        <f>13698 * D29*((0.05*((1.05)^25))/((1.05^25)-1))</f>
        <v>0</v>
      </c>
      <c r="D10" s="6">
        <f>29*D29</f>
        <v>0</v>
      </c>
      <c r="E10" s="6">
        <f>C10+D10</f>
        <v>0</v>
      </c>
      <c r="F10" s="10">
        <f>E10*25</f>
        <v>0</v>
      </c>
      <c r="H10" s="3" t="s">
        <v>11</v>
      </c>
      <c r="I10" s="39">
        <f>1615 * J29*((0.05*((1.05)^25))/((1.05^25)-1))</f>
        <v>0</v>
      </c>
      <c r="J10" s="39">
        <f>29*J29</f>
        <v>0</v>
      </c>
      <c r="K10" s="39">
        <f>I10+J10</f>
        <v>0</v>
      </c>
      <c r="L10" s="10">
        <f>K10*25</f>
        <v>0</v>
      </c>
      <c r="M10" s="7"/>
    </row>
    <row r="11" spans="2:14" ht="14.7" customHeight="1" thickBot="1" x14ac:dyDescent="0.55000000000000004">
      <c r="B11" s="16" t="s">
        <v>12</v>
      </c>
      <c r="C11" s="14">
        <f>13698 * D30*((0.05*((1.05)^25))/((1.05^25)-1))</f>
        <v>0</v>
      </c>
      <c r="D11" s="14">
        <f>29*D30</f>
        <v>0</v>
      </c>
      <c r="E11" s="14">
        <f>C11+D11</f>
        <v>0</v>
      </c>
      <c r="F11" s="15">
        <f>E11*25</f>
        <v>0</v>
      </c>
      <c r="H11" s="16" t="s">
        <v>12</v>
      </c>
      <c r="I11" s="14">
        <f>1615 * J30*((0.05*((1.05)^25))/((1.05^25)-1))</f>
        <v>171882.32780738376</v>
      </c>
      <c r="J11" s="14">
        <f>29*J30</f>
        <v>43500</v>
      </c>
      <c r="K11" s="14">
        <f>I11+J11</f>
        <v>215382.32780738376</v>
      </c>
      <c r="L11" s="13">
        <f>K11*25</f>
        <v>5384558.195184594</v>
      </c>
    </row>
    <row r="12" spans="2:14" ht="14.7" customHeight="1" thickBot="1" x14ac:dyDescent="0.55000000000000004">
      <c r="B12" s="24" t="s">
        <v>13</v>
      </c>
      <c r="C12" s="18" t="s">
        <v>4</v>
      </c>
      <c r="D12" s="18" t="s">
        <v>5</v>
      </c>
      <c r="E12" s="18" t="s">
        <v>6</v>
      </c>
      <c r="F12" s="19" t="s">
        <v>7</v>
      </c>
      <c r="H12" s="24" t="s">
        <v>13</v>
      </c>
      <c r="I12" s="18" t="s">
        <v>4</v>
      </c>
      <c r="J12" s="18" t="s">
        <v>5</v>
      </c>
      <c r="K12" s="18" t="s">
        <v>6</v>
      </c>
      <c r="L12" s="19" t="s">
        <v>7</v>
      </c>
    </row>
    <row r="13" spans="2:14" x14ac:dyDescent="0.5">
      <c r="B13" s="3" t="s">
        <v>14</v>
      </c>
      <c r="C13" s="4">
        <f>2490 * D38*((0.05*((1.05)^10))/((1.05^10)-1))</f>
        <v>0</v>
      </c>
      <c r="D13" s="1">
        <f>37.35*D38</f>
        <v>0</v>
      </c>
      <c r="E13">
        <f>C13+D13</f>
        <v>0</v>
      </c>
      <c r="F13" s="9">
        <f>E13*25</f>
        <v>0</v>
      </c>
      <c r="H13" s="3" t="s">
        <v>14</v>
      </c>
      <c r="I13" s="4">
        <f>2490 * J38*((0.05*((1.05)^10))/((1.05^10)-1))</f>
        <v>0</v>
      </c>
      <c r="J13" s="1">
        <f>37.35*J38</f>
        <v>0</v>
      </c>
      <c r="K13" s="39">
        <f>I13+J13</f>
        <v>0</v>
      </c>
      <c r="L13" s="10">
        <f>K13*25</f>
        <v>0</v>
      </c>
    </row>
    <row r="14" spans="2:14" x14ac:dyDescent="0.5">
      <c r="B14" s="3" t="s">
        <v>15</v>
      </c>
      <c r="C14" s="4">
        <f>1570 * D39*((0.05*((1.05)^10))/((1.05^10)-1))</f>
        <v>4066443.6539153405</v>
      </c>
      <c r="D14" s="1">
        <f>23.55*D39</f>
        <v>471000</v>
      </c>
      <c r="E14">
        <f>C14+D14</f>
        <v>4537443.6539153401</v>
      </c>
      <c r="F14" s="9">
        <f>E14*25</f>
        <v>113436091.34788351</v>
      </c>
      <c r="H14" s="3" t="s">
        <v>15</v>
      </c>
      <c r="I14" s="4">
        <f>1570 * J39*((0.05*((1.05)^10))/((1.05^10)-1))</f>
        <v>4066443.6539153405</v>
      </c>
      <c r="J14" s="1">
        <f>23.55*J39</f>
        <v>471000</v>
      </c>
      <c r="K14" s="38">
        <f>I14+J14</f>
        <v>4537443.6539153401</v>
      </c>
      <c r="L14" s="10">
        <f>K14*25</f>
        <v>113436091.34788351</v>
      </c>
    </row>
    <row r="15" spans="2:14" ht="14.7" customHeight="1" thickBot="1" x14ac:dyDescent="0.55000000000000004">
      <c r="B15" s="16" t="s">
        <v>16</v>
      </c>
      <c r="C15" s="5">
        <f>1190 * D40*((0.05*((1.05)^10))/((1.05^10)-1))</f>
        <v>0</v>
      </c>
      <c r="D15" s="2">
        <f>17.85*D40</f>
        <v>0</v>
      </c>
      <c r="E15" s="12">
        <f>C15+D15</f>
        <v>0</v>
      </c>
      <c r="F15" s="13">
        <f>E15*25</f>
        <v>0</v>
      </c>
      <c r="H15" s="16" t="s">
        <v>16</v>
      </c>
      <c r="I15" s="5">
        <f>1190 * J40*((0.05*((1.05)^10))/((1.05^10)-1))</f>
        <v>0</v>
      </c>
      <c r="J15" s="2">
        <f>17.85*J40</f>
        <v>0</v>
      </c>
      <c r="K15" s="12">
        <f>I15+J15</f>
        <v>0</v>
      </c>
      <c r="L15" s="15">
        <f>K15*25</f>
        <v>0</v>
      </c>
    </row>
    <row r="16" spans="2:14" ht="14.7" customHeight="1" thickBot="1" x14ac:dyDescent="0.55000000000000004">
      <c r="B16" s="24" t="s">
        <v>17</v>
      </c>
      <c r="C16" s="18" t="s">
        <v>4</v>
      </c>
      <c r="D16" s="18" t="s">
        <v>5</v>
      </c>
      <c r="E16" s="18" t="s">
        <v>6</v>
      </c>
      <c r="F16" s="19" t="s">
        <v>7</v>
      </c>
      <c r="H16" s="24" t="s">
        <v>17</v>
      </c>
      <c r="I16" s="18" t="s">
        <v>4</v>
      </c>
      <c r="J16" s="18" t="s">
        <v>5</v>
      </c>
      <c r="K16" s="18" t="s">
        <v>6</v>
      </c>
      <c r="L16" s="19" t="s">
        <v>7</v>
      </c>
    </row>
    <row r="17" spans="2:14" ht="14.7" customHeight="1" thickBot="1" x14ac:dyDescent="0.55000000000000004">
      <c r="B17" s="16" t="s">
        <v>18</v>
      </c>
      <c r="C17" s="12">
        <v>202007.18257872891</v>
      </c>
      <c r="D17" s="12">
        <v>251745.6</v>
      </c>
      <c r="E17" s="12">
        <f>D17+C17</f>
        <v>453752.78257872892</v>
      </c>
      <c r="F17" s="13">
        <f>E17*25</f>
        <v>11343819.564468224</v>
      </c>
      <c r="H17" s="16" t="s">
        <v>18</v>
      </c>
      <c r="I17" s="12">
        <v>202007.18257872891</v>
      </c>
      <c r="J17" s="12">
        <v>251745.6</v>
      </c>
      <c r="K17" s="12">
        <f>J17+I17</f>
        <v>453752.78257872892</v>
      </c>
      <c r="L17" s="15">
        <f>K17*25</f>
        <v>11343819.564468224</v>
      </c>
    </row>
    <row r="18" spans="2:14" ht="14.7" customHeight="1" thickBot="1" x14ac:dyDescent="0.55000000000000004">
      <c r="B18" s="24" t="s">
        <v>19</v>
      </c>
      <c r="C18" s="18" t="s">
        <v>4</v>
      </c>
      <c r="D18" s="18" t="s">
        <v>5</v>
      </c>
      <c r="E18" s="18" t="s">
        <v>6</v>
      </c>
      <c r="F18" s="19" t="s">
        <v>7</v>
      </c>
      <c r="H18" s="24" t="s">
        <v>20</v>
      </c>
      <c r="I18" s="18" t="s">
        <v>4</v>
      </c>
      <c r="J18" s="18" t="s">
        <v>5</v>
      </c>
      <c r="K18" s="18" t="s">
        <v>6</v>
      </c>
      <c r="L18" s="19" t="s">
        <v>7</v>
      </c>
    </row>
    <row r="19" spans="2:14" ht="14.7" customHeight="1" thickBot="1" x14ac:dyDescent="0.55000000000000004">
      <c r="B19" s="11"/>
      <c r="C19" s="12">
        <f>C48*300*((0.05*((1.05)^20))/((1.05^20)-1))</f>
        <v>946541.5585013947</v>
      </c>
      <c r="D19" s="12">
        <v>0</v>
      </c>
      <c r="E19" s="12">
        <f>D19+C19</f>
        <v>946541.5585013947</v>
      </c>
      <c r="F19" s="13">
        <f>E19*25</f>
        <v>23663538.962534867</v>
      </c>
      <c r="H19" s="11"/>
      <c r="I19" s="14">
        <f>(I48/10)*3000*((0.05*((1.05)^20))/((1.05^20)-1))</f>
        <v>247949.59441923615</v>
      </c>
      <c r="J19" s="12">
        <v>0</v>
      </c>
      <c r="K19" s="12">
        <f>J19+I19</f>
        <v>247949.59441923615</v>
      </c>
      <c r="L19" s="15">
        <f>K19*25</f>
        <v>6198739.8604809036</v>
      </c>
    </row>
    <row r="20" spans="2:14" ht="14.7" customHeight="1" thickBot="1" x14ac:dyDescent="0.55000000000000004">
      <c r="B20" s="24" t="s">
        <v>21</v>
      </c>
      <c r="C20" s="18" t="s">
        <v>4</v>
      </c>
      <c r="D20" s="18" t="s">
        <v>5</v>
      </c>
      <c r="E20" s="18" t="s">
        <v>6</v>
      </c>
      <c r="F20" s="19" t="s">
        <v>7</v>
      </c>
      <c r="H20" s="24" t="s">
        <v>21</v>
      </c>
      <c r="I20" s="18" t="s">
        <v>4</v>
      </c>
      <c r="J20" s="18" t="s">
        <v>5</v>
      </c>
      <c r="K20" s="18" t="s">
        <v>6</v>
      </c>
      <c r="L20" s="19" t="s">
        <v>7</v>
      </c>
    </row>
    <row r="21" spans="2:14" ht="14.7" customHeight="1" thickBot="1" x14ac:dyDescent="0.55000000000000004">
      <c r="B21" s="11"/>
      <c r="C21" s="12">
        <v>0</v>
      </c>
      <c r="D21" s="12">
        <v>0</v>
      </c>
      <c r="E21" s="12">
        <f>C21+D21</f>
        <v>0</v>
      </c>
      <c r="F21" s="13">
        <f>E21*25</f>
        <v>0</v>
      </c>
      <c r="H21" s="11"/>
      <c r="I21" s="12">
        <v>0</v>
      </c>
      <c r="J21" s="12">
        <v>0</v>
      </c>
      <c r="K21" s="12">
        <f>J21+I21</f>
        <v>0</v>
      </c>
      <c r="L21" s="13">
        <f>K21*25</f>
        <v>0</v>
      </c>
    </row>
    <row r="22" spans="2:14" ht="14.7" customHeight="1" thickBot="1" x14ac:dyDescent="0.55000000000000004">
      <c r="B22" s="17"/>
      <c r="C22" s="18" t="s">
        <v>4</v>
      </c>
      <c r="D22" s="18" t="s">
        <v>5</v>
      </c>
      <c r="E22" s="18" t="s">
        <v>6</v>
      </c>
      <c r="F22" s="19" t="s">
        <v>7</v>
      </c>
      <c r="H22" s="17"/>
      <c r="I22" s="18" t="s">
        <v>4</v>
      </c>
      <c r="J22" s="18" t="s">
        <v>5</v>
      </c>
      <c r="K22" s="18" t="s">
        <v>6</v>
      </c>
      <c r="L22" s="19" t="s">
        <v>7</v>
      </c>
    </row>
    <row r="23" spans="2:14" ht="14.7" customHeight="1" thickBot="1" x14ac:dyDescent="0.55000000000000004">
      <c r="B23" s="24" t="s">
        <v>22</v>
      </c>
      <c r="C23" s="12">
        <v>21543266.692182459</v>
      </c>
      <c r="D23" s="12">
        <v>1209945.6000000001</v>
      </c>
      <c r="E23" s="25">
        <v>22753212.29218246</v>
      </c>
      <c r="F23" s="13">
        <f>D23*25</f>
        <v>30248640.000000004</v>
      </c>
      <c r="H23" s="24" t="s">
        <v>22</v>
      </c>
      <c r="I23" s="14">
        <v>6659200.1175786862</v>
      </c>
      <c r="J23" s="14">
        <v>1265045.6000000001</v>
      </c>
      <c r="K23" s="14">
        <v>4062917.2247025901</v>
      </c>
      <c r="L23" s="15">
        <f>K23*25</f>
        <v>101572930.61756475</v>
      </c>
      <c r="M23" s="6"/>
    </row>
    <row r="24" spans="2:14" ht="14.7" customHeight="1" thickBot="1" x14ac:dyDescent="0.55000000000000004">
      <c r="B24" s="8"/>
      <c r="F24" s="9"/>
      <c r="H24" s="8"/>
      <c r="I24" s="39"/>
      <c r="J24" s="39"/>
      <c r="K24" s="39"/>
      <c r="L24" s="10"/>
      <c r="M24" s="6"/>
      <c r="N24" s="7"/>
    </row>
    <row r="25" spans="2:14" ht="14.7" customHeight="1" thickBot="1" x14ac:dyDescent="0.55000000000000004">
      <c r="B25" s="29" t="s">
        <v>3</v>
      </c>
      <c r="C25" s="30"/>
      <c r="D25" s="31"/>
      <c r="F25" s="9"/>
      <c r="H25" s="29" t="s">
        <v>3</v>
      </c>
      <c r="I25" s="30"/>
      <c r="J25" s="31"/>
      <c r="K25" s="38"/>
      <c r="L25" s="10"/>
      <c r="M25" s="6"/>
    </row>
    <row r="26" spans="2:14" ht="14.7" customHeight="1" thickBot="1" x14ac:dyDescent="0.55000000000000004">
      <c r="B26" s="17" t="s">
        <v>23</v>
      </c>
      <c r="C26" s="18" t="s">
        <v>24</v>
      </c>
      <c r="D26" s="19" t="s">
        <v>25</v>
      </c>
      <c r="F26" s="9"/>
      <c r="H26" s="17" t="s">
        <v>23</v>
      </c>
      <c r="I26" s="18" t="s">
        <v>24</v>
      </c>
      <c r="J26" s="19" t="s">
        <v>25</v>
      </c>
      <c r="K26" s="38"/>
      <c r="L26" s="10"/>
      <c r="M26" s="6"/>
    </row>
    <row r="27" spans="2:14" x14ac:dyDescent="0.5">
      <c r="B27" s="23" t="s">
        <v>9</v>
      </c>
      <c r="C27">
        <v>23</v>
      </c>
      <c r="D27" s="9">
        <v>2300</v>
      </c>
      <c r="F27" s="9"/>
      <c r="H27" s="8" t="s">
        <v>9</v>
      </c>
      <c r="I27" s="38">
        <v>172</v>
      </c>
      <c r="J27" s="9">
        <v>17200</v>
      </c>
      <c r="K27" s="38"/>
      <c r="L27" s="9"/>
    </row>
    <row r="28" spans="2:14" x14ac:dyDescent="0.5">
      <c r="B28" s="3" t="s">
        <v>10</v>
      </c>
      <c r="C28">
        <v>29</v>
      </c>
      <c r="D28" s="9">
        <v>14500</v>
      </c>
      <c r="F28" s="9"/>
      <c r="H28" s="8" t="s">
        <v>10</v>
      </c>
      <c r="I28" s="38">
        <v>0</v>
      </c>
      <c r="J28" s="9">
        <v>0</v>
      </c>
      <c r="K28" s="38"/>
      <c r="L28" s="9"/>
    </row>
    <row r="29" spans="2:14" x14ac:dyDescent="0.5">
      <c r="B29" s="3" t="s">
        <v>11</v>
      </c>
      <c r="C29">
        <v>0</v>
      </c>
      <c r="D29" s="9">
        <v>0</v>
      </c>
      <c r="F29" s="9"/>
      <c r="H29" s="8" t="s">
        <v>11</v>
      </c>
      <c r="I29" s="38">
        <v>0</v>
      </c>
      <c r="J29" s="9">
        <v>0</v>
      </c>
      <c r="K29" s="38"/>
      <c r="L29" s="9"/>
    </row>
    <row r="30" spans="2:14" x14ac:dyDescent="0.5">
      <c r="B30" s="3" t="s">
        <v>12</v>
      </c>
      <c r="C30">
        <v>0</v>
      </c>
      <c r="D30" s="9">
        <v>0</v>
      </c>
      <c r="F30" s="9"/>
      <c r="H30" s="8" t="s">
        <v>12</v>
      </c>
      <c r="I30" s="38">
        <v>1</v>
      </c>
      <c r="J30" s="9">
        <v>1500</v>
      </c>
      <c r="K30" s="38"/>
      <c r="L30" s="9"/>
    </row>
    <row r="31" spans="2:14" ht="14.7" customHeight="1" thickBot="1" x14ac:dyDescent="0.55000000000000004">
      <c r="B31" s="16" t="s">
        <v>26</v>
      </c>
      <c r="C31" s="12">
        <v>52</v>
      </c>
      <c r="D31" s="13">
        <v>16800</v>
      </c>
      <c r="F31" s="9"/>
      <c r="H31" s="11" t="s">
        <v>26</v>
      </c>
      <c r="I31" s="12">
        <v>173</v>
      </c>
      <c r="J31" s="13">
        <v>18700</v>
      </c>
      <c r="K31" s="38"/>
      <c r="L31" s="9"/>
    </row>
    <row r="32" spans="2:14" ht="14.7" customHeight="1" thickBot="1" x14ac:dyDescent="0.55000000000000004">
      <c r="B32" s="8"/>
      <c r="F32" s="9"/>
      <c r="H32" s="8"/>
      <c r="I32" s="38"/>
      <c r="J32" s="38"/>
      <c r="K32" s="38"/>
      <c r="L32" s="9"/>
    </row>
    <row r="33" spans="2:12" ht="14.7" customHeight="1" thickBot="1" x14ac:dyDescent="0.55000000000000004">
      <c r="B33" s="29" t="s">
        <v>21</v>
      </c>
      <c r="C33" s="31"/>
      <c r="F33" s="9"/>
      <c r="H33" s="29" t="s">
        <v>21</v>
      </c>
      <c r="I33" s="31"/>
      <c r="J33" s="38"/>
      <c r="K33" s="38"/>
      <c r="L33" s="9"/>
    </row>
    <row r="34" spans="2:12" ht="14.7" customHeight="1" thickBot="1" x14ac:dyDescent="0.55000000000000004">
      <c r="B34" s="24" t="s">
        <v>25</v>
      </c>
      <c r="C34" s="13">
        <v>0</v>
      </c>
      <c r="F34" s="9"/>
      <c r="H34" s="24" t="s">
        <v>25</v>
      </c>
      <c r="I34" s="13">
        <v>0</v>
      </c>
      <c r="J34" s="38"/>
      <c r="K34" s="38"/>
      <c r="L34" s="9"/>
    </row>
    <row r="35" spans="2:12" ht="14.7" customHeight="1" thickBot="1" x14ac:dyDescent="0.55000000000000004">
      <c r="B35" s="8"/>
      <c r="F35" s="9"/>
      <c r="H35" s="8"/>
      <c r="I35" s="38"/>
      <c r="J35" s="38"/>
      <c r="K35" s="38"/>
      <c r="L35" s="9"/>
    </row>
    <row r="36" spans="2:12" ht="14.7" customHeight="1" thickBot="1" x14ac:dyDescent="0.55000000000000004">
      <c r="B36" s="29" t="s">
        <v>13</v>
      </c>
      <c r="C36" s="30"/>
      <c r="D36" s="31"/>
      <c r="F36" s="9"/>
      <c r="H36" s="29" t="s">
        <v>13</v>
      </c>
      <c r="I36" s="30"/>
      <c r="J36" s="31"/>
      <c r="K36" s="38"/>
      <c r="L36" s="9"/>
    </row>
    <row r="37" spans="2:12" ht="14.7" customHeight="1" thickBot="1" x14ac:dyDescent="0.55000000000000004">
      <c r="B37" s="24" t="s">
        <v>23</v>
      </c>
      <c r="C37" s="18" t="s">
        <v>24</v>
      </c>
      <c r="D37" s="19" t="s">
        <v>25</v>
      </c>
      <c r="F37" s="9"/>
      <c r="H37" s="17" t="s">
        <v>23</v>
      </c>
      <c r="I37" s="18" t="s">
        <v>24</v>
      </c>
      <c r="J37" s="19" t="s">
        <v>25</v>
      </c>
      <c r="K37" s="38"/>
      <c r="L37" s="9"/>
    </row>
    <row r="38" spans="2:12" x14ac:dyDescent="0.5">
      <c r="B38" s="23" t="s">
        <v>14</v>
      </c>
      <c r="C38">
        <v>0</v>
      </c>
      <c r="D38" s="9">
        <v>0</v>
      </c>
      <c r="F38" s="9"/>
      <c r="H38" s="23" t="s">
        <v>14</v>
      </c>
      <c r="I38" s="38">
        <v>0</v>
      </c>
      <c r="J38" s="9">
        <v>0</v>
      </c>
      <c r="K38" s="38"/>
      <c r="L38" s="9"/>
    </row>
    <row r="39" spans="2:12" x14ac:dyDescent="0.5">
      <c r="B39" s="3" t="s">
        <v>15</v>
      </c>
      <c r="C39">
        <v>1</v>
      </c>
      <c r="D39" s="9">
        <v>20000</v>
      </c>
      <c r="F39" s="9"/>
      <c r="H39" s="3" t="s">
        <v>15</v>
      </c>
      <c r="I39" s="38">
        <v>1</v>
      </c>
      <c r="J39" s="9">
        <v>20000</v>
      </c>
      <c r="K39" s="38"/>
      <c r="L39" s="9"/>
    </row>
    <row r="40" spans="2:12" x14ac:dyDescent="0.5">
      <c r="B40" s="3" t="s">
        <v>16</v>
      </c>
      <c r="C40">
        <v>0</v>
      </c>
      <c r="D40" s="9">
        <v>0</v>
      </c>
      <c r="F40" s="9"/>
      <c r="H40" s="3" t="s">
        <v>16</v>
      </c>
      <c r="I40" s="38">
        <v>0</v>
      </c>
      <c r="J40" s="9">
        <v>0</v>
      </c>
      <c r="K40" s="38"/>
      <c r="L40" s="9"/>
    </row>
    <row r="41" spans="2:12" ht="14.7" customHeight="1" thickBot="1" x14ac:dyDescent="0.55000000000000004">
      <c r="B41" s="16" t="s">
        <v>26</v>
      </c>
      <c r="C41" s="12">
        <v>1</v>
      </c>
      <c r="D41" s="13">
        <v>20000</v>
      </c>
      <c r="F41" s="9"/>
      <c r="H41" s="16" t="s">
        <v>26</v>
      </c>
      <c r="I41" s="12">
        <v>1</v>
      </c>
      <c r="J41" s="13">
        <v>20000</v>
      </c>
      <c r="K41" s="38"/>
      <c r="L41" s="9"/>
    </row>
    <row r="42" spans="2:12" ht="14.7" customHeight="1" thickBot="1" x14ac:dyDescent="0.55000000000000004">
      <c r="B42" s="8"/>
      <c r="F42" s="9"/>
      <c r="H42" s="8"/>
      <c r="I42" s="38"/>
      <c r="J42" s="38"/>
      <c r="K42" s="38"/>
      <c r="L42" s="9"/>
    </row>
    <row r="43" spans="2:12" ht="14.7" customHeight="1" thickBot="1" x14ac:dyDescent="0.55000000000000004">
      <c r="B43" s="29" t="s">
        <v>27</v>
      </c>
      <c r="C43" s="30"/>
      <c r="D43" s="31"/>
      <c r="F43" s="9"/>
      <c r="H43" s="29" t="s">
        <v>27</v>
      </c>
      <c r="I43" s="30"/>
      <c r="J43" s="31"/>
      <c r="K43" s="38"/>
      <c r="L43" s="9"/>
    </row>
    <row r="44" spans="2:12" ht="14.7" customHeight="1" thickBot="1" x14ac:dyDescent="0.55000000000000004">
      <c r="B44" s="24" t="s">
        <v>23</v>
      </c>
      <c r="C44" s="18" t="s">
        <v>24</v>
      </c>
      <c r="D44" s="19" t="s">
        <v>25</v>
      </c>
      <c r="F44" s="9"/>
      <c r="H44" s="17" t="s">
        <v>23</v>
      </c>
      <c r="I44" s="18" t="s">
        <v>24</v>
      </c>
      <c r="J44" s="19" t="s">
        <v>25</v>
      </c>
      <c r="K44" s="38"/>
      <c r="L44" s="9"/>
    </row>
    <row r="45" spans="2:12" ht="14.7" customHeight="1" thickBot="1" x14ac:dyDescent="0.55000000000000004">
      <c r="B45" s="24" t="s">
        <v>18</v>
      </c>
      <c r="C45" s="12">
        <v>895</v>
      </c>
      <c r="D45" s="13">
        <v>15734.1</v>
      </c>
      <c r="F45" s="9"/>
      <c r="H45" s="24" t="s">
        <v>18</v>
      </c>
      <c r="I45" s="12">
        <v>895</v>
      </c>
      <c r="J45" s="13">
        <v>15734.1</v>
      </c>
      <c r="K45" s="38"/>
      <c r="L45" s="9"/>
    </row>
    <row r="46" spans="2:12" ht="14.7" customHeight="1" thickBot="1" x14ac:dyDescent="0.55000000000000004">
      <c r="B46" s="8"/>
      <c r="F46" s="9"/>
      <c r="H46" s="8"/>
      <c r="I46" s="38"/>
      <c r="J46" s="38"/>
      <c r="K46" s="38"/>
      <c r="L46" s="9"/>
    </row>
    <row r="47" spans="2:12" ht="14.7" customHeight="1" thickBot="1" x14ac:dyDescent="0.55000000000000004">
      <c r="B47" s="29" t="s">
        <v>28</v>
      </c>
      <c r="C47" s="31"/>
      <c r="F47" s="9"/>
      <c r="H47" s="29" t="s">
        <v>28</v>
      </c>
      <c r="I47" s="31"/>
      <c r="J47" s="38"/>
      <c r="K47" s="38"/>
      <c r="L47" s="9"/>
    </row>
    <row r="48" spans="2:12" ht="14.7" customHeight="1" thickBot="1" x14ac:dyDescent="0.55000000000000004">
      <c r="B48" s="11" t="s">
        <v>29</v>
      </c>
      <c r="C48" s="13">
        <v>39320</v>
      </c>
      <c r="F48" s="9"/>
      <c r="H48" s="24" t="s">
        <v>29</v>
      </c>
      <c r="I48" s="13">
        <v>10300</v>
      </c>
      <c r="J48" s="38"/>
      <c r="K48" s="38"/>
      <c r="L48" s="9"/>
    </row>
    <row r="49" spans="2:12" ht="14.7" customHeight="1" thickBot="1" x14ac:dyDescent="0.55000000000000004">
      <c r="B49" s="8"/>
      <c r="F49" s="9"/>
      <c r="H49" s="8"/>
      <c r="I49" s="38"/>
      <c r="J49" s="38"/>
      <c r="K49" s="38"/>
      <c r="L49" s="9"/>
    </row>
    <row r="50" spans="2:12" ht="14.7" customHeight="1" thickBot="1" x14ac:dyDescent="0.55000000000000004">
      <c r="B50" s="29" t="s">
        <v>30</v>
      </c>
      <c r="C50" s="30"/>
      <c r="D50" s="31"/>
      <c r="F50" s="9"/>
      <c r="H50" s="35" t="s">
        <v>30</v>
      </c>
      <c r="I50" s="36"/>
      <c r="J50" s="37"/>
      <c r="K50" s="38"/>
      <c r="L50" s="9"/>
    </row>
    <row r="51" spans="2:12" ht="14.7" customHeight="1" thickBot="1" x14ac:dyDescent="0.55000000000000004">
      <c r="B51" s="11" t="s">
        <v>31</v>
      </c>
      <c r="C51" s="12" t="s">
        <v>32</v>
      </c>
      <c r="D51" s="13" t="s">
        <v>33</v>
      </c>
      <c r="F51" s="9"/>
      <c r="H51" s="24" t="s">
        <v>31</v>
      </c>
      <c r="I51" s="18" t="s">
        <v>61</v>
      </c>
      <c r="J51" s="21" t="s">
        <v>33</v>
      </c>
      <c r="K51" s="38"/>
      <c r="L51" s="9"/>
    </row>
    <row r="52" spans="2:12" ht="14.7" customHeight="1" x14ac:dyDescent="0.5">
      <c r="B52" s="23" t="s">
        <v>34</v>
      </c>
      <c r="C52" s="26">
        <v>16784053.890759099</v>
      </c>
      <c r="D52" s="27">
        <f>C52*25</f>
        <v>419601347.26897746</v>
      </c>
      <c r="F52" s="9"/>
      <c r="H52" s="3" t="s">
        <v>34</v>
      </c>
      <c r="I52" s="40">
        <v>24426341.680150598</v>
      </c>
      <c r="J52" s="27">
        <f>I52*25</f>
        <v>610658542.00376499</v>
      </c>
      <c r="K52" s="38"/>
      <c r="L52" s="9"/>
    </row>
    <row r="53" spans="2:12" ht="14.7" customHeight="1" thickBot="1" x14ac:dyDescent="0.55000000000000004">
      <c r="B53" s="16" t="s">
        <v>35</v>
      </c>
      <c r="C53" s="25">
        <v>1344128.7821752129</v>
      </c>
      <c r="D53" s="28">
        <f>C53*25</f>
        <v>33603219.55438032</v>
      </c>
      <c r="F53" s="9"/>
      <c r="H53" s="16" t="s">
        <v>35</v>
      </c>
      <c r="I53" s="25">
        <v>783076.13484028471</v>
      </c>
      <c r="J53" s="28">
        <f>I53*25</f>
        <v>19576903.371007118</v>
      </c>
      <c r="K53" s="38"/>
      <c r="L53" s="9"/>
    </row>
    <row r="54" spans="2:12" ht="14.7" customHeight="1" thickBot="1" x14ac:dyDescent="0.55000000000000004">
      <c r="B54" s="8"/>
      <c r="F54" s="9"/>
      <c r="H54" s="8"/>
      <c r="I54" s="39"/>
      <c r="J54" s="10"/>
      <c r="K54" s="38"/>
      <c r="L54" s="9"/>
    </row>
    <row r="55" spans="2:12" ht="14.7" customHeight="1" thickBot="1" x14ac:dyDescent="0.55000000000000004">
      <c r="B55" s="29" t="s">
        <v>36</v>
      </c>
      <c r="C55" s="30"/>
      <c r="D55" s="31"/>
      <c r="F55" s="9"/>
      <c r="H55" s="35" t="s">
        <v>36</v>
      </c>
      <c r="I55" s="36"/>
      <c r="J55" s="37"/>
      <c r="K55" s="38"/>
      <c r="L55" s="9"/>
    </row>
    <row r="56" spans="2:12" ht="14.7" customHeight="1" thickBot="1" x14ac:dyDescent="0.55000000000000004">
      <c r="B56" s="11" t="s">
        <v>31</v>
      </c>
      <c r="C56" s="12" t="s">
        <v>32</v>
      </c>
      <c r="D56" s="13" t="s">
        <v>33</v>
      </c>
      <c r="F56" s="9"/>
      <c r="H56" s="24" t="s">
        <v>31</v>
      </c>
      <c r="I56" s="20">
        <v>6634315.0242384598</v>
      </c>
      <c r="J56" s="21" t="s">
        <v>33</v>
      </c>
      <c r="K56" s="38"/>
      <c r="L56" s="9"/>
    </row>
    <row r="57" spans="2:12" ht="14.7" customHeight="1" thickBot="1" x14ac:dyDescent="0.55000000000000004">
      <c r="B57" s="23" t="s">
        <v>34</v>
      </c>
      <c r="C57">
        <v>4558631.9209469203</v>
      </c>
      <c r="D57" s="9">
        <f>C57*25</f>
        <v>113965798.02367301</v>
      </c>
      <c r="F57" s="9"/>
      <c r="H57" s="16" t="s">
        <v>34</v>
      </c>
      <c r="I57" s="14">
        <v>280209.5674874867</v>
      </c>
      <c r="J57" s="15">
        <f>I57*25</f>
        <v>7005239.1871871678</v>
      </c>
      <c r="K57" s="38"/>
      <c r="L57" s="9"/>
    </row>
    <row r="58" spans="2:12" ht="14.7" customHeight="1" thickBot="1" x14ac:dyDescent="0.55000000000000004">
      <c r="B58" s="16" t="s">
        <v>35</v>
      </c>
      <c r="C58" s="12">
        <v>622900.35104640294</v>
      </c>
      <c r="D58" s="13">
        <f>C58*25</f>
        <v>15572508.776160073</v>
      </c>
      <c r="F58" s="9"/>
      <c r="H58" s="8" t="s">
        <v>35</v>
      </c>
      <c r="I58" s="12">
        <v>783076.13484028471</v>
      </c>
      <c r="J58" s="38">
        <f>I58*25</f>
        <v>19576903.371007118</v>
      </c>
      <c r="K58" s="38"/>
      <c r="L58" s="9"/>
    </row>
    <row r="59" spans="2:12" ht="14.7" customHeight="1" thickBot="1" x14ac:dyDescent="0.55000000000000004">
      <c r="B59" s="8"/>
      <c r="F59" s="9"/>
      <c r="H59" s="8"/>
      <c r="I59" s="38"/>
      <c r="J59" s="38"/>
      <c r="K59" s="38"/>
      <c r="L59" s="9"/>
    </row>
    <row r="60" spans="2:12" ht="14.7" customHeight="1" thickBot="1" x14ac:dyDescent="0.55000000000000004">
      <c r="B60" s="29" t="s">
        <v>37</v>
      </c>
      <c r="C60" s="31"/>
      <c r="F60" s="9"/>
      <c r="H60" s="29" t="s">
        <v>38</v>
      </c>
      <c r="I60" s="31"/>
      <c r="J60" s="38"/>
      <c r="K60" s="38"/>
      <c r="L60" s="9"/>
    </row>
    <row r="61" spans="2:12" ht="14.7" customHeight="1" thickBot="1" x14ac:dyDescent="0.55000000000000004">
      <c r="B61" s="24" t="s">
        <v>39</v>
      </c>
      <c r="C61" s="13">
        <v>353967.71571023698</v>
      </c>
      <c r="F61" s="9"/>
      <c r="H61" s="24" t="s">
        <v>39</v>
      </c>
      <c r="I61" s="13">
        <v>92700.000000002707</v>
      </c>
      <c r="J61" s="38"/>
      <c r="K61" s="38"/>
      <c r="L61" s="9"/>
    </row>
    <row r="62" spans="2:12" ht="14.7" customHeight="1" thickBot="1" x14ac:dyDescent="0.55000000000000004">
      <c r="B62" s="8"/>
      <c r="F62" s="9"/>
      <c r="H62" s="8"/>
      <c r="I62" s="38"/>
      <c r="J62" s="38"/>
      <c r="K62" s="38"/>
      <c r="L62" s="9"/>
    </row>
    <row r="63" spans="2:12" ht="14.7" customHeight="1" thickBot="1" x14ac:dyDescent="0.55000000000000004">
      <c r="B63" s="29" t="s">
        <v>40</v>
      </c>
      <c r="C63" s="31"/>
      <c r="F63" s="9"/>
      <c r="H63" s="29" t="s">
        <v>40</v>
      </c>
      <c r="I63" s="31"/>
      <c r="J63" s="38"/>
      <c r="K63" s="38"/>
      <c r="L63" s="9"/>
    </row>
    <row r="64" spans="2:12" ht="14.7" customHeight="1" thickBot="1" x14ac:dyDescent="0.55000000000000004">
      <c r="B64" s="29">
        <f>E23/B70</f>
        <v>0.82931333652181671</v>
      </c>
      <c r="C64" s="31"/>
      <c r="F64" s="9"/>
      <c r="H64" s="29">
        <f>K23/B70</f>
        <v>0.14808596677963282</v>
      </c>
      <c r="I64" s="31"/>
      <c r="J64" s="38"/>
      <c r="K64" s="38"/>
      <c r="L64" s="9"/>
    </row>
    <row r="65" spans="2:12" x14ac:dyDescent="0.5">
      <c r="B65" s="8"/>
      <c r="F65" s="9"/>
      <c r="H65" s="8"/>
      <c r="I65" s="38"/>
      <c r="J65" s="38"/>
      <c r="K65" s="38"/>
      <c r="L65" s="9"/>
    </row>
    <row r="66" spans="2:12" ht="14.7" customHeight="1" thickBot="1" x14ac:dyDescent="0.55000000000000004">
      <c r="B66" s="11"/>
      <c r="C66" s="12"/>
      <c r="D66" s="12"/>
      <c r="E66" s="12"/>
      <c r="F66" s="13"/>
      <c r="G66" s="12"/>
      <c r="H66" s="11"/>
      <c r="I66" s="12"/>
      <c r="J66" s="12"/>
      <c r="K66" s="12"/>
      <c r="L66" s="13"/>
    </row>
    <row r="67" spans="2:12" ht="14.7" customHeight="1" thickBot="1" x14ac:dyDescent="0.55000000000000004">
      <c r="B67" s="11"/>
      <c r="C67" s="12"/>
      <c r="L67" s="9"/>
    </row>
    <row r="68" spans="2:12" ht="14.7" customHeight="1" thickBot="1" x14ac:dyDescent="0.55000000000000004">
      <c r="B68" s="32" t="s">
        <v>41</v>
      </c>
      <c r="C68" s="33"/>
      <c r="L68" s="9"/>
    </row>
    <row r="69" spans="2:12" ht="14.7" customHeight="1" thickBot="1" x14ac:dyDescent="0.55000000000000004">
      <c r="B69" s="17" t="s">
        <v>42</v>
      </c>
      <c r="C69" s="19" t="s">
        <v>43</v>
      </c>
      <c r="L69" s="9"/>
    </row>
    <row r="70" spans="2:12" ht="14.7" customHeight="1" thickBot="1" x14ac:dyDescent="0.55000000000000004">
      <c r="B70" s="11">
        <f>C108</f>
        <v>27436206.907766148</v>
      </c>
      <c r="C70" s="13">
        <f>D108</f>
        <v>685905172.69415367</v>
      </c>
      <c r="D70" s="12"/>
      <c r="E70" s="12"/>
      <c r="F70" s="12"/>
      <c r="G70" s="12"/>
      <c r="H70" s="12"/>
      <c r="I70" s="12"/>
      <c r="J70" s="12"/>
      <c r="K70" s="12"/>
      <c r="L70" s="13"/>
    </row>
    <row r="71" spans="2:12" ht="14.7" customHeight="1" thickBot="1" x14ac:dyDescent="0.55000000000000004"/>
    <row r="72" spans="2:12" ht="14.7" customHeight="1" thickBot="1" x14ac:dyDescent="0.55000000000000004">
      <c r="B72" s="29" t="s">
        <v>44</v>
      </c>
      <c r="C72" s="30"/>
      <c r="D72" s="30"/>
      <c r="E72" s="30"/>
      <c r="F72" s="31"/>
    </row>
    <row r="73" spans="2:12" ht="14.7" customHeight="1" thickBot="1" x14ac:dyDescent="0.55000000000000004">
      <c r="B73" s="29" t="s">
        <v>45</v>
      </c>
      <c r="C73" s="30"/>
      <c r="D73" s="30"/>
      <c r="E73" s="30"/>
      <c r="F73" s="31"/>
    </row>
    <row r="74" spans="2:12" ht="14.7" customHeight="1" thickBot="1" x14ac:dyDescent="0.55000000000000004">
      <c r="B74" s="24" t="s">
        <v>46</v>
      </c>
      <c r="C74" s="18" t="s">
        <v>4</v>
      </c>
      <c r="D74" s="18" t="s">
        <v>5</v>
      </c>
      <c r="E74" s="18" t="s">
        <v>6</v>
      </c>
      <c r="F74" s="19" t="s">
        <v>7</v>
      </c>
    </row>
    <row r="75" spans="2:12" x14ac:dyDescent="0.5">
      <c r="B75" s="23" t="s">
        <v>9</v>
      </c>
      <c r="C75">
        <v>0</v>
      </c>
      <c r="D75">
        <v>0</v>
      </c>
      <c r="E75">
        <f>C75+D75</f>
        <v>0</v>
      </c>
      <c r="F75" s="9">
        <f>E75*25</f>
        <v>0</v>
      </c>
    </row>
    <row r="76" spans="2:12" x14ac:dyDescent="0.5">
      <c r="B76" s="3" t="s">
        <v>10</v>
      </c>
      <c r="C76">
        <v>0</v>
      </c>
      <c r="D76">
        <v>0</v>
      </c>
      <c r="E76">
        <f>C76+D76</f>
        <v>0</v>
      </c>
      <c r="F76" s="9">
        <f>E76*25</f>
        <v>0</v>
      </c>
    </row>
    <row r="77" spans="2:12" x14ac:dyDescent="0.5">
      <c r="B77" s="3" t="s">
        <v>14</v>
      </c>
      <c r="C77">
        <v>70952.457299229587</v>
      </c>
      <c r="D77">
        <v>114000</v>
      </c>
      <c r="E77">
        <f>C77+D77</f>
        <v>184952.45729922957</v>
      </c>
      <c r="F77" s="9">
        <f>E77*25</f>
        <v>4623811.4324807394</v>
      </c>
    </row>
    <row r="78" spans="2:12" x14ac:dyDescent="0.5">
      <c r="B78" s="3" t="s">
        <v>47</v>
      </c>
      <c r="C78">
        <v>141904.9145984592</v>
      </c>
      <c r="D78">
        <v>228000</v>
      </c>
      <c r="E78">
        <f>C78+D78</f>
        <v>369904.9145984592</v>
      </c>
      <c r="F78" s="9">
        <f>E78*25</f>
        <v>9247622.8649614807</v>
      </c>
    </row>
    <row r="79" spans="2:12" ht="14.7" customHeight="1" thickBot="1" x14ac:dyDescent="0.55000000000000004">
      <c r="B79" s="16" t="s">
        <v>48</v>
      </c>
      <c r="C79" s="12"/>
      <c r="D79" s="12"/>
      <c r="E79">
        <f>C79+D79</f>
        <v>0</v>
      </c>
      <c r="F79" s="9">
        <f>E79*25</f>
        <v>0</v>
      </c>
    </row>
    <row r="80" spans="2:12" ht="14.7" customHeight="1" thickBot="1" x14ac:dyDescent="0.55000000000000004">
      <c r="B80" s="17" t="s">
        <v>49</v>
      </c>
      <c r="C80" s="18" t="s">
        <v>4</v>
      </c>
      <c r="D80" s="18" t="s">
        <v>5</v>
      </c>
      <c r="E80" s="18" t="s">
        <v>6</v>
      </c>
      <c r="F80" s="19" t="s">
        <v>7</v>
      </c>
    </row>
    <row r="81" spans="2:6" x14ac:dyDescent="0.5">
      <c r="B81" s="23" t="s">
        <v>18</v>
      </c>
      <c r="C81">
        <v>202007.18257872891</v>
      </c>
      <c r="D81">
        <v>251745.6</v>
      </c>
      <c r="E81">
        <f>C81+D81</f>
        <v>453752.78257872892</v>
      </c>
      <c r="F81" s="9">
        <f>E81*25</f>
        <v>11343819.564468224</v>
      </c>
    </row>
    <row r="82" spans="2:6" ht="14.7" customHeight="1" thickBot="1" x14ac:dyDescent="0.55000000000000004">
      <c r="B82" s="16" t="s">
        <v>50</v>
      </c>
      <c r="C82" s="12"/>
      <c r="D82" s="12"/>
      <c r="E82">
        <f>C82+D82</f>
        <v>0</v>
      </c>
      <c r="F82" s="9">
        <f>E82*25</f>
        <v>0</v>
      </c>
    </row>
    <row r="83" spans="2:6" ht="14.7" customHeight="1" thickBot="1" x14ac:dyDescent="0.55000000000000004">
      <c r="B83" s="17"/>
      <c r="C83" s="18" t="s">
        <v>4</v>
      </c>
      <c r="D83" s="18" t="s">
        <v>5</v>
      </c>
      <c r="E83" s="18" t="s">
        <v>6</v>
      </c>
      <c r="F83" s="19" t="s">
        <v>7</v>
      </c>
    </row>
    <row r="84" spans="2:6" ht="14.7" customHeight="1" thickBot="1" x14ac:dyDescent="0.55000000000000004">
      <c r="B84" s="24" t="s">
        <v>22</v>
      </c>
      <c r="C84" s="12">
        <v>414864.5544764176</v>
      </c>
      <c r="D84" s="12">
        <v>22539555.725763489</v>
      </c>
      <c r="E84" s="12">
        <v>22954420.28023991</v>
      </c>
      <c r="F84" s="13">
        <f>E84*25</f>
        <v>573860507.00599778</v>
      </c>
    </row>
    <row r="85" spans="2:6" ht="14.7" customHeight="1" thickBot="1" x14ac:dyDescent="0.55000000000000004">
      <c r="B85" s="8"/>
      <c r="F85" s="9"/>
    </row>
    <row r="86" spans="2:6" ht="14.7" customHeight="1" thickBot="1" x14ac:dyDescent="0.55000000000000004">
      <c r="B86" s="29" t="s">
        <v>46</v>
      </c>
      <c r="C86" s="30"/>
      <c r="D86" s="31"/>
      <c r="F86" s="9"/>
    </row>
    <row r="87" spans="2:6" ht="14.7" customHeight="1" thickBot="1" x14ac:dyDescent="0.55000000000000004">
      <c r="B87" s="24" t="s">
        <v>23</v>
      </c>
      <c r="C87" s="18" t="s">
        <v>24</v>
      </c>
      <c r="D87" s="19" t="s">
        <v>25</v>
      </c>
      <c r="F87" s="9"/>
    </row>
    <row r="88" spans="2:6" x14ac:dyDescent="0.5">
      <c r="B88" s="23" t="s">
        <v>9</v>
      </c>
      <c r="C88">
        <v>0</v>
      </c>
      <c r="D88" s="9">
        <v>0</v>
      </c>
      <c r="F88" s="9"/>
    </row>
    <row r="89" spans="2:6" x14ac:dyDescent="0.5">
      <c r="B89" s="3" t="s">
        <v>10</v>
      </c>
      <c r="C89">
        <v>0</v>
      </c>
      <c r="D89" s="9">
        <v>0</v>
      </c>
      <c r="F89" s="9"/>
    </row>
    <row r="90" spans="2:6" x14ac:dyDescent="0.5">
      <c r="B90" s="3" t="s">
        <v>14</v>
      </c>
      <c r="C90">
        <v>1</v>
      </c>
      <c r="D90" s="9">
        <v>1000</v>
      </c>
      <c r="F90" s="9"/>
    </row>
    <row r="91" spans="2:6" x14ac:dyDescent="0.5">
      <c r="B91" s="3" t="s">
        <v>47</v>
      </c>
      <c r="C91">
        <v>1</v>
      </c>
      <c r="D91" s="9">
        <v>2000</v>
      </c>
      <c r="F91" s="9"/>
    </row>
    <row r="92" spans="2:6" ht="14.7" customHeight="1" thickBot="1" x14ac:dyDescent="0.55000000000000004">
      <c r="B92" s="16" t="s">
        <v>26</v>
      </c>
      <c r="C92" s="12">
        <v>2</v>
      </c>
      <c r="D92" s="13">
        <v>3000</v>
      </c>
      <c r="F92" s="9"/>
    </row>
    <row r="93" spans="2:6" ht="14.7" customHeight="1" thickBot="1" x14ac:dyDescent="0.55000000000000004">
      <c r="B93" s="8"/>
      <c r="F93" s="9"/>
    </row>
    <row r="94" spans="2:6" ht="14.7" customHeight="1" thickBot="1" x14ac:dyDescent="0.55000000000000004">
      <c r="B94" s="29" t="s">
        <v>51</v>
      </c>
      <c r="C94" s="30"/>
      <c r="D94" s="31"/>
      <c r="F94" s="9"/>
    </row>
    <row r="95" spans="2:6" ht="14.7" customHeight="1" thickBot="1" x14ac:dyDescent="0.55000000000000004">
      <c r="B95" s="17" t="s">
        <v>23</v>
      </c>
      <c r="C95" s="18" t="s">
        <v>24</v>
      </c>
      <c r="D95" s="19" t="s">
        <v>25</v>
      </c>
      <c r="F95" s="9"/>
    </row>
    <row r="96" spans="2:6" ht="14.7" customHeight="1" thickBot="1" x14ac:dyDescent="0.55000000000000004">
      <c r="B96" s="24" t="s">
        <v>18</v>
      </c>
      <c r="C96" s="12">
        <v>895</v>
      </c>
      <c r="D96" s="13">
        <v>15734.1</v>
      </c>
      <c r="F96" s="9"/>
    </row>
    <row r="97" spans="2:6" ht="14.7" customHeight="1" thickBot="1" x14ac:dyDescent="0.55000000000000004">
      <c r="B97" s="8"/>
      <c r="F97" s="9"/>
    </row>
    <row r="98" spans="2:6" ht="14.7" customHeight="1" thickBot="1" x14ac:dyDescent="0.55000000000000004">
      <c r="B98" s="29" t="s">
        <v>52</v>
      </c>
      <c r="C98" s="30"/>
      <c r="D98" s="31"/>
      <c r="F98" s="9"/>
    </row>
    <row r="99" spans="2:6" ht="14.7" customHeight="1" thickBot="1" x14ac:dyDescent="0.55000000000000004">
      <c r="B99" s="17" t="s">
        <v>53</v>
      </c>
      <c r="C99" s="18" t="s">
        <v>54</v>
      </c>
      <c r="D99" s="19" t="s">
        <v>55</v>
      </c>
      <c r="F99" s="9"/>
    </row>
    <row r="100" spans="2:6" x14ac:dyDescent="0.5">
      <c r="B100" s="23" t="s">
        <v>56</v>
      </c>
      <c r="C100">
        <v>4766578.9473685417</v>
      </c>
      <c r="D100" s="9">
        <f>C100*25</f>
        <v>119164473.68421355</v>
      </c>
      <c r="F100" s="9"/>
    </row>
    <row r="101" spans="2:6" x14ac:dyDescent="0.5">
      <c r="B101" s="3" t="s">
        <v>57</v>
      </c>
      <c r="C101">
        <v>5751422.5507208379</v>
      </c>
      <c r="D101" s="9">
        <f>C101*25</f>
        <v>143785563.76802096</v>
      </c>
      <c r="F101" s="9"/>
    </row>
    <row r="102" spans="2:6" ht="14.7" customHeight="1" thickBot="1" x14ac:dyDescent="0.55000000000000004">
      <c r="B102" s="16" t="s">
        <v>26</v>
      </c>
      <c r="C102" s="12">
        <f>C100+C101</f>
        <v>10518001.498089381</v>
      </c>
      <c r="D102" s="13">
        <f>C102*25</f>
        <v>262950037.45223451</v>
      </c>
      <c r="F102" s="9"/>
    </row>
    <row r="103" spans="2:6" ht="14.7" customHeight="1" thickBot="1" x14ac:dyDescent="0.55000000000000004">
      <c r="B103" s="8"/>
      <c r="F103" s="9"/>
    </row>
    <row r="104" spans="2:6" ht="14.7" customHeight="1" thickBot="1" x14ac:dyDescent="0.55000000000000004">
      <c r="B104" s="29" t="s">
        <v>58</v>
      </c>
      <c r="C104" s="30"/>
      <c r="D104" s="31"/>
      <c r="F104" s="9"/>
    </row>
    <row r="105" spans="2:6" ht="14.7" customHeight="1" thickBot="1" x14ac:dyDescent="0.55000000000000004">
      <c r="B105" s="17" t="s">
        <v>53</v>
      </c>
      <c r="C105" s="18" t="s">
        <v>59</v>
      </c>
      <c r="D105" s="22" t="s">
        <v>60</v>
      </c>
      <c r="F105" s="9"/>
    </row>
    <row r="106" spans="2:6" x14ac:dyDescent="0.5">
      <c r="B106" s="23" t="s">
        <v>56</v>
      </c>
      <c r="C106">
        <f>2.6085*C100</f>
        <v>12433621.184210841</v>
      </c>
      <c r="D106" s="9">
        <f>C106*25</f>
        <v>310840529.60527104</v>
      </c>
      <c r="F106" s="9"/>
    </row>
    <row r="107" spans="2:6" x14ac:dyDescent="0.5">
      <c r="B107" s="3" t="s">
        <v>57</v>
      </c>
      <c r="C107">
        <f>2.6085*C101</f>
        <v>15002585.723555304</v>
      </c>
      <c r="D107" s="9">
        <f>C107*25</f>
        <v>375064643.08888263</v>
      </c>
      <c r="F107" s="9"/>
    </row>
    <row r="108" spans="2:6" ht="14.7" customHeight="1" thickBot="1" x14ac:dyDescent="0.55000000000000004">
      <c r="B108" s="16" t="s">
        <v>26</v>
      </c>
      <c r="C108" s="12">
        <f>2.6085*C102</f>
        <v>27436206.907766148</v>
      </c>
      <c r="D108" s="13">
        <f>C108*25</f>
        <v>685905172.69415367</v>
      </c>
      <c r="E108" s="12"/>
      <c r="F108" s="13"/>
    </row>
  </sheetData>
  <mergeCells count="30">
    <mergeCell ref="H64:I64"/>
    <mergeCell ref="H50:J50"/>
    <mergeCell ref="H55:J55"/>
    <mergeCell ref="B86:D86"/>
    <mergeCell ref="B104:D104"/>
    <mergeCell ref="B73:F73"/>
    <mergeCell ref="B36:D36"/>
    <mergeCell ref="B94:D94"/>
    <mergeCell ref="B50:D50"/>
    <mergeCell ref="B68:C68"/>
    <mergeCell ref="B64:C64"/>
    <mergeCell ref="B47:C47"/>
    <mergeCell ref="B98:D98"/>
    <mergeCell ref="B72:F72"/>
    <mergeCell ref="H33:I33"/>
    <mergeCell ref="B5:L5"/>
    <mergeCell ref="B63:C63"/>
    <mergeCell ref="B43:D43"/>
    <mergeCell ref="H25:J25"/>
    <mergeCell ref="H6:L6"/>
    <mergeCell ref="H60:I60"/>
    <mergeCell ref="B60:C60"/>
    <mergeCell ref="B55:D55"/>
    <mergeCell ref="H47:I47"/>
    <mergeCell ref="B25:D25"/>
    <mergeCell ref="H43:J43"/>
    <mergeCell ref="B6:F6"/>
    <mergeCell ref="B33:C33"/>
    <mergeCell ref="H36:J36"/>
    <mergeCell ref="H63:I63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B4:N108"/>
  <sheetViews>
    <sheetView tabSelected="1" topLeftCell="A15" zoomScale="70" zoomScaleNormal="70" workbookViewId="0">
      <selection activeCell="M29" sqref="M29"/>
    </sheetView>
  </sheetViews>
  <sheetFormatPr defaultColWidth="39.234375" defaultRowHeight="14.35" x14ac:dyDescent="0.5"/>
  <cols>
    <col min="1" max="1" width="13.52734375" customWidth="1"/>
    <col min="2" max="2" width="15.234375" bestFit="1" customWidth="1"/>
    <col min="3" max="3" width="17.64453125" bestFit="1" customWidth="1"/>
    <col min="4" max="4" width="18.64453125" bestFit="1" customWidth="1"/>
    <col min="5" max="5" width="12.46875" bestFit="1" customWidth="1"/>
    <col min="6" max="6" width="13.5859375" bestFit="1" customWidth="1"/>
    <col min="7" max="7" width="12.46875" customWidth="1"/>
    <col min="8" max="8" width="15.234375" bestFit="1" customWidth="1"/>
    <col min="9" max="9" width="15.703125" bestFit="1" customWidth="1"/>
    <col min="10" max="10" width="18" bestFit="1" customWidth="1"/>
    <col min="11" max="11" width="12.46875" bestFit="1" customWidth="1"/>
    <col min="12" max="12" width="14.5859375" bestFit="1" customWidth="1"/>
    <col min="13" max="14" width="13.41015625" bestFit="1" customWidth="1"/>
    <col min="15" max="15" width="11.76171875" bestFit="1" customWidth="1"/>
  </cols>
  <sheetData>
    <row r="4" spans="2:14" ht="14.7" customHeight="1" thickBot="1" x14ac:dyDescent="0.55000000000000004"/>
    <row r="5" spans="2:14" ht="14.7" customHeight="1" thickBot="1" x14ac:dyDescent="0.55000000000000004">
      <c r="B5" s="29" t="s">
        <v>0</v>
      </c>
      <c r="C5" s="30"/>
      <c r="D5" s="30"/>
      <c r="E5" s="30"/>
      <c r="F5" s="30"/>
      <c r="G5" s="30"/>
      <c r="H5" s="30"/>
      <c r="I5" s="30"/>
      <c r="J5" s="30"/>
      <c r="K5" s="30"/>
      <c r="L5" s="31"/>
    </row>
    <row r="6" spans="2:14" ht="14.7" customHeight="1" thickBot="1" x14ac:dyDescent="0.55000000000000004">
      <c r="B6" s="29" t="s">
        <v>1</v>
      </c>
      <c r="C6" s="30"/>
      <c r="D6" s="30"/>
      <c r="E6" s="30"/>
      <c r="F6" s="31"/>
      <c r="H6" s="29" t="s">
        <v>2</v>
      </c>
      <c r="I6" s="30"/>
      <c r="J6" s="30"/>
      <c r="K6" s="30"/>
      <c r="L6" s="31"/>
    </row>
    <row r="7" spans="2:14" ht="14.7" customHeight="1" thickBot="1" x14ac:dyDescent="0.55000000000000004">
      <c r="B7" s="24" t="s">
        <v>3</v>
      </c>
      <c r="C7" s="18" t="s">
        <v>4</v>
      </c>
      <c r="D7" s="18" t="s">
        <v>5</v>
      </c>
      <c r="E7" s="18" t="s">
        <v>6</v>
      </c>
      <c r="F7" s="19" t="s">
        <v>7</v>
      </c>
      <c r="H7" s="24" t="s">
        <v>3</v>
      </c>
      <c r="I7" s="18" t="s">
        <v>4</v>
      </c>
      <c r="J7" s="18" t="s">
        <v>5</v>
      </c>
      <c r="K7" s="18" t="s">
        <v>6</v>
      </c>
      <c r="L7" s="19" t="s">
        <v>7</v>
      </c>
    </row>
    <row r="8" spans="2:14" x14ac:dyDescent="0.5">
      <c r="B8" s="3" t="s">
        <v>8</v>
      </c>
      <c r="C8" s="6">
        <f>13698 * D27*((0.05*((1.05)^25))/((1.05^25)-1))</f>
        <v>485953.38004242367</v>
      </c>
      <c r="D8" s="6">
        <f>29*D27</f>
        <v>14500</v>
      </c>
      <c r="E8" s="6">
        <f>C8+D8</f>
        <v>500453.38004242367</v>
      </c>
      <c r="F8" s="10">
        <f>E8*25</f>
        <v>12511334.501060592</v>
      </c>
      <c r="H8" s="3" t="s">
        <v>9</v>
      </c>
      <c r="I8" s="39">
        <f>1615 * J27*((0.05*((1.05)^25))/((1.05^25)-1))</f>
        <v>11458.821853825584</v>
      </c>
      <c r="J8" s="39">
        <f>29*J27</f>
        <v>2900</v>
      </c>
      <c r="K8" s="39">
        <f>I8+J8</f>
        <v>14358.821853825584</v>
      </c>
      <c r="L8" s="10">
        <f>K8*25</f>
        <v>358970.54634563962</v>
      </c>
    </row>
    <row r="9" spans="2:14" x14ac:dyDescent="0.5">
      <c r="B9" s="3" t="s">
        <v>10</v>
      </c>
      <c r="C9" s="6">
        <f>13698 * D28*((0.05*((1.05)^25))/((1.05^25)-1))</f>
        <v>1943813.5201696947</v>
      </c>
      <c r="D9" s="6">
        <f>29*D28</f>
        <v>58000</v>
      </c>
      <c r="E9" s="6">
        <f>C9+D9</f>
        <v>2001813.5201696947</v>
      </c>
      <c r="F9" s="10">
        <f>E9*25</f>
        <v>50045338.004242368</v>
      </c>
      <c r="H9" s="3" t="s">
        <v>10</v>
      </c>
      <c r="I9" s="39">
        <f>1615 * J28*((0.05*((1.05)^25))/((1.05^25)-1))</f>
        <v>286470.54634563962</v>
      </c>
      <c r="J9" s="39">
        <f>29*J28</f>
        <v>72500</v>
      </c>
      <c r="K9" s="39">
        <f>I9+J9</f>
        <v>358970.54634563962</v>
      </c>
      <c r="L9" s="10">
        <f>K9*25</f>
        <v>8974263.65864099</v>
      </c>
      <c r="M9" s="7"/>
      <c r="N9" s="6"/>
    </row>
    <row r="10" spans="2:14" x14ac:dyDescent="0.5">
      <c r="B10" s="3" t="s">
        <v>11</v>
      </c>
      <c r="C10" s="6">
        <f>13698 * D29*((0.05*((1.05)^25))/((1.05^25)-1))</f>
        <v>0</v>
      </c>
      <c r="D10" s="6">
        <f>29*D29</f>
        <v>0</v>
      </c>
      <c r="E10" s="6">
        <f>C10+D10</f>
        <v>0</v>
      </c>
      <c r="F10" s="10">
        <f>E10*25</f>
        <v>0</v>
      </c>
      <c r="H10" s="3" t="s">
        <v>11</v>
      </c>
      <c r="I10" s="39">
        <f>1615 * J29*((0.05*((1.05)^25))/((1.05^25)-1))</f>
        <v>0</v>
      </c>
      <c r="J10" s="39">
        <f>29*J29</f>
        <v>0</v>
      </c>
      <c r="K10" s="39">
        <f>I10+J10</f>
        <v>0</v>
      </c>
      <c r="L10" s="10">
        <f>K10*25</f>
        <v>0</v>
      </c>
      <c r="M10" s="7"/>
    </row>
    <row r="11" spans="2:14" ht="14.7" customHeight="1" thickBot="1" x14ac:dyDescent="0.55000000000000004">
      <c r="B11" s="16" t="s">
        <v>12</v>
      </c>
      <c r="C11" s="14">
        <f>13698 * D30*((0.05*((1.05)^25))/((1.05^25)-1))</f>
        <v>0</v>
      </c>
      <c r="D11" s="14">
        <f>29*D30</f>
        <v>0</v>
      </c>
      <c r="E11" s="14">
        <f>C11+D11</f>
        <v>0</v>
      </c>
      <c r="F11" s="15">
        <f>E11*25</f>
        <v>0</v>
      </c>
      <c r="H11" s="16" t="s">
        <v>12</v>
      </c>
      <c r="I11" s="14">
        <f>1615 * J30*((0.05*((1.05)^25))/((1.05^25)-1))</f>
        <v>0</v>
      </c>
      <c r="J11" s="14">
        <f>29*J30</f>
        <v>0</v>
      </c>
      <c r="K11" s="14">
        <f>I11+J11</f>
        <v>0</v>
      </c>
      <c r="L11" s="13">
        <f>K11*25</f>
        <v>0</v>
      </c>
    </row>
    <row r="12" spans="2:14" ht="14.7" customHeight="1" thickBot="1" x14ac:dyDescent="0.55000000000000004">
      <c r="B12" s="24" t="s">
        <v>13</v>
      </c>
      <c r="C12" s="18" t="s">
        <v>4</v>
      </c>
      <c r="D12" s="18" t="s">
        <v>5</v>
      </c>
      <c r="E12" s="18" t="s">
        <v>6</v>
      </c>
      <c r="F12" s="19" t="s">
        <v>7</v>
      </c>
      <c r="H12" s="24" t="s">
        <v>13</v>
      </c>
      <c r="I12" s="18" t="s">
        <v>4</v>
      </c>
      <c r="J12" s="18" t="s">
        <v>5</v>
      </c>
      <c r="K12" s="18" t="s">
        <v>6</v>
      </c>
      <c r="L12" s="19" t="s">
        <v>7</v>
      </c>
    </row>
    <row r="13" spans="2:14" x14ac:dyDescent="0.5">
      <c r="B13" s="3" t="s">
        <v>14</v>
      </c>
      <c r="C13" s="4">
        <f>2490 * D38*((0.05*((1.05)^10))/((1.05^10)-1))</f>
        <v>644932.78332797438</v>
      </c>
      <c r="D13" s="1">
        <f>37.35*D38</f>
        <v>74700</v>
      </c>
      <c r="E13">
        <f>C13+D13</f>
        <v>719632.78332797438</v>
      </c>
      <c r="F13" s="9">
        <f>E13*25</f>
        <v>17990819.583199359</v>
      </c>
      <c r="H13" s="3" t="s">
        <v>14</v>
      </c>
      <c r="I13" s="4">
        <f>2490 * J38*((0.05*((1.05)^10))/((1.05^10)-1))</f>
        <v>644932.78332797438</v>
      </c>
      <c r="J13" s="1">
        <f>37.35*J38</f>
        <v>74700</v>
      </c>
      <c r="K13" s="39">
        <f>I13+J13</f>
        <v>719632.78332797438</v>
      </c>
      <c r="L13" s="10">
        <f>K13*25</f>
        <v>17990819.583199359</v>
      </c>
    </row>
    <row r="14" spans="2:14" x14ac:dyDescent="0.5">
      <c r="B14" s="3" t="s">
        <v>15</v>
      </c>
      <c r="C14" s="4">
        <f>1570 * D39*((0.05*((1.05)^10))/((1.05^10)-1))</f>
        <v>0</v>
      </c>
      <c r="D14" s="1">
        <f>23.55*D39</f>
        <v>0</v>
      </c>
      <c r="E14">
        <f>C14+D14</f>
        <v>0</v>
      </c>
      <c r="F14" s="9">
        <f>E14*25</f>
        <v>0</v>
      </c>
      <c r="H14" s="3" t="s">
        <v>15</v>
      </c>
      <c r="I14" s="4">
        <f>1570 * J39*((0.05*((1.05)^10))/((1.05^10)-1))</f>
        <v>0</v>
      </c>
      <c r="J14" s="1">
        <f>23.55*J39</f>
        <v>0</v>
      </c>
      <c r="K14" s="38">
        <f>I14+J14</f>
        <v>0</v>
      </c>
      <c r="L14" s="10">
        <f>K14*25</f>
        <v>0</v>
      </c>
    </row>
    <row r="15" spans="2:14" ht="14.7" customHeight="1" thickBot="1" x14ac:dyDescent="0.55000000000000004">
      <c r="B15" s="16" t="s">
        <v>16</v>
      </c>
      <c r="C15" s="5">
        <f>1190 * D40*((0.05*((1.05)^10))/((1.05^10)-1))</f>
        <v>0</v>
      </c>
      <c r="D15" s="2">
        <f>17.85*D40</f>
        <v>0</v>
      </c>
      <c r="E15" s="12">
        <f>C15+D15</f>
        <v>0</v>
      </c>
      <c r="F15" s="13">
        <f>E15*25</f>
        <v>0</v>
      </c>
      <c r="H15" s="16" t="s">
        <v>16</v>
      </c>
      <c r="I15" s="5">
        <f>1190 * J40*((0.05*((1.05)^10))/((1.05^10)-1))</f>
        <v>0</v>
      </c>
      <c r="J15" s="2">
        <f>17.85*J40</f>
        <v>0</v>
      </c>
      <c r="K15" s="12">
        <f>I15+J15</f>
        <v>0</v>
      </c>
      <c r="L15" s="15">
        <f>K15*25</f>
        <v>0</v>
      </c>
    </row>
    <row r="16" spans="2:14" ht="14.7" customHeight="1" thickBot="1" x14ac:dyDescent="0.55000000000000004">
      <c r="B16" s="24" t="s">
        <v>17</v>
      </c>
      <c r="C16" s="18" t="s">
        <v>4</v>
      </c>
      <c r="D16" s="18" t="s">
        <v>5</v>
      </c>
      <c r="E16" s="18" t="s">
        <v>6</v>
      </c>
      <c r="F16" s="19" t="s">
        <v>7</v>
      </c>
      <c r="H16" s="24" t="s">
        <v>17</v>
      </c>
      <c r="I16" s="18" t="s">
        <v>4</v>
      </c>
      <c r="J16" s="18" t="s">
        <v>5</v>
      </c>
      <c r="K16" s="18" t="s">
        <v>6</v>
      </c>
      <c r="L16" s="19" t="s">
        <v>7</v>
      </c>
    </row>
    <row r="17" spans="2:14" ht="14.7" customHeight="1" thickBot="1" x14ac:dyDescent="0.55000000000000004">
      <c r="B17" s="16" t="s">
        <v>18</v>
      </c>
      <c r="C17" s="12">
        <v>23247.753972747571</v>
      </c>
      <c r="D17" s="12">
        <v>28971.84</v>
      </c>
      <c r="E17" s="12">
        <f>D17+C17</f>
        <v>52219.593972747571</v>
      </c>
      <c r="F17" s="13">
        <f>E17*25</f>
        <v>1305489.8493186892</v>
      </c>
      <c r="H17" s="16" t="s">
        <v>18</v>
      </c>
      <c r="I17" s="12">
        <v>23247.753972747571</v>
      </c>
      <c r="J17" s="12">
        <v>28971.84</v>
      </c>
      <c r="K17" s="12">
        <f>J17+I17</f>
        <v>52219.593972747571</v>
      </c>
      <c r="L17" s="15">
        <f>K17*25</f>
        <v>1305489.8493186892</v>
      </c>
    </row>
    <row r="18" spans="2:14" ht="14.7" customHeight="1" thickBot="1" x14ac:dyDescent="0.55000000000000004">
      <c r="B18" s="24" t="s">
        <v>19</v>
      </c>
      <c r="C18" s="18" t="s">
        <v>4</v>
      </c>
      <c r="D18" s="18" t="s">
        <v>5</v>
      </c>
      <c r="E18" s="18" t="s">
        <v>6</v>
      </c>
      <c r="F18" s="19" t="s">
        <v>7</v>
      </c>
      <c r="H18" s="24" t="s">
        <v>20</v>
      </c>
      <c r="I18" s="18" t="s">
        <v>4</v>
      </c>
      <c r="J18" s="18" t="s">
        <v>5</v>
      </c>
      <c r="K18" s="18" t="s">
        <v>6</v>
      </c>
      <c r="L18" s="19" t="s">
        <v>7</v>
      </c>
    </row>
    <row r="19" spans="2:14" ht="14.7" customHeight="1" thickBot="1" x14ac:dyDescent="0.55000000000000004">
      <c r="B19" s="11"/>
      <c r="C19" s="12">
        <f>C48*300*((0.05*((1.05)^20))/((1.05^20)-1))</f>
        <v>253727.06069696593</v>
      </c>
      <c r="D19" s="12">
        <v>0</v>
      </c>
      <c r="E19" s="12">
        <f>D19+C19</f>
        <v>253727.06069696593</v>
      </c>
      <c r="F19" s="13">
        <f>E19*25</f>
        <v>6343176.5174241485</v>
      </c>
      <c r="H19" s="11"/>
      <c r="I19" s="14">
        <f>(I48/10)*3000*((0.05*((1.05)^20))/((1.05^20)-1))</f>
        <v>82088.166696077213</v>
      </c>
      <c r="J19" s="12">
        <v>0</v>
      </c>
      <c r="K19" s="12">
        <f>J19+I19</f>
        <v>82088.166696077213</v>
      </c>
      <c r="L19" s="15">
        <f>K19*25</f>
        <v>2052204.1674019303</v>
      </c>
    </row>
    <row r="20" spans="2:14" ht="14.7" customHeight="1" thickBot="1" x14ac:dyDescent="0.55000000000000004">
      <c r="B20" s="24" t="s">
        <v>21</v>
      </c>
      <c r="C20" s="18" t="s">
        <v>4</v>
      </c>
      <c r="D20" s="18" t="s">
        <v>5</v>
      </c>
      <c r="E20" s="18" t="s">
        <v>6</v>
      </c>
      <c r="F20" s="19" t="s">
        <v>7</v>
      </c>
      <c r="H20" s="24" t="s">
        <v>21</v>
      </c>
      <c r="I20" s="18" t="s">
        <v>4</v>
      </c>
      <c r="J20" s="18" t="s">
        <v>5</v>
      </c>
      <c r="K20" s="18" t="s">
        <v>6</v>
      </c>
      <c r="L20" s="19" t="s">
        <v>7</v>
      </c>
    </row>
    <row r="21" spans="2:14" ht="14.7" customHeight="1" thickBot="1" x14ac:dyDescent="0.55000000000000004">
      <c r="B21" s="11"/>
      <c r="C21" s="12">
        <v>0</v>
      </c>
      <c r="D21" s="12">
        <v>0</v>
      </c>
      <c r="E21" s="12">
        <f>C21+D21</f>
        <v>0</v>
      </c>
      <c r="F21" s="13">
        <f>E21*25</f>
        <v>0</v>
      </c>
      <c r="H21" s="11"/>
      <c r="I21" s="12">
        <v>271.70140022768072</v>
      </c>
      <c r="J21" s="12">
        <v>38</v>
      </c>
      <c r="K21" s="12">
        <f>J21+I21</f>
        <v>309.70140022768072</v>
      </c>
      <c r="L21" s="13">
        <f>K21*25</f>
        <v>7742.5350056920179</v>
      </c>
    </row>
    <row r="22" spans="2:14" ht="14.7" customHeight="1" thickBot="1" x14ac:dyDescent="0.55000000000000004">
      <c r="B22" s="17"/>
      <c r="C22" s="18" t="s">
        <v>4</v>
      </c>
      <c r="D22" s="18" t="s">
        <v>5</v>
      </c>
      <c r="E22" s="18" t="s">
        <v>6</v>
      </c>
      <c r="F22" s="19" t="s">
        <v>7</v>
      </c>
      <c r="H22" s="17"/>
      <c r="I22" s="18" t="s">
        <v>4</v>
      </c>
      <c r="J22" s="18" t="s">
        <v>5</v>
      </c>
      <c r="K22" s="18" t="s">
        <v>6</v>
      </c>
      <c r="L22" s="19" t="s">
        <v>7</v>
      </c>
    </row>
    <row r="23" spans="2:14" ht="14.7" customHeight="1" thickBot="1" x14ac:dyDescent="0.55000000000000004">
      <c r="B23" s="24" t="s">
        <v>22</v>
      </c>
      <c r="C23" s="12">
        <v>3247439.3774490971</v>
      </c>
      <c r="D23" s="12">
        <v>176171.84</v>
      </c>
      <c r="E23" s="25">
        <v>3423611.217449096</v>
      </c>
      <c r="F23" s="13">
        <f>D23*25</f>
        <v>4404296</v>
      </c>
      <c r="H23" s="24" t="s">
        <v>22</v>
      </c>
      <c r="I23" s="14">
        <v>1048469.773596492</v>
      </c>
      <c r="J23" s="14">
        <v>179109.84</v>
      </c>
      <c r="K23" s="14">
        <v>4062917.2247025901</v>
      </c>
      <c r="L23" s="15">
        <f>K23*25</f>
        <v>101572930.61756475</v>
      </c>
      <c r="M23" s="6"/>
    </row>
    <row r="24" spans="2:14" ht="14.7" customHeight="1" thickBot="1" x14ac:dyDescent="0.55000000000000004">
      <c r="B24" s="8"/>
      <c r="F24" s="9"/>
      <c r="H24" s="8"/>
      <c r="I24" s="39"/>
      <c r="J24" s="39"/>
      <c r="K24" s="39"/>
      <c r="L24" s="10"/>
      <c r="M24" s="6"/>
      <c r="N24" s="7"/>
    </row>
    <row r="25" spans="2:14" ht="14.7" customHeight="1" thickBot="1" x14ac:dyDescent="0.55000000000000004">
      <c r="B25" s="29" t="s">
        <v>3</v>
      </c>
      <c r="C25" s="30"/>
      <c r="D25" s="31"/>
      <c r="F25" s="9"/>
      <c r="H25" s="29" t="s">
        <v>3</v>
      </c>
      <c r="I25" s="30"/>
      <c r="J25" s="31"/>
      <c r="K25" s="38"/>
      <c r="L25" s="10"/>
      <c r="M25" s="6"/>
    </row>
    <row r="26" spans="2:14" ht="14.7" customHeight="1" thickBot="1" x14ac:dyDescent="0.55000000000000004">
      <c r="B26" s="17" t="s">
        <v>23</v>
      </c>
      <c r="C26" s="18" t="s">
        <v>24</v>
      </c>
      <c r="D26" s="19" t="s">
        <v>25</v>
      </c>
      <c r="F26" s="9"/>
      <c r="H26" s="17" t="s">
        <v>23</v>
      </c>
      <c r="I26" s="18" t="s">
        <v>24</v>
      </c>
      <c r="J26" s="19" t="s">
        <v>25</v>
      </c>
      <c r="K26" s="38"/>
      <c r="L26" s="10"/>
      <c r="M26" s="6"/>
    </row>
    <row r="27" spans="2:14" x14ac:dyDescent="0.5">
      <c r="B27" s="23" t="s">
        <v>9</v>
      </c>
      <c r="C27">
        <v>5</v>
      </c>
      <c r="D27" s="9">
        <v>500</v>
      </c>
      <c r="F27" s="9"/>
      <c r="H27" s="8" t="s">
        <v>9</v>
      </c>
      <c r="I27" s="38">
        <v>1</v>
      </c>
      <c r="J27" s="9">
        <v>100</v>
      </c>
      <c r="K27" s="38"/>
      <c r="L27" s="9"/>
    </row>
    <row r="28" spans="2:14" x14ac:dyDescent="0.5">
      <c r="B28" s="3" t="s">
        <v>10</v>
      </c>
      <c r="C28">
        <v>4</v>
      </c>
      <c r="D28" s="9">
        <v>2000</v>
      </c>
      <c r="F28" s="9"/>
      <c r="H28" s="8" t="s">
        <v>10</v>
      </c>
      <c r="I28" s="38">
        <v>5</v>
      </c>
      <c r="J28" s="9">
        <v>2500</v>
      </c>
      <c r="K28" s="38"/>
      <c r="L28" s="9"/>
    </row>
    <row r="29" spans="2:14" x14ac:dyDescent="0.5">
      <c r="B29" s="3" t="s">
        <v>11</v>
      </c>
      <c r="C29">
        <v>0</v>
      </c>
      <c r="D29" s="9">
        <v>0</v>
      </c>
      <c r="F29" s="9"/>
      <c r="H29" s="8" t="s">
        <v>11</v>
      </c>
      <c r="I29" s="38">
        <v>0</v>
      </c>
      <c r="J29" s="9">
        <v>0</v>
      </c>
      <c r="K29" s="38"/>
      <c r="L29" s="9"/>
    </row>
    <row r="30" spans="2:14" x14ac:dyDescent="0.5">
      <c r="B30" s="3" t="s">
        <v>12</v>
      </c>
      <c r="C30">
        <v>0</v>
      </c>
      <c r="D30" s="9">
        <v>0</v>
      </c>
      <c r="F30" s="9"/>
      <c r="H30" s="8" t="s">
        <v>12</v>
      </c>
      <c r="I30" s="38">
        <v>0</v>
      </c>
      <c r="J30" s="9">
        <v>0</v>
      </c>
      <c r="K30" s="38"/>
      <c r="L30" s="9"/>
    </row>
    <row r="31" spans="2:14" ht="14.7" customHeight="1" thickBot="1" x14ac:dyDescent="0.55000000000000004">
      <c r="B31" s="16" t="s">
        <v>26</v>
      </c>
      <c r="C31" s="12">
        <v>9</v>
      </c>
      <c r="D31" s="13">
        <v>2500</v>
      </c>
      <c r="F31" s="9"/>
      <c r="H31" s="11" t="s">
        <v>26</v>
      </c>
      <c r="I31" s="12">
        <v>6</v>
      </c>
      <c r="J31" s="13">
        <v>2600</v>
      </c>
      <c r="K31" s="38"/>
      <c r="L31" s="9"/>
    </row>
    <row r="32" spans="2:14" ht="14.7" customHeight="1" thickBot="1" x14ac:dyDescent="0.55000000000000004">
      <c r="B32" s="8"/>
      <c r="F32" s="9"/>
      <c r="H32" s="8"/>
      <c r="I32" s="38"/>
      <c r="J32" s="38"/>
      <c r="K32" s="38"/>
      <c r="L32" s="9"/>
    </row>
    <row r="33" spans="2:12" ht="14.7" customHeight="1" thickBot="1" x14ac:dyDescent="0.55000000000000004">
      <c r="B33" s="29" t="s">
        <v>21</v>
      </c>
      <c r="C33" s="31"/>
      <c r="F33" s="9"/>
      <c r="H33" s="29" t="s">
        <v>21</v>
      </c>
      <c r="I33" s="31"/>
      <c r="J33" s="38"/>
      <c r="K33" s="38"/>
      <c r="L33" s="9"/>
    </row>
    <row r="34" spans="2:12" ht="14.7" customHeight="1" thickBot="1" x14ac:dyDescent="0.55000000000000004">
      <c r="B34" s="24" t="s">
        <v>25</v>
      </c>
      <c r="C34" s="13">
        <v>0</v>
      </c>
      <c r="F34" s="9"/>
      <c r="H34" s="24" t="s">
        <v>25</v>
      </c>
      <c r="I34" s="13">
        <v>2</v>
      </c>
      <c r="J34" s="38"/>
      <c r="K34" s="38"/>
      <c r="L34" s="9"/>
    </row>
    <row r="35" spans="2:12" ht="14.7" customHeight="1" thickBot="1" x14ac:dyDescent="0.55000000000000004">
      <c r="B35" s="8"/>
      <c r="F35" s="9"/>
      <c r="H35" s="8"/>
      <c r="I35" s="38"/>
      <c r="J35" s="38"/>
      <c r="K35" s="38"/>
      <c r="L35" s="9"/>
    </row>
    <row r="36" spans="2:12" ht="14.7" customHeight="1" thickBot="1" x14ac:dyDescent="0.55000000000000004">
      <c r="B36" s="29" t="s">
        <v>13</v>
      </c>
      <c r="C36" s="30"/>
      <c r="D36" s="31"/>
      <c r="F36" s="9"/>
      <c r="H36" s="29" t="s">
        <v>13</v>
      </c>
      <c r="I36" s="30"/>
      <c r="J36" s="31"/>
      <c r="K36" s="38"/>
      <c r="L36" s="9"/>
    </row>
    <row r="37" spans="2:12" ht="14.7" customHeight="1" thickBot="1" x14ac:dyDescent="0.55000000000000004">
      <c r="B37" s="24" t="s">
        <v>23</v>
      </c>
      <c r="C37" s="18" t="s">
        <v>24</v>
      </c>
      <c r="D37" s="19" t="s">
        <v>25</v>
      </c>
      <c r="F37" s="9"/>
      <c r="H37" s="17" t="s">
        <v>23</v>
      </c>
      <c r="I37" s="18" t="s">
        <v>24</v>
      </c>
      <c r="J37" s="19" t="s">
        <v>25</v>
      </c>
      <c r="K37" s="38"/>
      <c r="L37" s="9"/>
    </row>
    <row r="38" spans="2:12" x14ac:dyDescent="0.5">
      <c r="B38" s="23" t="s">
        <v>14</v>
      </c>
      <c r="C38">
        <v>2</v>
      </c>
      <c r="D38" s="9">
        <v>2000</v>
      </c>
      <c r="F38" s="9"/>
      <c r="H38" s="23" t="s">
        <v>14</v>
      </c>
      <c r="I38" s="38">
        <v>2</v>
      </c>
      <c r="J38" s="9">
        <v>2000</v>
      </c>
      <c r="K38" s="38"/>
      <c r="L38" s="9"/>
    </row>
    <row r="39" spans="2:12" x14ac:dyDescent="0.5">
      <c r="B39" s="3" t="s">
        <v>15</v>
      </c>
      <c r="C39">
        <v>0</v>
      </c>
      <c r="D39" s="9">
        <v>0</v>
      </c>
      <c r="F39" s="9"/>
      <c r="H39" s="3" t="s">
        <v>15</v>
      </c>
      <c r="I39" s="38">
        <v>0</v>
      </c>
      <c r="J39" s="9">
        <v>0</v>
      </c>
      <c r="K39" s="38"/>
      <c r="L39" s="9"/>
    </row>
    <row r="40" spans="2:12" x14ac:dyDescent="0.5">
      <c r="B40" s="3" t="s">
        <v>16</v>
      </c>
      <c r="C40">
        <v>0</v>
      </c>
      <c r="D40" s="9">
        <v>0</v>
      </c>
      <c r="F40" s="9"/>
      <c r="H40" s="3" t="s">
        <v>16</v>
      </c>
      <c r="I40" s="38">
        <v>0</v>
      </c>
      <c r="J40" s="9">
        <v>0</v>
      </c>
      <c r="K40" s="38"/>
      <c r="L40" s="9"/>
    </row>
    <row r="41" spans="2:12" ht="14.7" customHeight="1" thickBot="1" x14ac:dyDescent="0.55000000000000004">
      <c r="B41" s="16" t="s">
        <v>26</v>
      </c>
      <c r="C41" s="12">
        <v>2</v>
      </c>
      <c r="D41" s="13">
        <v>2000</v>
      </c>
      <c r="F41" s="9"/>
      <c r="H41" s="16" t="s">
        <v>26</v>
      </c>
      <c r="I41" s="12">
        <v>2</v>
      </c>
      <c r="J41" s="13">
        <v>2000</v>
      </c>
      <c r="K41" s="38"/>
      <c r="L41" s="9"/>
    </row>
    <row r="42" spans="2:12" ht="14.7" customHeight="1" thickBot="1" x14ac:dyDescent="0.55000000000000004">
      <c r="B42" s="8"/>
      <c r="F42" s="9"/>
      <c r="H42" s="8"/>
      <c r="I42" s="38"/>
      <c r="J42" s="38"/>
      <c r="K42" s="38"/>
      <c r="L42" s="9"/>
    </row>
    <row r="43" spans="2:12" ht="14.7" customHeight="1" thickBot="1" x14ac:dyDescent="0.55000000000000004">
      <c r="B43" s="29" t="s">
        <v>27</v>
      </c>
      <c r="C43" s="30"/>
      <c r="D43" s="31"/>
      <c r="F43" s="9"/>
      <c r="H43" s="29" t="s">
        <v>27</v>
      </c>
      <c r="I43" s="30"/>
      <c r="J43" s="31"/>
      <c r="K43" s="38"/>
      <c r="L43" s="9"/>
    </row>
    <row r="44" spans="2:12" ht="14.7" customHeight="1" thickBot="1" x14ac:dyDescent="0.55000000000000004">
      <c r="B44" s="24" t="s">
        <v>23</v>
      </c>
      <c r="C44" s="18" t="s">
        <v>24</v>
      </c>
      <c r="D44" s="19" t="s">
        <v>25</v>
      </c>
      <c r="F44" s="9"/>
      <c r="H44" s="17" t="s">
        <v>23</v>
      </c>
      <c r="I44" s="18" t="s">
        <v>24</v>
      </c>
      <c r="J44" s="19" t="s">
        <v>25</v>
      </c>
      <c r="K44" s="38"/>
      <c r="L44" s="9"/>
    </row>
    <row r="45" spans="2:12" ht="14.7" customHeight="1" thickBot="1" x14ac:dyDescent="0.55000000000000004">
      <c r="B45" s="24" t="s">
        <v>18</v>
      </c>
      <c r="C45" s="12">
        <v>103</v>
      </c>
      <c r="D45" s="13">
        <v>1810.74</v>
      </c>
      <c r="F45" s="9"/>
      <c r="H45" s="24" t="s">
        <v>18</v>
      </c>
      <c r="I45" s="12">
        <v>103</v>
      </c>
      <c r="J45" s="13">
        <v>1810.74</v>
      </c>
      <c r="K45" s="38"/>
      <c r="L45" s="9"/>
    </row>
    <row r="46" spans="2:12" ht="14.7" customHeight="1" thickBot="1" x14ac:dyDescent="0.55000000000000004">
      <c r="B46" s="8"/>
      <c r="F46" s="9"/>
      <c r="H46" s="8"/>
      <c r="I46" s="38"/>
      <c r="J46" s="38"/>
      <c r="K46" s="38"/>
      <c r="L46" s="9"/>
    </row>
    <row r="47" spans="2:12" ht="14.7" customHeight="1" thickBot="1" x14ac:dyDescent="0.55000000000000004">
      <c r="B47" s="29" t="s">
        <v>28</v>
      </c>
      <c r="C47" s="31"/>
      <c r="F47" s="9"/>
      <c r="H47" s="29" t="s">
        <v>28</v>
      </c>
      <c r="I47" s="31"/>
      <c r="J47" s="38"/>
      <c r="K47" s="38"/>
      <c r="L47" s="9"/>
    </row>
    <row r="48" spans="2:12" ht="14.7" customHeight="1" thickBot="1" x14ac:dyDescent="0.55000000000000004">
      <c r="B48" s="11" t="s">
        <v>29</v>
      </c>
      <c r="C48" s="13">
        <v>10540</v>
      </c>
      <c r="F48" s="9"/>
      <c r="H48" s="24" t="s">
        <v>29</v>
      </c>
      <c r="I48" s="13">
        <v>3410</v>
      </c>
      <c r="J48" s="38"/>
      <c r="K48" s="38"/>
      <c r="L48" s="9"/>
    </row>
    <row r="49" spans="2:12" ht="14.7" customHeight="1" thickBot="1" x14ac:dyDescent="0.55000000000000004">
      <c r="B49" s="8"/>
      <c r="F49" s="9"/>
      <c r="H49" s="8"/>
      <c r="I49" s="38"/>
      <c r="J49" s="38"/>
      <c r="K49" s="38"/>
      <c r="L49" s="9"/>
    </row>
    <row r="50" spans="2:12" ht="14.7" customHeight="1" thickBot="1" x14ac:dyDescent="0.55000000000000004">
      <c r="B50" s="29" t="s">
        <v>30</v>
      </c>
      <c r="C50" s="30"/>
      <c r="D50" s="31"/>
      <c r="F50" s="9"/>
      <c r="H50" s="35" t="s">
        <v>30</v>
      </c>
      <c r="I50" s="36"/>
      <c r="J50" s="37"/>
      <c r="K50" s="38"/>
      <c r="L50" s="9"/>
    </row>
    <row r="51" spans="2:12" ht="14.7" customHeight="1" thickBot="1" x14ac:dyDescent="0.55000000000000004">
      <c r="B51" s="11" t="s">
        <v>31</v>
      </c>
      <c r="C51" s="12" t="s">
        <v>32</v>
      </c>
      <c r="D51" s="13" t="s">
        <v>33</v>
      </c>
      <c r="F51" s="9"/>
      <c r="H51" s="24" t="s">
        <v>31</v>
      </c>
      <c r="I51" s="18" t="s">
        <v>61</v>
      </c>
      <c r="J51" s="21" t="s">
        <v>33</v>
      </c>
      <c r="K51" s="38"/>
      <c r="L51" s="9"/>
    </row>
    <row r="52" spans="2:12" ht="14.7" customHeight="1" x14ac:dyDescent="0.5">
      <c r="B52" s="23" t="s">
        <v>34</v>
      </c>
      <c r="C52" s="26">
        <v>3290552.79431355</v>
      </c>
      <c r="D52" s="27">
        <f>C52*25</f>
        <v>82263819.85783875</v>
      </c>
      <c r="F52" s="9"/>
      <c r="H52" s="3" t="s">
        <v>34</v>
      </c>
      <c r="I52" s="40">
        <v>1982927.30351342</v>
      </c>
      <c r="J52" s="27">
        <f>I52*25</f>
        <v>49573182.587835498</v>
      </c>
      <c r="K52" s="38"/>
      <c r="L52" s="9"/>
    </row>
    <row r="53" spans="2:12" ht="14.7" customHeight="1" thickBot="1" x14ac:dyDescent="0.55000000000000004">
      <c r="B53" s="16" t="s">
        <v>35</v>
      </c>
      <c r="C53" s="25">
        <v>300053.02667439787</v>
      </c>
      <c r="D53" s="28">
        <f>C53*25</f>
        <v>7501325.6668599471</v>
      </c>
      <c r="F53" s="9"/>
      <c r="H53" s="16" t="s">
        <v>35</v>
      </c>
      <c r="I53" s="25">
        <v>172722.08243433599</v>
      </c>
      <c r="J53" s="28">
        <f>I53*25</f>
        <v>4318052.0608583996</v>
      </c>
      <c r="K53" s="38"/>
      <c r="L53" s="9"/>
    </row>
    <row r="54" spans="2:12" ht="14.7" customHeight="1" thickBot="1" x14ac:dyDescent="0.55000000000000004">
      <c r="B54" s="8"/>
      <c r="F54" s="9"/>
      <c r="H54" s="8"/>
      <c r="I54" s="39"/>
      <c r="J54" s="10"/>
      <c r="K54" s="38"/>
      <c r="L54" s="9"/>
    </row>
    <row r="55" spans="2:12" ht="14.7" customHeight="1" thickBot="1" x14ac:dyDescent="0.55000000000000004">
      <c r="B55" s="29" t="s">
        <v>36</v>
      </c>
      <c r="C55" s="30"/>
      <c r="D55" s="31"/>
      <c r="F55" s="9"/>
      <c r="H55" s="35" t="s">
        <v>36</v>
      </c>
      <c r="I55" s="36"/>
      <c r="J55" s="37"/>
      <c r="K55" s="38"/>
      <c r="L55" s="9"/>
    </row>
    <row r="56" spans="2:12" ht="14.7" customHeight="1" thickBot="1" x14ac:dyDescent="0.55000000000000004">
      <c r="B56" s="11" t="s">
        <v>31</v>
      </c>
      <c r="C56" s="12" t="s">
        <v>32</v>
      </c>
      <c r="D56" s="13" t="s">
        <v>33</v>
      </c>
      <c r="F56" s="9"/>
      <c r="H56" s="24" t="s">
        <v>31</v>
      </c>
      <c r="I56" s="20">
        <v>538572.847867843</v>
      </c>
      <c r="J56" s="21" t="s">
        <v>33</v>
      </c>
      <c r="K56" s="38"/>
      <c r="L56" s="9"/>
    </row>
    <row r="57" spans="2:12" ht="14.7" customHeight="1" thickBot="1" x14ac:dyDescent="0.55000000000000004">
      <c r="B57" s="23" t="s">
        <v>34</v>
      </c>
      <c r="C57">
        <v>893730.38857899106</v>
      </c>
      <c r="D57" s="9">
        <f>C57*25</f>
        <v>22343259.714474775</v>
      </c>
      <c r="F57" s="9"/>
      <c r="H57" s="16" t="s">
        <v>34</v>
      </c>
      <c r="I57" s="14">
        <v>69208.063435105811</v>
      </c>
      <c r="J57" s="15">
        <f>I57*25</f>
        <v>1730201.5858776453</v>
      </c>
      <c r="K57" s="38"/>
      <c r="L57" s="9"/>
    </row>
    <row r="58" spans="2:12" ht="14.7" customHeight="1" thickBot="1" x14ac:dyDescent="0.55000000000000004">
      <c r="B58" s="16" t="s">
        <v>35</v>
      </c>
      <c r="C58" s="12">
        <v>122205.883788108</v>
      </c>
      <c r="D58" s="13">
        <f>C58*25</f>
        <v>3055147.0947026997</v>
      </c>
      <c r="F58" s="9"/>
      <c r="H58" s="8" t="s">
        <v>35</v>
      </c>
      <c r="I58" s="12">
        <v>172722.08243433599</v>
      </c>
      <c r="J58" s="38">
        <f>I58*25</f>
        <v>4318052.0608583996</v>
      </c>
      <c r="K58" s="38"/>
      <c r="L58" s="9"/>
    </row>
    <row r="59" spans="2:12" ht="14.7" customHeight="1" thickBot="1" x14ac:dyDescent="0.55000000000000004">
      <c r="B59" s="8"/>
      <c r="F59" s="9"/>
      <c r="H59" s="8"/>
      <c r="I59" s="38"/>
      <c r="J59" s="38"/>
      <c r="K59" s="38"/>
      <c r="L59" s="9"/>
    </row>
    <row r="60" spans="2:12" ht="14.7" customHeight="1" thickBot="1" x14ac:dyDescent="0.55000000000000004">
      <c r="B60" s="29" t="s">
        <v>37</v>
      </c>
      <c r="C60" s="31"/>
      <c r="F60" s="9"/>
      <c r="H60" s="29" t="s">
        <v>38</v>
      </c>
      <c r="I60" s="31"/>
      <c r="J60" s="38"/>
      <c r="K60" s="38"/>
      <c r="L60" s="9"/>
    </row>
    <row r="61" spans="2:12" ht="14.7" customHeight="1" thickBot="1" x14ac:dyDescent="0.55000000000000004">
      <c r="B61" s="24" t="s">
        <v>39</v>
      </c>
      <c r="C61" s="13">
        <v>55889.999999999898</v>
      </c>
      <c r="F61" s="9"/>
      <c r="H61" s="24" t="s">
        <v>39</v>
      </c>
      <c r="I61" s="13">
        <v>30609.615672681</v>
      </c>
      <c r="J61" s="38"/>
      <c r="K61" s="38"/>
      <c r="L61" s="9"/>
    </row>
    <row r="62" spans="2:12" ht="14.7" customHeight="1" thickBot="1" x14ac:dyDescent="0.55000000000000004">
      <c r="B62" s="8"/>
      <c r="F62" s="9"/>
      <c r="H62" s="8"/>
      <c r="I62" s="38"/>
      <c r="J62" s="38"/>
      <c r="K62" s="38"/>
      <c r="L62" s="9"/>
    </row>
    <row r="63" spans="2:12" ht="14.7" customHeight="1" thickBot="1" x14ac:dyDescent="0.55000000000000004">
      <c r="B63" s="29" t="s">
        <v>40</v>
      </c>
      <c r="C63" s="31"/>
      <c r="F63" s="9"/>
      <c r="H63" s="29" t="s">
        <v>40</v>
      </c>
      <c r="I63" s="31"/>
      <c r="J63" s="38"/>
      <c r="K63" s="38"/>
      <c r="L63" s="9"/>
    </row>
    <row r="64" spans="2:12" ht="14.7" customHeight="1" thickBot="1" x14ac:dyDescent="0.55000000000000004">
      <c r="B64" s="29">
        <f>E23/B70</f>
        <v>0.68214199311780777</v>
      </c>
      <c r="C64" s="31"/>
      <c r="F64" s="9"/>
      <c r="H64" s="29">
        <f>K23/B70</f>
        <v>0.80952137304781591</v>
      </c>
      <c r="I64" s="31"/>
      <c r="J64" s="38"/>
      <c r="K64" s="38"/>
      <c r="L64" s="9"/>
    </row>
    <row r="65" spans="2:12" x14ac:dyDescent="0.5">
      <c r="B65" s="8"/>
      <c r="F65" s="9"/>
      <c r="H65" s="8"/>
      <c r="I65" s="38"/>
      <c r="J65" s="38"/>
      <c r="K65" s="38"/>
      <c r="L65" s="9"/>
    </row>
    <row r="66" spans="2:12" ht="14.7" customHeight="1" thickBot="1" x14ac:dyDescent="0.55000000000000004">
      <c r="B66" s="11"/>
      <c r="C66" s="12"/>
      <c r="D66" s="12"/>
      <c r="E66" s="12"/>
      <c r="F66" s="13"/>
      <c r="G66" s="12"/>
      <c r="H66" s="11"/>
      <c r="I66" s="12"/>
      <c r="J66" s="12"/>
      <c r="K66" s="12"/>
      <c r="L66" s="13"/>
    </row>
    <row r="67" spans="2:12" ht="14.7" customHeight="1" thickBot="1" x14ac:dyDescent="0.55000000000000004">
      <c r="B67" s="11"/>
      <c r="C67" s="12"/>
      <c r="L67" s="9"/>
    </row>
    <row r="68" spans="2:12" ht="14.7" customHeight="1" thickBot="1" x14ac:dyDescent="0.55000000000000004">
      <c r="B68" s="32" t="s">
        <v>41</v>
      </c>
      <c r="C68" s="33"/>
      <c r="L68" s="9"/>
    </row>
    <row r="69" spans="2:12" ht="14.7" customHeight="1" thickBot="1" x14ac:dyDescent="0.55000000000000004">
      <c r="B69" s="17" t="s">
        <v>42</v>
      </c>
      <c r="C69" s="19" t="s">
        <v>43</v>
      </c>
      <c r="L69" s="9"/>
    </row>
    <row r="70" spans="2:12" ht="14.7" customHeight="1" thickBot="1" x14ac:dyDescent="0.55000000000000004">
      <c r="B70" s="11">
        <f>C108</f>
        <v>5018912.8539075721</v>
      </c>
      <c r="C70" s="13">
        <f>D108</f>
        <v>125472821.3476893</v>
      </c>
      <c r="D70" s="12"/>
      <c r="E70" s="12"/>
      <c r="F70" s="12"/>
      <c r="G70" s="12"/>
      <c r="H70" s="12"/>
      <c r="I70" s="12"/>
      <c r="J70" s="12"/>
      <c r="K70" s="12"/>
      <c r="L70" s="13"/>
    </row>
    <row r="71" spans="2:12" ht="14.7" customHeight="1" thickBot="1" x14ac:dyDescent="0.55000000000000004"/>
    <row r="72" spans="2:12" ht="14.7" customHeight="1" thickBot="1" x14ac:dyDescent="0.55000000000000004">
      <c r="B72" s="29" t="s">
        <v>44</v>
      </c>
      <c r="C72" s="30"/>
      <c r="D72" s="30"/>
      <c r="E72" s="30"/>
      <c r="F72" s="31"/>
    </row>
    <row r="73" spans="2:12" ht="14.7" customHeight="1" thickBot="1" x14ac:dyDescent="0.55000000000000004">
      <c r="B73" s="29" t="s">
        <v>45</v>
      </c>
      <c r="C73" s="30"/>
      <c r="D73" s="30"/>
      <c r="E73" s="30"/>
      <c r="F73" s="31"/>
    </row>
    <row r="74" spans="2:12" ht="14.7" customHeight="1" thickBot="1" x14ac:dyDescent="0.55000000000000004">
      <c r="B74" s="24" t="s">
        <v>46</v>
      </c>
      <c r="C74" s="18" t="s">
        <v>4</v>
      </c>
      <c r="D74" s="18" t="s">
        <v>5</v>
      </c>
      <c r="E74" s="18" t="s">
        <v>6</v>
      </c>
      <c r="F74" s="19" t="s">
        <v>7</v>
      </c>
    </row>
    <row r="75" spans="2:12" x14ac:dyDescent="0.5">
      <c r="B75" s="23" t="s">
        <v>9</v>
      </c>
      <c r="C75">
        <v>51085.76925544531</v>
      </c>
      <c r="D75">
        <v>119200</v>
      </c>
      <c r="E75">
        <f>C75+D75</f>
        <v>170285.76925544531</v>
      </c>
      <c r="F75" s="9">
        <f>E75*25</f>
        <v>4257144.2313861325</v>
      </c>
    </row>
    <row r="76" spans="2:12" x14ac:dyDescent="0.5">
      <c r="B76" s="3" t="s">
        <v>10</v>
      </c>
      <c r="C76">
        <v>0</v>
      </c>
      <c r="D76">
        <v>0</v>
      </c>
      <c r="E76">
        <f>C76+D76</f>
        <v>0</v>
      </c>
      <c r="F76" s="9">
        <f>E76*25</f>
        <v>0</v>
      </c>
    </row>
    <row r="77" spans="2:12" x14ac:dyDescent="0.5">
      <c r="B77" s="3" t="s">
        <v>14</v>
      </c>
      <c r="C77">
        <v>0</v>
      </c>
      <c r="D77">
        <v>0</v>
      </c>
      <c r="E77">
        <f>C77+D77</f>
        <v>0</v>
      </c>
      <c r="F77" s="9">
        <f>E77*25</f>
        <v>0</v>
      </c>
    </row>
    <row r="78" spans="2:12" x14ac:dyDescent="0.5">
      <c r="B78" s="3" t="s">
        <v>47</v>
      </c>
      <c r="C78">
        <v>0</v>
      </c>
      <c r="D78">
        <v>0</v>
      </c>
      <c r="E78">
        <f>C78+D78</f>
        <v>0</v>
      </c>
      <c r="F78" s="9">
        <f>E78*25</f>
        <v>0</v>
      </c>
    </row>
    <row r="79" spans="2:12" ht="14.7" customHeight="1" thickBot="1" x14ac:dyDescent="0.55000000000000004">
      <c r="B79" s="16" t="s">
        <v>48</v>
      </c>
      <c r="C79" s="12"/>
      <c r="D79" s="12"/>
      <c r="E79">
        <f>C79+D79</f>
        <v>0</v>
      </c>
      <c r="F79" s="9">
        <f>E79*25</f>
        <v>0</v>
      </c>
    </row>
    <row r="80" spans="2:12" ht="14.7" customHeight="1" thickBot="1" x14ac:dyDescent="0.55000000000000004">
      <c r="B80" s="17" t="s">
        <v>49</v>
      </c>
      <c r="C80" s="18" t="s">
        <v>4</v>
      </c>
      <c r="D80" s="18" t="s">
        <v>5</v>
      </c>
      <c r="E80" s="18" t="s">
        <v>6</v>
      </c>
      <c r="F80" s="19" t="s">
        <v>7</v>
      </c>
    </row>
    <row r="81" spans="2:6" x14ac:dyDescent="0.5">
      <c r="B81" s="23" t="s">
        <v>18</v>
      </c>
      <c r="C81">
        <v>23247.753972747571</v>
      </c>
      <c r="D81">
        <v>28971.84</v>
      </c>
      <c r="E81">
        <f>C81+D81</f>
        <v>52219.593972747571</v>
      </c>
      <c r="F81" s="9">
        <f>E81*25</f>
        <v>1305489.8493186892</v>
      </c>
    </row>
    <row r="82" spans="2:6" ht="14.7" customHeight="1" thickBot="1" x14ac:dyDescent="0.55000000000000004">
      <c r="B82" s="16" t="s">
        <v>50</v>
      </c>
      <c r="C82" s="12"/>
      <c r="D82" s="12"/>
      <c r="E82">
        <f>C82+D82</f>
        <v>0</v>
      </c>
      <c r="F82" s="9">
        <f>E82*25</f>
        <v>0</v>
      </c>
    </row>
    <row r="83" spans="2:6" ht="14.7" customHeight="1" thickBot="1" x14ac:dyDescent="0.55000000000000004">
      <c r="B83" s="17"/>
      <c r="C83" s="18" t="s">
        <v>4</v>
      </c>
      <c r="D83" s="18" t="s">
        <v>5</v>
      </c>
      <c r="E83" s="18" t="s">
        <v>6</v>
      </c>
      <c r="F83" s="19" t="s">
        <v>7</v>
      </c>
    </row>
    <row r="84" spans="2:6" ht="14.7" customHeight="1" thickBot="1" x14ac:dyDescent="0.55000000000000004">
      <c r="B84" s="24" t="s">
        <v>22</v>
      </c>
      <c r="C84" s="12">
        <v>74333.523228192877</v>
      </c>
      <c r="D84" s="12">
        <v>4162724.904856489</v>
      </c>
      <c r="E84" s="12">
        <v>4237058.4280846817</v>
      </c>
      <c r="F84" s="13">
        <f>E84*25</f>
        <v>105926460.70211704</v>
      </c>
    </row>
    <row r="85" spans="2:6" ht="14.7" customHeight="1" thickBot="1" x14ac:dyDescent="0.55000000000000004">
      <c r="B85" s="8"/>
      <c r="F85" s="9"/>
    </row>
    <row r="86" spans="2:6" ht="14.7" customHeight="1" thickBot="1" x14ac:dyDescent="0.55000000000000004">
      <c r="B86" s="29" t="s">
        <v>46</v>
      </c>
      <c r="C86" s="30"/>
      <c r="D86" s="31"/>
      <c r="F86" s="9"/>
    </row>
    <row r="87" spans="2:6" ht="14.7" customHeight="1" thickBot="1" x14ac:dyDescent="0.55000000000000004">
      <c r="B87" s="24" t="s">
        <v>23</v>
      </c>
      <c r="C87" s="18" t="s">
        <v>24</v>
      </c>
      <c r="D87" s="19" t="s">
        <v>25</v>
      </c>
      <c r="F87" s="9"/>
    </row>
    <row r="88" spans="2:6" x14ac:dyDescent="0.5">
      <c r="B88" s="23" t="s">
        <v>9</v>
      </c>
      <c r="C88">
        <v>8</v>
      </c>
      <c r="D88" s="9">
        <v>800</v>
      </c>
      <c r="F88" s="9"/>
    </row>
    <row r="89" spans="2:6" x14ac:dyDescent="0.5">
      <c r="B89" s="3" t="s">
        <v>10</v>
      </c>
      <c r="C89">
        <v>0</v>
      </c>
      <c r="D89" s="9">
        <v>0</v>
      </c>
      <c r="F89" s="9"/>
    </row>
    <row r="90" spans="2:6" x14ac:dyDescent="0.5">
      <c r="B90" s="3" t="s">
        <v>14</v>
      </c>
      <c r="C90">
        <v>0</v>
      </c>
      <c r="D90" s="9">
        <v>0</v>
      </c>
      <c r="F90" s="9"/>
    </row>
    <row r="91" spans="2:6" x14ac:dyDescent="0.5">
      <c r="B91" s="3" t="s">
        <v>47</v>
      </c>
      <c r="C91">
        <v>0</v>
      </c>
      <c r="D91" s="9">
        <v>0</v>
      </c>
      <c r="F91" s="9"/>
    </row>
    <row r="92" spans="2:6" ht="14.7" customHeight="1" thickBot="1" x14ac:dyDescent="0.55000000000000004">
      <c r="B92" s="16" t="s">
        <v>26</v>
      </c>
      <c r="C92" s="12">
        <v>8</v>
      </c>
      <c r="D92" s="13">
        <v>800</v>
      </c>
      <c r="F92" s="9"/>
    </row>
    <row r="93" spans="2:6" ht="14.7" customHeight="1" thickBot="1" x14ac:dyDescent="0.55000000000000004">
      <c r="B93" s="8"/>
      <c r="F93" s="9"/>
    </row>
    <row r="94" spans="2:6" ht="14.7" customHeight="1" thickBot="1" x14ac:dyDescent="0.55000000000000004">
      <c r="B94" s="29" t="s">
        <v>51</v>
      </c>
      <c r="C94" s="30"/>
      <c r="D94" s="31"/>
      <c r="F94" s="9"/>
    </row>
    <row r="95" spans="2:6" ht="14.7" customHeight="1" thickBot="1" x14ac:dyDescent="0.55000000000000004">
      <c r="B95" s="17" t="s">
        <v>23</v>
      </c>
      <c r="C95" s="18" t="s">
        <v>24</v>
      </c>
      <c r="D95" s="19" t="s">
        <v>25</v>
      </c>
      <c r="F95" s="9"/>
    </row>
    <row r="96" spans="2:6" ht="14.7" customHeight="1" thickBot="1" x14ac:dyDescent="0.55000000000000004">
      <c r="B96" s="24" t="s">
        <v>18</v>
      </c>
      <c r="C96" s="12">
        <v>103</v>
      </c>
      <c r="D96" s="13">
        <v>1810.74</v>
      </c>
      <c r="F96" s="9"/>
    </row>
    <row r="97" spans="2:6" ht="14.7" customHeight="1" thickBot="1" x14ac:dyDescent="0.55000000000000004">
      <c r="B97" s="8"/>
      <c r="F97" s="9"/>
    </row>
    <row r="98" spans="2:6" ht="14.7" customHeight="1" thickBot="1" x14ac:dyDescent="0.55000000000000004">
      <c r="B98" s="29" t="s">
        <v>52</v>
      </c>
      <c r="C98" s="30"/>
      <c r="D98" s="31"/>
      <c r="F98" s="9"/>
    </row>
    <row r="99" spans="2:6" ht="14.7" customHeight="1" thickBot="1" x14ac:dyDescent="0.55000000000000004">
      <c r="B99" s="17" t="s">
        <v>53</v>
      </c>
      <c r="C99" s="18" t="s">
        <v>54</v>
      </c>
      <c r="D99" s="19" t="s">
        <v>55</v>
      </c>
      <c r="F99" s="9"/>
    </row>
    <row r="100" spans="2:6" x14ac:dyDescent="0.5">
      <c r="B100" s="23" t="s">
        <v>56</v>
      </c>
      <c r="C100">
        <v>1212368.4210526301</v>
      </c>
      <c r="D100" s="9">
        <f>C100*25</f>
        <v>30309210.526315752</v>
      </c>
      <c r="F100" s="9"/>
    </row>
    <row r="101" spans="2:6" x14ac:dyDescent="0.5">
      <c r="B101" s="3" t="s">
        <v>57</v>
      </c>
      <c r="C101">
        <v>711692.47751266509</v>
      </c>
      <c r="D101" s="9">
        <f>C101*25</f>
        <v>17792311.937816627</v>
      </c>
      <c r="F101" s="9"/>
    </row>
    <row r="102" spans="2:6" ht="14.7" customHeight="1" thickBot="1" x14ac:dyDescent="0.55000000000000004">
      <c r="B102" s="16" t="s">
        <v>26</v>
      </c>
      <c r="C102" s="12">
        <f>C100+C101</f>
        <v>1924060.8985652952</v>
      </c>
      <c r="D102" s="13">
        <f>C102*25</f>
        <v>48101522.464132376</v>
      </c>
      <c r="F102" s="9"/>
    </row>
    <row r="103" spans="2:6" ht="14.7" customHeight="1" thickBot="1" x14ac:dyDescent="0.55000000000000004">
      <c r="B103" s="8"/>
      <c r="F103" s="9"/>
    </row>
    <row r="104" spans="2:6" ht="14.7" customHeight="1" thickBot="1" x14ac:dyDescent="0.55000000000000004">
      <c r="B104" s="29" t="s">
        <v>58</v>
      </c>
      <c r="C104" s="30"/>
      <c r="D104" s="31"/>
      <c r="F104" s="9"/>
    </row>
    <row r="105" spans="2:6" ht="14.7" customHeight="1" thickBot="1" x14ac:dyDescent="0.55000000000000004">
      <c r="B105" s="17" t="s">
        <v>53</v>
      </c>
      <c r="C105" s="18" t="s">
        <v>59</v>
      </c>
      <c r="D105" s="22" t="s">
        <v>60</v>
      </c>
      <c r="F105" s="9"/>
    </row>
    <row r="106" spans="2:6" x14ac:dyDescent="0.5">
      <c r="B106" s="23" t="s">
        <v>56</v>
      </c>
      <c r="C106">
        <f>2.6085*C100</f>
        <v>3162463.0263157855</v>
      </c>
      <c r="D106" s="9">
        <f>C106*25</f>
        <v>79061575.657894641</v>
      </c>
      <c r="F106" s="9"/>
    </row>
    <row r="107" spans="2:6" x14ac:dyDescent="0.5">
      <c r="B107" s="3" t="s">
        <v>57</v>
      </c>
      <c r="C107">
        <f>2.6085*C101</f>
        <v>1856449.8275917869</v>
      </c>
      <c r="D107" s="9">
        <f>C107*25</f>
        <v>46411245.689794675</v>
      </c>
      <c r="F107" s="9"/>
    </row>
    <row r="108" spans="2:6" ht="14.7" customHeight="1" thickBot="1" x14ac:dyDescent="0.55000000000000004">
      <c r="B108" s="16" t="s">
        <v>26</v>
      </c>
      <c r="C108" s="12">
        <f>2.6085*C102</f>
        <v>5018912.8539075721</v>
      </c>
      <c r="D108" s="13">
        <f>C108*25</f>
        <v>125472821.3476893</v>
      </c>
      <c r="E108" s="12"/>
      <c r="F108" s="13"/>
    </row>
  </sheetData>
  <mergeCells count="30">
    <mergeCell ref="H64:I64"/>
    <mergeCell ref="H50:J50"/>
    <mergeCell ref="H55:J55"/>
    <mergeCell ref="B86:D86"/>
    <mergeCell ref="B104:D104"/>
    <mergeCell ref="B73:F73"/>
    <mergeCell ref="B36:D36"/>
    <mergeCell ref="B94:D94"/>
    <mergeCell ref="B50:D50"/>
    <mergeCell ref="B68:C68"/>
    <mergeCell ref="B64:C64"/>
    <mergeCell ref="B47:C47"/>
    <mergeCell ref="B98:D98"/>
    <mergeCell ref="B72:F72"/>
    <mergeCell ref="H33:I33"/>
    <mergeCell ref="B5:L5"/>
    <mergeCell ref="B63:C63"/>
    <mergeCell ref="B43:D43"/>
    <mergeCell ref="H25:J25"/>
    <mergeCell ref="H6:L6"/>
    <mergeCell ref="H60:I60"/>
    <mergeCell ref="B60:C60"/>
    <mergeCell ref="B55:D55"/>
    <mergeCell ref="H47:I47"/>
    <mergeCell ref="B25:D25"/>
    <mergeCell ref="H43:J43"/>
    <mergeCell ref="B6:F6"/>
    <mergeCell ref="B33:C33"/>
    <mergeCell ref="H36:J36"/>
    <mergeCell ref="H63:I63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B4:N108"/>
  <sheetViews>
    <sheetView tabSelected="1" topLeftCell="A15" zoomScale="70" zoomScaleNormal="70" workbookViewId="0">
      <selection activeCell="M29" sqref="M29"/>
    </sheetView>
  </sheetViews>
  <sheetFormatPr defaultColWidth="39.234375" defaultRowHeight="14.35" x14ac:dyDescent="0.5"/>
  <cols>
    <col min="1" max="1" width="13.52734375" customWidth="1"/>
    <col min="2" max="2" width="15.234375" bestFit="1" customWidth="1"/>
    <col min="3" max="3" width="17.64453125" bestFit="1" customWidth="1"/>
    <col min="4" max="4" width="18.64453125" bestFit="1" customWidth="1"/>
    <col min="5" max="5" width="12.46875" bestFit="1" customWidth="1"/>
    <col min="6" max="6" width="13.5859375" bestFit="1" customWidth="1"/>
    <col min="7" max="7" width="12.46875" customWidth="1"/>
    <col min="8" max="8" width="15.234375" bestFit="1" customWidth="1"/>
    <col min="9" max="9" width="15.703125" bestFit="1" customWidth="1"/>
    <col min="10" max="10" width="18" bestFit="1" customWidth="1"/>
    <col min="11" max="11" width="12.46875" bestFit="1" customWidth="1"/>
    <col min="12" max="12" width="14.5859375" bestFit="1" customWidth="1"/>
    <col min="13" max="14" width="13.41015625" bestFit="1" customWidth="1"/>
    <col min="15" max="15" width="12.3515625" bestFit="1" customWidth="1"/>
  </cols>
  <sheetData>
    <row r="4" spans="2:14" ht="14.7" customHeight="1" thickBot="1" x14ac:dyDescent="0.55000000000000004"/>
    <row r="5" spans="2:14" ht="14.7" customHeight="1" thickBot="1" x14ac:dyDescent="0.55000000000000004">
      <c r="B5" s="29" t="s">
        <v>0</v>
      </c>
      <c r="C5" s="30"/>
      <c r="D5" s="30"/>
      <c r="E5" s="30"/>
      <c r="F5" s="30"/>
      <c r="G5" s="30"/>
      <c r="H5" s="30"/>
      <c r="I5" s="30"/>
      <c r="J5" s="30"/>
      <c r="K5" s="30"/>
      <c r="L5" s="31"/>
    </row>
    <row r="6" spans="2:14" ht="14.7" customHeight="1" thickBot="1" x14ac:dyDescent="0.55000000000000004">
      <c r="B6" s="29" t="s">
        <v>1</v>
      </c>
      <c r="C6" s="30"/>
      <c r="D6" s="30"/>
      <c r="E6" s="30"/>
      <c r="F6" s="31"/>
      <c r="H6" s="29" t="s">
        <v>2</v>
      </c>
      <c r="I6" s="30"/>
      <c r="J6" s="30"/>
      <c r="K6" s="30"/>
      <c r="L6" s="31"/>
    </row>
    <row r="7" spans="2:14" ht="14.7" customHeight="1" thickBot="1" x14ac:dyDescent="0.55000000000000004">
      <c r="B7" s="24" t="s">
        <v>3</v>
      </c>
      <c r="C7" s="18" t="s">
        <v>4</v>
      </c>
      <c r="D7" s="18" t="s">
        <v>5</v>
      </c>
      <c r="E7" s="18" t="s">
        <v>6</v>
      </c>
      <c r="F7" s="19" t="s">
        <v>7</v>
      </c>
      <c r="H7" s="24" t="s">
        <v>3</v>
      </c>
      <c r="I7" s="18" t="s">
        <v>4</v>
      </c>
      <c r="J7" s="18" t="s">
        <v>5</v>
      </c>
      <c r="K7" s="18" t="s">
        <v>6</v>
      </c>
      <c r="L7" s="19" t="s">
        <v>7</v>
      </c>
    </row>
    <row r="8" spans="2:14" x14ac:dyDescent="0.5">
      <c r="B8" s="3" t="s">
        <v>8</v>
      </c>
      <c r="C8" s="6">
        <f>13698 * D27*((0.05*((1.05)^25))/((1.05^25)-1))</f>
        <v>3207292.3082799963</v>
      </c>
      <c r="D8" s="6">
        <f>29*D27</f>
        <v>95700</v>
      </c>
      <c r="E8" s="6">
        <f>C8+D8</f>
        <v>3302992.3082799963</v>
      </c>
      <c r="F8" s="10">
        <f>E8*25</f>
        <v>82574807.706999913</v>
      </c>
      <c r="H8" s="3" t="s">
        <v>9</v>
      </c>
      <c r="I8" s="39">
        <f>1615 * J27*((0.05*((1.05)^25))/((1.05^25)-1))</f>
        <v>458352.87415302335</v>
      </c>
      <c r="J8" s="39">
        <f>29*J27</f>
        <v>116000</v>
      </c>
      <c r="K8" s="39">
        <f>I8+J8</f>
        <v>574352.87415302335</v>
      </c>
      <c r="L8" s="10">
        <f>K8*25</f>
        <v>14358821.853825584</v>
      </c>
    </row>
    <row r="9" spans="2:14" x14ac:dyDescent="0.5">
      <c r="B9" s="3" t="s">
        <v>10</v>
      </c>
      <c r="C9" s="6">
        <f>13698 * D28*((0.05*((1.05)^25))/((1.05^25)-1))</f>
        <v>485953.38004242367</v>
      </c>
      <c r="D9" s="6">
        <f>29*D28</f>
        <v>14500</v>
      </c>
      <c r="E9" s="6">
        <f>C9+D9</f>
        <v>500453.38004242367</v>
      </c>
      <c r="F9" s="10">
        <f>E9*25</f>
        <v>12511334.501060592</v>
      </c>
      <c r="H9" s="3" t="s">
        <v>10</v>
      </c>
      <c r="I9" s="39">
        <f>1615 * J28*((0.05*((1.05)^25))/((1.05^25)-1))</f>
        <v>0</v>
      </c>
      <c r="J9" s="39">
        <f>29*J28</f>
        <v>0</v>
      </c>
      <c r="K9" s="39">
        <f>I9+J9</f>
        <v>0</v>
      </c>
      <c r="L9" s="10">
        <f>K9*25</f>
        <v>0</v>
      </c>
      <c r="M9" s="7"/>
      <c r="N9" s="6"/>
    </row>
    <row r="10" spans="2:14" x14ac:dyDescent="0.5">
      <c r="B10" s="3" t="s">
        <v>11</v>
      </c>
      <c r="C10" s="6">
        <f>13698 * D29*((0.05*((1.05)^25))/((1.05^25)-1))</f>
        <v>0</v>
      </c>
      <c r="D10" s="6">
        <f>29*D29</f>
        <v>0</v>
      </c>
      <c r="E10" s="6">
        <f>C10+D10</f>
        <v>0</v>
      </c>
      <c r="F10" s="10">
        <f>E10*25</f>
        <v>0</v>
      </c>
      <c r="H10" s="3" t="s">
        <v>11</v>
      </c>
      <c r="I10" s="39">
        <f>1615 * J29*((0.05*((1.05)^25))/((1.05^25)-1))</f>
        <v>0</v>
      </c>
      <c r="J10" s="39">
        <f>29*J29</f>
        <v>0</v>
      </c>
      <c r="K10" s="39">
        <f>I10+J10</f>
        <v>0</v>
      </c>
      <c r="L10" s="10">
        <f>K10*25</f>
        <v>0</v>
      </c>
      <c r="M10" s="7"/>
    </row>
    <row r="11" spans="2:14" ht="14.7" customHeight="1" thickBot="1" x14ac:dyDescent="0.55000000000000004">
      <c r="B11" s="16" t="s">
        <v>12</v>
      </c>
      <c r="C11" s="14">
        <f>13698 * D30*((0.05*((1.05)^25))/((1.05^25)-1))</f>
        <v>0</v>
      </c>
      <c r="D11" s="14">
        <f>29*D30</f>
        <v>0</v>
      </c>
      <c r="E11" s="14">
        <f>C11+D11</f>
        <v>0</v>
      </c>
      <c r="F11" s="15">
        <f>E11*25</f>
        <v>0</v>
      </c>
      <c r="H11" s="16" t="s">
        <v>12</v>
      </c>
      <c r="I11" s="14">
        <f>1615 * J30*((0.05*((1.05)^25))/((1.05^25)-1))</f>
        <v>0</v>
      </c>
      <c r="J11" s="14">
        <f>29*J30</f>
        <v>0</v>
      </c>
      <c r="K11" s="14">
        <f>I11+J11</f>
        <v>0</v>
      </c>
      <c r="L11" s="13">
        <f>K11*25</f>
        <v>0</v>
      </c>
    </row>
    <row r="12" spans="2:14" ht="14.7" customHeight="1" thickBot="1" x14ac:dyDescent="0.55000000000000004">
      <c r="B12" s="24" t="s">
        <v>13</v>
      </c>
      <c r="C12" s="18" t="s">
        <v>4</v>
      </c>
      <c r="D12" s="18" t="s">
        <v>5</v>
      </c>
      <c r="E12" s="18" t="s">
        <v>6</v>
      </c>
      <c r="F12" s="19" t="s">
        <v>7</v>
      </c>
      <c r="H12" s="24" t="s">
        <v>13</v>
      </c>
      <c r="I12" s="18" t="s">
        <v>4</v>
      </c>
      <c r="J12" s="18" t="s">
        <v>5</v>
      </c>
      <c r="K12" s="18" t="s">
        <v>6</v>
      </c>
      <c r="L12" s="19" t="s">
        <v>7</v>
      </c>
    </row>
    <row r="13" spans="2:14" x14ac:dyDescent="0.5">
      <c r="B13" s="3" t="s">
        <v>14</v>
      </c>
      <c r="C13" s="4">
        <f>2490 * D38*((0.05*((1.05)^10))/((1.05^10)-1))</f>
        <v>967399.17499196157</v>
      </c>
      <c r="D13" s="1">
        <f>37.35*D38</f>
        <v>112050</v>
      </c>
      <c r="E13">
        <f>C13+D13</f>
        <v>1079449.1749919616</v>
      </c>
      <c r="F13" s="9">
        <f>E13*25</f>
        <v>26986229.374799039</v>
      </c>
      <c r="H13" s="3" t="s">
        <v>14</v>
      </c>
      <c r="I13" s="4">
        <f>2490 * J38*((0.05*((1.05)^10))/((1.05^10)-1))</f>
        <v>967399.17499196157</v>
      </c>
      <c r="J13" s="1">
        <f>37.35*J38</f>
        <v>112050</v>
      </c>
      <c r="K13" s="39">
        <f>I13+J13</f>
        <v>1079449.1749919616</v>
      </c>
      <c r="L13" s="10">
        <f>K13*25</f>
        <v>26986229.374799039</v>
      </c>
    </row>
    <row r="14" spans="2:14" x14ac:dyDescent="0.5">
      <c r="B14" s="3" t="s">
        <v>15</v>
      </c>
      <c r="C14" s="4">
        <f>1570 * D39*((0.05*((1.05)^10))/((1.05^10)-1))</f>
        <v>0</v>
      </c>
      <c r="D14" s="1">
        <f>23.55*D39</f>
        <v>0</v>
      </c>
      <c r="E14">
        <f>C14+D14</f>
        <v>0</v>
      </c>
      <c r="F14" s="9">
        <f>E14*25</f>
        <v>0</v>
      </c>
      <c r="H14" s="3" t="s">
        <v>15</v>
      </c>
      <c r="I14" s="4">
        <f>1570 * J39*((0.05*((1.05)^10))/((1.05^10)-1))</f>
        <v>0</v>
      </c>
      <c r="J14" s="1">
        <f>23.55*J39</f>
        <v>0</v>
      </c>
      <c r="K14" s="38">
        <f>I14+J14</f>
        <v>0</v>
      </c>
      <c r="L14" s="10">
        <f>K14*25</f>
        <v>0</v>
      </c>
    </row>
    <row r="15" spans="2:14" ht="14.7" customHeight="1" thickBot="1" x14ac:dyDescent="0.55000000000000004">
      <c r="B15" s="16" t="s">
        <v>16</v>
      </c>
      <c r="C15" s="5">
        <f>1190 * D40*((0.05*((1.05)^10))/((1.05^10)-1))</f>
        <v>0</v>
      </c>
      <c r="D15" s="2">
        <f>17.85*D40</f>
        <v>0</v>
      </c>
      <c r="E15" s="12">
        <f>C15+D15</f>
        <v>0</v>
      </c>
      <c r="F15" s="13">
        <f>E15*25</f>
        <v>0</v>
      </c>
      <c r="H15" s="16" t="s">
        <v>16</v>
      </c>
      <c r="I15" s="5">
        <f>1190 * J40*((0.05*((1.05)^10))/((1.05^10)-1))</f>
        <v>0</v>
      </c>
      <c r="J15" s="2">
        <f>17.85*J40</f>
        <v>0</v>
      </c>
      <c r="K15" s="12">
        <f>I15+J15</f>
        <v>0</v>
      </c>
      <c r="L15" s="15">
        <f>K15*25</f>
        <v>0</v>
      </c>
    </row>
    <row r="16" spans="2:14" ht="14.7" customHeight="1" thickBot="1" x14ac:dyDescent="0.55000000000000004">
      <c r="B16" s="24" t="s">
        <v>17</v>
      </c>
      <c r="C16" s="18" t="s">
        <v>4</v>
      </c>
      <c r="D16" s="18" t="s">
        <v>5</v>
      </c>
      <c r="E16" s="18" t="s">
        <v>6</v>
      </c>
      <c r="F16" s="19" t="s">
        <v>7</v>
      </c>
      <c r="H16" s="24" t="s">
        <v>17</v>
      </c>
      <c r="I16" s="18" t="s">
        <v>4</v>
      </c>
      <c r="J16" s="18" t="s">
        <v>5</v>
      </c>
      <c r="K16" s="18" t="s">
        <v>6</v>
      </c>
      <c r="L16" s="19" t="s">
        <v>7</v>
      </c>
    </row>
    <row r="17" spans="2:14" ht="14.7" customHeight="1" thickBot="1" x14ac:dyDescent="0.55000000000000004">
      <c r="B17" s="16" t="s">
        <v>18</v>
      </c>
      <c r="C17" s="12">
        <v>48075.452390244973</v>
      </c>
      <c r="D17" s="12">
        <v>59912.639999999992</v>
      </c>
      <c r="E17" s="12">
        <f>D17+C17</f>
        <v>107988.09239024497</v>
      </c>
      <c r="F17" s="13">
        <f>E17*25</f>
        <v>2699702.3097561244</v>
      </c>
      <c r="H17" s="16" t="s">
        <v>18</v>
      </c>
      <c r="I17" s="12">
        <v>48075.452390244973</v>
      </c>
      <c r="J17" s="12">
        <v>59912.639999999992</v>
      </c>
      <c r="K17" s="12">
        <f>J17+I17</f>
        <v>107988.09239024497</v>
      </c>
      <c r="L17" s="15">
        <f>K17*25</f>
        <v>2699702.3097561244</v>
      </c>
    </row>
    <row r="18" spans="2:14" ht="14.7" customHeight="1" thickBot="1" x14ac:dyDescent="0.55000000000000004">
      <c r="B18" s="24" t="s">
        <v>19</v>
      </c>
      <c r="C18" s="18" t="s">
        <v>4</v>
      </c>
      <c r="D18" s="18" t="s">
        <v>5</v>
      </c>
      <c r="E18" s="18" t="s">
        <v>6</v>
      </c>
      <c r="F18" s="19" t="s">
        <v>7</v>
      </c>
      <c r="H18" s="24" t="s">
        <v>20</v>
      </c>
      <c r="I18" s="18" t="s">
        <v>4</v>
      </c>
      <c r="J18" s="18" t="s">
        <v>5</v>
      </c>
      <c r="K18" s="18" t="s">
        <v>6</v>
      </c>
      <c r="L18" s="19" t="s">
        <v>7</v>
      </c>
    </row>
    <row r="19" spans="2:14" ht="14.7" customHeight="1" thickBot="1" x14ac:dyDescent="0.55000000000000004">
      <c r="B19" s="11"/>
      <c r="C19" s="12">
        <f>C48*300*((0.05*((1.05)^20))/((1.05^20)-1))</f>
        <v>593153.2045135902</v>
      </c>
      <c r="D19" s="12">
        <v>0</v>
      </c>
      <c r="E19" s="12">
        <f>D19+C19</f>
        <v>593153.2045135902</v>
      </c>
      <c r="F19" s="13">
        <f>E19*25</f>
        <v>14828830.112839755</v>
      </c>
      <c r="H19" s="11"/>
      <c r="I19" s="14">
        <f>(I48/10)*3000*((0.05*((1.05)^20))/((1.05^20)-1))</f>
        <v>516601.77633367066</v>
      </c>
      <c r="J19" s="12">
        <v>0</v>
      </c>
      <c r="K19" s="12">
        <f>J19+I19</f>
        <v>516601.77633367066</v>
      </c>
      <c r="L19" s="15">
        <f>K19*25</f>
        <v>12915044.408341767</v>
      </c>
    </row>
    <row r="20" spans="2:14" ht="14.7" customHeight="1" thickBot="1" x14ac:dyDescent="0.55000000000000004">
      <c r="B20" s="24" t="s">
        <v>21</v>
      </c>
      <c r="C20" s="18" t="s">
        <v>4</v>
      </c>
      <c r="D20" s="18" t="s">
        <v>5</v>
      </c>
      <c r="E20" s="18" t="s">
        <v>6</v>
      </c>
      <c r="F20" s="19" t="s">
        <v>7</v>
      </c>
      <c r="H20" s="24" t="s">
        <v>21</v>
      </c>
      <c r="I20" s="18" t="s">
        <v>4</v>
      </c>
      <c r="J20" s="18" t="s">
        <v>5</v>
      </c>
      <c r="K20" s="18" t="s">
        <v>6</v>
      </c>
      <c r="L20" s="19" t="s">
        <v>7</v>
      </c>
    </row>
    <row r="21" spans="2:14" ht="14.7" customHeight="1" thickBot="1" x14ac:dyDescent="0.55000000000000004">
      <c r="B21" s="11"/>
      <c r="C21" s="12">
        <v>0</v>
      </c>
      <c r="D21" s="12">
        <v>0</v>
      </c>
      <c r="E21" s="12">
        <f>C21+D21</f>
        <v>0</v>
      </c>
      <c r="F21" s="13">
        <f>E21*25</f>
        <v>0</v>
      </c>
      <c r="H21" s="11"/>
      <c r="I21" s="12">
        <v>271.70140022768072</v>
      </c>
      <c r="J21" s="12">
        <v>38</v>
      </c>
      <c r="K21" s="12">
        <f>J21+I21</f>
        <v>309.70140022768072</v>
      </c>
      <c r="L21" s="13">
        <f>K21*25</f>
        <v>7742.5350056920179</v>
      </c>
    </row>
    <row r="22" spans="2:14" ht="14.7" customHeight="1" thickBot="1" x14ac:dyDescent="0.55000000000000004">
      <c r="B22" s="17"/>
      <c r="C22" s="18" t="s">
        <v>4</v>
      </c>
      <c r="D22" s="18" t="s">
        <v>5</v>
      </c>
      <c r="E22" s="18" t="s">
        <v>6</v>
      </c>
      <c r="F22" s="19" t="s">
        <v>7</v>
      </c>
      <c r="H22" s="17"/>
      <c r="I22" s="18" t="s">
        <v>4</v>
      </c>
      <c r="J22" s="18" t="s">
        <v>5</v>
      </c>
      <c r="K22" s="18" t="s">
        <v>6</v>
      </c>
      <c r="L22" s="19" t="s">
        <v>7</v>
      </c>
    </row>
    <row r="23" spans="2:14" ht="14.7" customHeight="1" thickBot="1" x14ac:dyDescent="0.55000000000000004">
      <c r="B23" s="24" t="s">
        <v>22</v>
      </c>
      <c r="C23" s="12">
        <v>5302114.2479797872</v>
      </c>
      <c r="D23" s="12">
        <v>282162.64</v>
      </c>
      <c r="E23" s="25">
        <v>5584276.8879797868</v>
      </c>
      <c r="F23" s="13">
        <f>D23*25</f>
        <v>7054066</v>
      </c>
      <c r="H23" s="24" t="s">
        <v>22</v>
      </c>
      <c r="I23" s="14">
        <v>1990700.9792691269</v>
      </c>
      <c r="J23" s="14">
        <v>288000.64000000001</v>
      </c>
      <c r="K23" s="14">
        <v>4062917.2247025901</v>
      </c>
      <c r="L23" s="15">
        <f>K23*25</f>
        <v>101572930.61756475</v>
      </c>
      <c r="M23" s="6"/>
    </row>
    <row r="24" spans="2:14" ht="14.7" customHeight="1" thickBot="1" x14ac:dyDescent="0.55000000000000004">
      <c r="B24" s="8"/>
      <c r="F24" s="9"/>
      <c r="H24" s="8"/>
      <c r="I24" s="39"/>
      <c r="J24" s="39"/>
      <c r="K24" s="39"/>
      <c r="L24" s="10"/>
      <c r="M24" s="6"/>
      <c r="N24" s="7"/>
    </row>
    <row r="25" spans="2:14" ht="14.7" customHeight="1" thickBot="1" x14ac:dyDescent="0.55000000000000004">
      <c r="B25" s="29" t="s">
        <v>3</v>
      </c>
      <c r="C25" s="30"/>
      <c r="D25" s="31"/>
      <c r="F25" s="9"/>
      <c r="H25" s="29" t="s">
        <v>3</v>
      </c>
      <c r="I25" s="30"/>
      <c r="J25" s="31"/>
      <c r="K25" s="38"/>
      <c r="L25" s="10"/>
      <c r="M25" s="6"/>
    </row>
    <row r="26" spans="2:14" ht="14.7" customHeight="1" thickBot="1" x14ac:dyDescent="0.55000000000000004">
      <c r="B26" s="17" t="s">
        <v>23</v>
      </c>
      <c r="C26" s="18" t="s">
        <v>24</v>
      </c>
      <c r="D26" s="19" t="s">
        <v>25</v>
      </c>
      <c r="F26" s="9"/>
      <c r="H26" s="17" t="s">
        <v>23</v>
      </c>
      <c r="I26" s="18" t="s">
        <v>24</v>
      </c>
      <c r="J26" s="19" t="s">
        <v>25</v>
      </c>
      <c r="K26" s="38"/>
      <c r="L26" s="10"/>
      <c r="M26" s="6"/>
    </row>
    <row r="27" spans="2:14" x14ac:dyDescent="0.5">
      <c r="B27" s="23" t="s">
        <v>9</v>
      </c>
      <c r="C27">
        <v>33</v>
      </c>
      <c r="D27" s="9">
        <v>3300</v>
      </c>
      <c r="F27" s="9"/>
      <c r="H27" s="8" t="s">
        <v>9</v>
      </c>
      <c r="I27" s="38">
        <v>40</v>
      </c>
      <c r="J27" s="9">
        <v>4000</v>
      </c>
      <c r="K27" s="38"/>
      <c r="L27" s="9"/>
    </row>
    <row r="28" spans="2:14" x14ac:dyDescent="0.5">
      <c r="B28" s="3" t="s">
        <v>10</v>
      </c>
      <c r="C28">
        <v>1</v>
      </c>
      <c r="D28" s="9">
        <v>500</v>
      </c>
      <c r="F28" s="9"/>
      <c r="H28" s="8" t="s">
        <v>10</v>
      </c>
      <c r="I28" s="38">
        <v>0</v>
      </c>
      <c r="J28" s="9">
        <v>0</v>
      </c>
      <c r="K28" s="38"/>
      <c r="L28" s="9"/>
    </row>
    <row r="29" spans="2:14" x14ac:dyDescent="0.5">
      <c r="B29" s="3" t="s">
        <v>11</v>
      </c>
      <c r="C29">
        <v>0</v>
      </c>
      <c r="D29" s="9">
        <v>0</v>
      </c>
      <c r="F29" s="9"/>
      <c r="H29" s="8" t="s">
        <v>11</v>
      </c>
      <c r="I29" s="38">
        <v>0</v>
      </c>
      <c r="J29" s="9">
        <v>0</v>
      </c>
      <c r="K29" s="38"/>
      <c r="L29" s="9"/>
    </row>
    <row r="30" spans="2:14" x14ac:dyDescent="0.5">
      <c r="B30" s="3" t="s">
        <v>12</v>
      </c>
      <c r="C30">
        <v>0</v>
      </c>
      <c r="D30" s="9">
        <v>0</v>
      </c>
      <c r="F30" s="9"/>
      <c r="H30" s="8" t="s">
        <v>12</v>
      </c>
      <c r="I30" s="38">
        <v>0</v>
      </c>
      <c r="J30" s="9">
        <v>0</v>
      </c>
      <c r="K30" s="38"/>
      <c r="L30" s="9"/>
    </row>
    <row r="31" spans="2:14" ht="14.7" customHeight="1" thickBot="1" x14ac:dyDescent="0.55000000000000004">
      <c r="B31" s="16" t="s">
        <v>26</v>
      </c>
      <c r="C31" s="12">
        <v>34</v>
      </c>
      <c r="D31" s="13">
        <v>3800</v>
      </c>
      <c r="F31" s="9"/>
      <c r="H31" s="11" t="s">
        <v>26</v>
      </c>
      <c r="I31" s="12">
        <v>40</v>
      </c>
      <c r="J31" s="13">
        <v>4000</v>
      </c>
      <c r="K31" s="38"/>
      <c r="L31" s="9"/>
    </row>
    <row r="32" spans="2:14" ht="14.7" customHeight="1" thickBot="1" x14ac:dyDescent="0.55000000000000004">
      <c r="B32" s="8"/>
      <c r="F32" s="9"/>
      <c r="H32" s="8"/>
      <c r="I32" s="38"/>
      <c r="J32" s="38"/>
      <c r="K32" s="38"/>
      <c r="L32" s="9"/>
    </row>
    <row r="33" spans="2:12" ht="14.7" customHeight="1" thickBot="1" x14ac:dyDescent="0.55000000000000004">
      <c r="B33" s="29" t="s">
        <v>21</v>
      </c>
      <c r="C33" s="31"/>
      <c r="F33" s="9"/>
      <c r="H33" s="29" t="s">
        <v>21</v>
      </c>
      <c r="I33" s="31"/>
      <c r="J33" s="38"/>
      <c r="K33" s="38"/>
      <c r="L33" s="9"/>
    </row>
    <row r="34" spans="2:12" ht="14.7" customHeight="1" thickBot="1" x14ac:dyDescent="0.55000000000000004">
      <c r="B34" s="24" t="s">
        <v>25</v>
      </c>
      <c r="C34" s="13">
        <v>0</v>
      </c>
      <c r="F34" s="9"/>
      <c r="H34" s="24" t="s">
        <v>25</v>
      </c>
      <c r="I34" s="13">
        <v>2</v>
      </c>
      <c r="J34" s="38"/>
      <c r="K34" s="38"/>
      <c r="L34" s="9"/>
    </row>
    <row r="35" spans="2:12" ht="14.7" customHeight="1" thickBot="1" x14ac:dyDescent="0.55000000000000004">
      <c r="B35" s="8"/>
      <c r="F35" s="9"/>
      <c r="H35" s="8"/>
      <c r="I35" s="38"/>
      <c r="J35" s="38"/>
      <c r="K35" s="38"/>
      <c r="L35" s="9"/>
    </row>
    <row r="36" spans="2:12" ht="14.7" customHeight="1" thickBot="1" x14ac:dyDescent="0.55000000000000004">
      <c r="B36" s="29" t="s">
        <v>13</v>
      </c>
      <c r="C36" s="30"/>
      <c r="D36" s="31"/>
      <c r="F36" s="9"/>
      <c r="H36" s="29" t="s">
        <v>13</v>
      </c>
      <c r="I36" s="30"/>
      <c r="J36" s="31"/>
      <c r="K36" s="38"/>
      <c r="L36" s="9"/>
    </row>
    <row r="37" spans="2:12" ht="14.7" customHeight="1" thickBot="1" x14ac:dyDescent="0.55000000000000004">
      <c r="B37" s="24" t="s">
        <v>23</v>
      </c>
      <c r="C37" s="18" t="s">
        <v>24</v>
      </c>
      <c r="D37" s="19" t="s">
        <v>25</v>
      </c>
      <c r="F37" s="9"/>
      <c r="H37" s="17" t="s">
        <v>23</v>
      </c>
      <c r="I37" s="18" t="s">
        <v>24</v>
      </c>
      <c r="J37" s="19" t="s">
        <v>25</v>
      </c>
      <c r="K37" s="38"/>
      <c r="L37" s="9"/>
    </row>
    <row r="38" spans="2:12" x14ac:dyDescent="0.5">
      <c r="B38" s="23" t="s">
        <v>14</v>
      </c>
      <c r="C38">
        <v>3</v>
      </c>
      <c r="D38" s="9">
        <v>3000</v>
      </c>
      <c r="F38" s="9"/>
      <c r="H38" s="23" t="s">
        <v>14</v>
      </c>
      <c r="I38" s="38">
        <v>3</v>
      </c>
      <c r="J38" s="9">
        <v>3000</v>
      </c>
      <c r="K38" s="38"/>
      <c r="L38" s="9"/>
    </row>
    <row r="39" spans="2:12" x14ac:dyDescent="0.5">
      <c r="B39" s="3" t="s">
        <v>15</v>
      </c>
      <c r="C39">
        <v>0</v>
      </c>
      <c r="D39" s="9">
        <v>0</v>
      </c>
      <c r="F39" s="9"/>
      <c r="H39" s="3" t="s">
        <v>15</v>
      </c>
      <c r="I39" s="38">
        <v>0</v>
      </c>
      <c r="J39" s="9">
        <v>0</v>
      </c>
      <c r="K39" s="38"/>
      <c r="L39" s="9"/>
    </row>
    <row r="40" spans="2:12" x14ac:dyDescent="0.5">
      <c r="B40" s="3" t="s">
        <v>16</v>
      </c>
      <c r="C40">
        <v>0</v>
      </c>
      <c r="D40" s="9">
        <v>0</v>
      </c>
      <c r="F40" s="9"/>
      <c r="H40" s="3" t="s">
        <v>16</v>
      </c>
      <c r="I40" s="38">
        <v>0</v>
      </c>
      <c r="J40" s="9">
        <v>0</v>
      </c>
      <c r="K40" s="38"/>
      <c r="L40" s="9"/>
    </row>
    <row r="41" spans="2:12" ht="14.7" customHeight="1" thickBot="1" x14ac:dyDescent="0.55000000000000004">
      <c r="B41" s="16" t="s">
        <v>26</v>
      </c>
      <c r="C41" s="12">
        <v>3</v>
      </c>
      <c r="D41" s="13">
        <v>3000</v>
      </c>
      <c r="F41" s="9"/>
      <c r="H41" s="16" t="s">
        <v>26</v>
      </c>
      <c r="I41" s="12">
        <v>3</v>
      </c>
      <c r="J41" s="13">
        <v>3000</v>
      </c>
      <c r="K41" s="38"/>
      <c r="L41" s="9"/>
    </row>
    <row r="42" spans="2:12" ht="14.7" customHeight="1" thickBot="1" x14ac:dyDescent="0.55000000000000004">
      <c r="B42" s="8"/>
      <c r="F42" s="9"/>
      <c r="H42" s="8"/>
      <c r="I42" s="38"/>
      <c r="J42" s="38"/>
      <c r="K42" s="38"/>
      <c r="L42" s="9"/>
    </row>
    <row r="43" spans="2:12" ht="14.7" customHeight="1" thickBot="1" x14ac:dyDescent="0.55000000000000004">
      <c r="B43" s="29" t="s">
        <v>27</v>
      </c>
      <c r="C43" s="30"/>
      <c r="D43" s="31"/>
      <c r="F43" s="9"/>
      <c r="H43" s="29" t="s">
        <v>27</v>
      </c>
      <c r="I43" s="30"/>
      <c r="J43" s="31"/>
      <c r="K43" s="38"/>
      <c r="L43" s="9"/>
    </row>
    <row r="44" spans="2:12" ht="14.7" customHeight="1" thickBot="1" x14ac:dyDescent="0.55000000000000004">
      <c r="B44" s="24" t="s">
        <v>23</v>
      </c>
      <c r="C44" s="18" t="s">
        <v>24</v>
      </c>
      <c r="D44" s="19" t="s">
        <v>25</v>
      </c>
      <c r="F44" s="9"/>
      <c r="H44" s="17" t="s">
        <v>23</v>
      </c>
      <c r="I44" s="18" t="s">
        <v>24</v>
      </c>
      <c r="J44" s="19" t="s">
        <v>25</v>
      </c>
      <c r="K44" s="38"/>
      <c r="L44" s="9"/>
    </row>
    <row r="45" spans="2:12" ht="14.7" customHeight="1" thickBot="1" x14ac:dyDescent="0.55000000000000004">
      <c r="B45" s="24" t="s">
        <v>18</v>
      </c>
      <c r="C45" s="12">
        <v>213</v>
      </c>
      <c r="D45" s="13">
        <v>3744.54</v>
      </c>
      <c r="F45" s="9"/>
      <c r="H45" s="24" t="s">
        <v>18</v>
      </c>
      <c r="I45" s="12">
        <v>213</v>
      </c>
      <c r="J45" s="13">
        <v>3744.54</v>
      </c>
      <c r="K45" s="38"/>
      <c r="L45" s="9"/>
    </row>
    <row r="46" spans="2:12" ht="14.7" customHeight="1" thickBot="1" x14ac:dyDescent="0.55000000000000004">
      <c r="B46" s="8"/>
      <c r="F46" s="9"/>
      <c r="H46" s="8"/>
      <c r="I46" s="38"/>
      <c r="J46" s="38"/>
      <c r="K46" s="38"/>
      <c r="L46" s="9"/>
    </row>
    <row r="47" spans="2:12" ht="14.7" customHeight="1" thickBot="1" x14ac:dyDescent="0.55000000000000004">
      <c r="B47" s="29" t="s">
        <v>28</v>
      </c>
      <c r="C47" s="31"/>
      <c r="F47" s="9"/>
      <c r="H47" s="29" t="s">
        <v>28</v>
      </c>
      <c r="I47" s="31"/>
      <c r="J47" s="38"/>
      <c r="K47" s="38"/>
      <c r="L47" s="9"/>
    </row>
    <row r="48" spans="2:12" ht="14.7" customHeight="1" thickBot="1" x14ac:dyDescent="0.55000000000000004">
      <c r="B48" s="11" t="s">
        <v>29</v>
      </c>
      <c r="C48" s="13">
        <v>24640</v>
      </c>
      <c r="F48" s="9"/>
      <c r="H48" s="24" t="s">
        <v>29</v>
      </c>
      <c r="I48" s="13">
        <v>21460</v>
      </c>
      <c r="J48" s="38"/>
      <c r="K48" s="38"/>
      <c r="L48" s="9"/>
    </row>
    <row r="49" spans="2:12" ht="14.7" customHeight="1" thickBot="1" x14ac:dyDescent="0.55000000000000004">
      <c r="B49" s="8"/>
      <c r="F49" s="9"/>
      <c r="H49" s="8"/>
      <c r="I49" s="38"/>
      <c r="J49" s="38"/>
      <c r="K49" s="38"/>
      <c r="L49" s="9"/>
    </row>
    <row r="50" spans="2:12" ht="14.7" customHeight="1" thickBot="1" x14ac:dyDescent="0.55000000000000004">
      <c r="B50" s="29" t="s">
        <v>30</v>
      </c>
      <c r="C50" s="30"/>
      <c r="D50" s="31"/>
      <c r="F50" s="9"/>
      <c r="H50" s="35" t="s">
        <v>30</v>
      </c>
      <c r="I50" s="36"/>
      <c r="J50" s="37"/>
      <c r="K50" s="38"/>
      <c r="L50" s="9"/>
    </row>
    <row r="51" spans="2:12" ht="14.7" customHeight="1" thickBot="1" x14ac:dyDescent="0.55000000000000004">
      <c r="B51" s="11" t="s">
        <v>31</v>
      </c>
      <c r="C51" s="12" t="s">
        <v>32</v>
      </c>
      <c r="D51" s="13" t="s">
        <v>33</v>
      </c>
      <c r="F51" s="9"/>
      <c r="H51" s="24" t="s">
        <v>31</v>
      </c>
      <c r="I51" s="18" t="s">
        <v>61</v>
      </c>
      <c r="J51" s="21" t="s">
        <v>33</v>
      </c>
      <c r="K51" s="38"/>
      <c r="L51" s="9"/>
    </row>
    <row r="52" spans="2:12" ht="14.7" customHeight="1" x14ac:dyDescent="0.5">
      <c r="B52" s="23" t="s">
        <v>34</v>
      </c>
      <c r="C52" s="26">
        <v>3723604.7856601998</v>
      </c>
      <c r="D52" s="27">
        <f>C52*25</f>
        <v>93090119.641505003</v>
      </c>
      <c r="F52" s="9"/>
      <c r="H52" s="3" t="s">
        <v>34</v>
      </c>
      <c r="I52" s="40">
        <v>3084910.9337740201</v>
      </c>
      <c r="J52" s="27">
        <f>I52*25</f>
        <v>77122773.344350502</v>
      </c>
      <c r="K52" s="38"/>
      <c r="L52" s="9"/>
    </row>
    <row r="53" spans="2:12" ht="14.7" customHeight="1" thickBot="1" x14ac:dyDescent="0.55000000000000004">
      <c r="B53" s="16" t="s">
        <v>35</v>
      </c>
      <c r="C53" s="25">
        <v>825456.64526438899</v>
      </c>
      <c r="D53" s="28">
        <f>C53*25</f>
        <v>20636416.131609723</v>
      </c>
      <c r="F53" s="9"/>
      <c r="H53" s="16" t="s">
        <v>35</v>
      </c>
      <c r="I53" s="25">
        <v>1182093.543486872</v>
      </c>
      <c r="J53" s="28">
        <f>I53*25</f>
        <v>29552338.5871718</v>
      </c>
      <c r="K53" s="38"/>
      <c r="L53" s="9"/>
    </row>
    <row r="54" spans="2:12" ht="14.7" customHeight="1" thickBot="1" x14ac:dyDescent="0.55000000000000004">
      <c r="B54" s="8"/>
      <c r="F54" s="9"/>
      <c r="H54" s="8"/>
      <c r="I54" s="39"/>
      <c r="J54" s="10"/>
      <c r="K54" s="38"/>
      <c r="L54" s="9"/>
    </row>
    <row r="55" spans="2:12" ht="14.7" customHeight="1" thickBot="1" x14ac:dyDescent="0.55000000000000004">
      <c r="B55" s="29" t="s">
        <v>36</v>
      </c>
      <c r="C55" s="30"/>
      <c r="D55" s="31"/>
      <c r="F55" s="9"/>
      <c r="H55" s="35" t="s">
        <v>36</v>
      </c>
      <c r="I55" s="36"/>
      <c r="J55" s="37"/>
      <c r="K55" s="38"/>
      <c r="L55" s="9"/>
    </row>
    <row r="56" spans="2:12" ht="14.7" customHeight="1" thickBot="1" x14ac:dyDescent="0.55000000000000004">
      <c r="B56" s="11" t="s">
        <v>31</v>
      </c>
      <c r="C56" s="12" t="s">
        <v>32</v>
      </c>
      <c r="D56" s="13" t="s">
        <v>33</v>
      </c>
      <c r="F56" s="9"/>
      <c r="H56" s="24" t="s">
        <v>31</v>
      </c>
      <c r="I56" s="20">
        <v>837877.043741095</v>
      </c>
      <c r="J56" s="21" t="s">
        <v>33</v>
      </c>
      <c r="K56" s="38"/>
      <c r="L56" s="9"/>
    </row>
    <row r="57" spans="2:12" ht="14.7" customHeight="1" thickBot="1" x14ac:dyDescent="0.55000000000000004">
      <c r="B57" s="23" t="s">
        <v>34</v>
      </c>
      <c r="C57">
        <v>1011349.44795709</v>
      </c>
      <c r="D57" s="9">
        <f>C57*25</f>
        <v>25283736.19892725</v>
      </c>
      <c r="F57" s="9"/>
      <c r="H57" s="16" t="s">
        <v>34</v>
      </c>
      <c r="I57" s="14">
        <v>461737.48940251902</v>
      </c>
      <c r="J57" s="15">
        <f>I57*25</f>
        <v>11543437.235062975</v>
      </c>
      <c r="K57" s="38"/>
      <c r="L57" s="9"/>
    </row>
    <row r="58" spans="2:12" ht="14.7" customHeight="1" thickBot="1" x14ac:dyDescent="0.55000000000000004">
      <c r="B58" s="16" t="s">
        <v>35</v>
      </c>
      <c r="C58" s="12">
        <v>385787.289685936</v>
      </c>
      <c r="D58" s="13">
        <f>C58*25</f>
        <v>9644682.2421483994</v>
      </c>
      <c r="F58" s="9"/>
      <c r="H58" s="8" t="s">
        <v>35</v>
      </c>
      <c r="I58" s="12">
        <v>1182093.543486872</v>
      </c>
      <c r="J58" s="38">
        <f>I58*25</f>
        <v>29552338.5871718</v>
      </c>
      <c r="K58" s="38"/>
      <c r="L58" s="9"/>
    </row>
    <row r="59" spans="2:12" ht="14.7" customHeight="1" thickBot="1" x14ac:dyDescent="0.55000000000000004">
      <c r="B59" s="8"/>
      <c r="F59" s="9"/>
      <c r="H59" s="8"/>
      <c r="I59" s="38"/>
      <c r="J59" s="38"/>
      <c r="K59" s="38"/>
      <c r="L59" s="9"/>
    </row>
    <row r="60" spans="2:12" ht="14.7" customHeight="1" thickBot="1" x14ac:dyDescent="0.55000000000000004">
      <c r="B60" s="29" t="s">
        <v>37</v>
      </c>
      <c r="C60" s="31"/>
      <c r="F60" s="9"/>
      <c r="H60" s="29" t="s">
        <v>38</v>
      </c>
      <c r="I60" s="31"/>
      <c r="J60" s="38"/>
      <c r="K60" s="38"/>
      <c r="L60" s="9"/>
    </row>
    <row r="61" spans="2:12" ht="14.7" customHeight="1" thickBot="1" x14ac:dyDescent="0.55000000000000004">
      <c r="B61" s="24" t="s">
        <v>39</v>
      </c>
      <c r="C61" s="13">
        <v>221842.78421600501</v>
      </c>
      <c r="F61" s="9"/>
      <c r="H61" s="24" t="s">
        <v>39</v>
      </c>
      <c r="I61" s="13">
        <v>193130.147201574</v>
      </c>
      <c r="J61" s="38"/>
      <c r="K61" s="38"/>
      <c r="L61" s="9"/>
    </row>
    <row r="62" spans="2:12" ht="14.7" customHeight="1" thickBot="1" x14ac:dyDescent="0.55000000000000004">
      <c r="B62" s="8"/>
      <c r="F62" s="9"/>
      <c r="H62" s="8"/>
      <c r="I62" s="38"/>
      <c r="J62" s="38"/>
      <c r="K62" s="38"/>
      <c r="L62" s="9"/>
    </row>
    <row r="63" spans="2:12" ht="14.7" customHeight="1" thickBot="1" x14ac:dyDescent="0.55000000000000004">
      <c r="B63" s="29" t="s">
        <v>40</v>
      </c>
      <c r="C63" s="31"/>
      <c r="F63" s="9"/>
      <c r="H63" s="29" t="s">
        <v>40</v>
      </c>
      <c r="I63" s="31"/>
      <c r="J63" s="38"/>
      <c r="K63" s="38"/>
      <c r="L63" s="9"/>
    </row>
    <row r="64" spans="2:12" ht="14.7" customHeight="1" thickBot="1" x14ac:dyDescent="0.55000000000000004">
      <c r="B64" s="29">
        <f>E23/B70</f>
        <v>0.73278314666231814</v>
      </c>
      <c r="C64" s="31"/>
      <c r="F64" s="9"/>
      <c r="H64" s="29">
        <f>K23/B70</f>
        <v>0.53314642670291479</v>
      </c>
      <c r="I64" s="31"/>
      <c r="J64" s="38"/>
      <c r="K64" s="38"/>
      <c r="L64" s="9"/>
    </row>
    <row r="65" spans="2:12" x14ac:dyDescent="0.5">
      <c r="B65" s="8"/>
      <c r="F65" s="9"/>
      <c r="H65" s="8"/>
      <c r="I65" s="38"/>
      <c r="J65" s="38"/>
      <c r="K65" s="38"/>
      <c r="L65" s="9"/>
    </row>
    <row r="66" spans="2:12" ht="14.7" customHeight="1" thickBot="1" x14ac:dyDescent="0.55000000000000004">
      <c r="B66" s="11"/>
      <c r="C66" s="12"/>
      <c r="D66" s="12"/>
      <c r="E66" s="12"/>
      <c r="F66" s="13"/>
      <c r="G66" s="12"/>
      <c r="H66" s="11"/>
      <c r="I66" s="12"/>
      <c r="J66" s="12"/>
      <c r="K66" s="12"/>
      <c r="L66" s="13"/>
    </row>
    <row r="67" spans="2:12" ht="14.7" customHeight="1" thickBot="1" x14ac:dyDescent="0.55000000000000004">
      <c r="B67" s="11"/>
      <c r="C67" s="12"/>
      <c r="L67" s="9"/>
    </row>
    <row r="68" spans="2:12" ht="14.7" customHeight="1" thickBot="1" x14ac:dyDescent="0.55000000000000004">
      <c r="B68" s="32" t="s">
        <v>41</v>
      </c>
      <c r="C68" s="33"/>
      <c r="L68" s="9"/>
    </row>
    <row r="69" spans="2:12" ht="14.7" customHeight="1" thickBot="1" x14ac:dyDescent="0.55000000000000004">
      <c r="B69" s="17" t="s">
        <v>42</v>
      </c>
      <c r="C69" s="19" t="s">
        <v>43</v>
      </c>
      <c r="L69" s="9"/>
    </row>
    <row r="70" spans="2:12" ht="14.7" customHeight="1" thickBot="1" x14ac:dyDescent="0.55000000000000004">
      <c r="B70" s="11">
        <f>C108</f>
        <v>7620640.4492448559</v>
      </c>
      <c r="C70" s="13">
        <f>D108</f>
        <v>190516011.23112139</v>
      </c>
      <c r="D70" s="12"/>
      <c r="E70" s="12"/>
      <c r="F70" s="12"/>
      <c r="G70" s="12"/>
      <c r="H70" s="12"/>
      <c r="I70" s="12"/>
      <c r="J70" s="12"/>
      <c r="K70" s="12"/>
      <c r="L70" s="13"/>
    </row>
    <row r="71" spans="2:12" ht="14.7" customHeight="1" thickBot="1" x14ac:dyDescent="0.55000000000000004"/>
    <row r="72" spans="2:12" ht="14.7" customHeight="1" thickBot="1" x14ac:dyDescent="0.55000000000000004">
      <c r="B72" s="29" t="s">
        <v>44</v>
      </c>
      <c r="C72" s="30"/>
      <c r="D72" s="30"/>
      <c r="E72" s="30"/>
      <c r="F72" s="31"/>
    </row>
    <row r="73" spans="2:12" ht="14.7" customHeight="1" thickBot="1" x14ac:dyDescent="0.55000000000000004">
      <c r="B73" s="29" t="s">
        <v>45</v>
      </c>
      <c r="C73" s="30"/>
      <c r="D73" s="30"/>
      <c r="E73" s="30"/>
      <c r="F73" s="31"/>
    </row>
    <row r="74" spans="2:12" ht="14.7" customHeight="1" thickBot="1" x14ac:dyDescent="0.55000000000000004">
      <c r="B74" s="24" t="s">
        <v>46</v>
      </c>
      <c r="C74" s="18" t="s">
        <v>4</v>
      </c>
      <c r="D74" s="18" t="s">
        <v>5</v>
      </c>
      <c r="E74" s="18" t="s">
        <v>6</v>
      </c>
      <c r="F74" s="19" t="s">
        <v>7</v>
      </c>
    </row>
    <row r="75" spans="2:12" x14ac:dyDescent="0.5">
      <c r="B75" s="23" t="s">
        <v>9</v>
      </c>
      <c r="C75">
        <v>6385.7211569306637</v>
      </c>
      <c r="D75">
        <v>14900</v>
      </c>
      <c r="E75">
        <f>C75+D75</f>
        <v>21285.721156930664</v>
      </c>
      <c r="F75" s="9">
        <f>E75*25</f>
        <v>532143.02892326657</v>
      </c>
    </row>
    <row r="76" spans="2:12" x14ac:dyDescent="0.5">
      <c r="B76" s="3" t="s">
        <v>10</v>
      </c>
      <c r="C76">
        <v>0</v>
      </c>
      <c r="D76">
        <v>0</v>
      </c>
      <c r="E76">
        <f>C76+D76</f>
        <v>0</v>
      </c>
      <c r="F76" s="9">
        <f>E76*25</f>
        <v>0</v>
      </c>
    </row>
    <row r="77" spans="2:12" x14ac:dyDescent="0.5">
      <c r="B77" s="3" t="s">
        <v>14</v>
      </c>
      <c r="C77">
        <v>70952.457299229587</v>
      </c>
      <c r="D77">
        <v>114000</v>
      </c>
      <c r="E77">
        <f>C77+D77</f>
        <v>184952.45729922957</v>
      </c>
      <c r="F77" s="9">
        <f>E77*25</f>
        <v>4623811.4324807394</v>
      </c>
    </row>
    <row r="78" spans="2:12" x14ac:dyDescent="0.5">
      <c r="B78" s="3" t="s">
        <v>47</v>
      </c>
      <c r="C78">
        <v>0</v>
      </c>
      <c r="D78">
        <v>0</v>
      </c>
      <c r="E78">
        <f>C78+D78</f>
        <v>0</v>
      </c>
      <c r="F78" s="9">
        <f>E78*25</f>
        <v>0</v>
      </c>
    </row>
    <row r="79" spans="2:12" ht="14.7" customHeight="1" thickBot="1" x14ac:dyDescent="0.55000000000000004">
      <c r="B79" s="16" t="s">
        <v>48</v>
      </c>
      <c r="C79" s="12"/>
      <c r="D79" s="12"/>
      <c r="E79">
        <f>C79+D79</f>
        <v>0</v>
      </c>
      <c r="F79" s="9">
        <f>E79*25</f>
        <v>0</v>
      </c>
    </row>
    <row r="80" spans="2:12" ht="14.7" customHeight="1" thickBot="1" x14ac:dyDescent="0.55000000000000004">
      <c r="B80" s="17" t="s">
        <v>49</v>
      </c>
      <c r="C80" s="18" t="s">
        <v>4</v>
      </c>
      <c r="D80" s="18" t="s">
        <v>5</v>
      </c>
      <c r="E80" s="18" t="s">
        <v>6</v>
      </c>
      <c r="F80" s="19" t="s">
        <v>7</v>
      </c>
    </row>
    <row r="81" spans="2:6" x14ac:dyDescent="0.5">
      <c r="B81" s="23" t="s">
        <v>18</v>
      </c>
      <c r="C81">
        <v>48075.452390244973</v>
      </c>
      <c r="D81">
        <v>59912.639999999992</v>
      </c>
      <c r="E81">
        <f>C81+D81</f>
        <v>107988.09239024497</v>
      </c>
      <c r="F81" s="9">
        <f>E81*25</f>
        <v>2699702.3097561244</v>
      </c>
    </row>
    <row r="82" spans="2:6" ht="14.7" customHeight="1" thickBot="1" x14ac:dyDescent="0.55000000000000004">
      <c r="B82" s="16" t="s">
        <v>50</v>
      </c>
      <c r="C82" s="12"/>
      <c r="D82" s="12"/>
      <c r="E82">
        <f>C82+D82</f>
        <v>0</v>
      </c>
      <c r="F82" s="9">
        <f>E82*25</f>
        <v>0</v>
      </c>
    </row>
    <row r="83" spans="2:6" ht="14.7" customHeight="1" thickBot="1" x14ac:dyDescent="0.55000000000000004">
      <c r="B83" s="17"/>
      <c r="C83" s="18" t="s">
        <v>4</v>
      </c>
      <c r="D83" s="18" t="s">
        <v>5</v>
      </c>
      <c r="E83" s="18" t="s">
        <v>6</v>
      </c>
      <c r="F83" s="19" t="s">
        <v>7</v>
      </c>
    </row>
    <row r="84" spans="2:6" ht="14.7" customHeight="1" thickBot="1" x14ac:dyDescent="0.55000000000000004">
      <c r="B84" s="24" t="s">
        <v>22</v>
      </c>
      <c r="C84" s="12">
        <v>125413.6308464052</v>
      </c>
      <c r="D84" s="12">
        <v>6284448.5600112705</v>
      </c>
      <c r="E84" s="12">
        <v>6409862.1908576749</v>
      </c>
      <c r="F84" s="13">
        <f>E84*25</f>
        <v>160246554.77144188</v>
      </c>
    </row>
    <row r="85" spans="2:6" ht="14.7" customHeight="1" thickBot="1" x14ac:dyDescent="0.55000000000000004">
      <c r="B85" s="8"/>
      <c r="F85" s="9"/>
    </row>
    <row r="86" spans="2:6" ht="14.7" customHeight="1" thickBot="1" x14ac:dyDescent="0.55000000000000004">
      <c r="B86" s="29" t="s">
        <v>46</v>
      </c>
      <c r="C86" s="30"/>
      <c r="D86" s="31"/>
      <c r="F86" s="9"/>
    </row>
    <row r="87" spans="2:6" ht="14.7" customHeight="1" thickBot="1" x14ac:dyDescent="0.55000000000000004">
      <c r="B87" s="24" t="s">
        <v>23</v>
      </c>
      <c r="C87" s="18" t="s">
        <v>24</v>
      </c>
      <c r="D87" s="19" t="s">
        <v>25</v>
      </c>
      <c r="F87" s="9"/>
    </row>
    <row r="88" spans="2:6" x14ac:dyDescent="0.5">
      <c r="B88" s="23" t="s">
        <v>9</v>
      </c>
      <c r="C88">
        <v>1</v>
      </c>
      <c r="D88" s="9">
        <v>100</v>
      </c>
      <c r="F88" s="9"/>
    </row>
    <row r="89" spans="2:6" x14ac:dyDescent="0.5">
      <c r="B89" s="3" t="s">
        <v>10</v>
      </c>
      <c r="C89">
        <v>0</v>
      </c>
      <c r="D89" s="9">
        <v>0</v>
      </c>
      <c r="F89" s="9"/>
    </row>
    <row r="90" spans="2:6" x14ac:dyDescent="0.5">
      <c r="B90" s="3" t="s">
        <v>14</v>
      </c>
      <c r="C90">
        <v>1</v>
      </c>
      <c r="D90" s="9">
        <v>1000</v>
      </c>
      <c r="F90" s="9"/>
    </row>
    <row r="91" spans="2:6" x14ac:dyDescent="0.5">
      <c r="B91" s="3" t="s">
        <v>47</v>
      </c>
      <c r="C91">
        <v>0</v>
      </c>
      <c r="D91" s="9">
        <v>0</v>
      </c>
      <c r="F91" s="9"/>
    </row>
    <row r="92" spans="2:6" ht="14.7" customHeight="1" thickBot="1" x14ac:dyDescent="0.55000000000000004">
      <c r="B92" s="16" t="s">
        <v>26</v>
      </c>
      <c r="C92" s="12">
        <v>2</v>
      </c>
      <c r="D92" s="13">
        <v>1100</v>
      </c>
      <c r="F92" s="9"/>
    </row>
    <row r="93" spans="2:6" ht="14.7" customHeight="1" thickBot="1" x14ac:dyDescent="0.55000000000000004">
      <c r="B93" s="8"/>
      <c r="F93" s="9"/>
    </row>
    <row r="94" spans="2:6" ht="14.7" customHeight="1" thickBot="1" x14ac:dyDescent="0.55000000000000004">
      <c r="B94" s="29" t="s">
        <v>51</v>
      </c>
      <c r="C94" s="30"/>
      <c r="D94" s="31"/>
      <c r="F94" s="9"/>
    </row>
    <row r="95" spans="2:6" ht="14.7" customHeight="1" thickBot="1" x14ac:dyDescent="0.55000000000000004">
      <c r="B95" s="17" t="s">
        <v>23</v>
      </c>
      <c r="C95" s="18" t="s">
        <v>24</v>
      </c>
      <c r="D95" s="19" t="s">
        <v>25</v>
      </c>
      <c r="F95" s="9"/>
    </row>
    <row r="96" spans="2:6" ht="14.7" customHeight="1" thickBot="1" x14ac:dyDescent="0.55000000000000004">
      <c r="B96" s="24" t="s">
        <v>18</v>
      </c>
      <c r="C96" s="12">
        <v>213</v>
      </c>
      <c r="D96" s="13">
        <v>3744.54</v>
      </c>
      <c r="F96" s="9"/>
    </row>
    <row r="97" spans="2:6" ht="14.7" customHeight="1" thickBot="1" x14ac:dyDescent="0.55000000000000004">
      <c r="B97" s="8"/>
      <c r="F97" s="9"/>
    </row>
    <row r="98" spans="2:6" ht="14.7" customHeight="1" thickBot="1" x14ac:dyDescent="0.55000000000000004">
      <c r="B98" s="29" t="s">
        <v>52</v>
      </c>
      <c r="C98" s="30"/>
      <c r="D98" s="31"/>
      <c r="F98" s="9"/>
    </row>
    <row r="99" spans="2:6" ht="14.7" customHeight="1" thickBot="1" x14ac:dyDescent="0.55000000000000004">
      <c r="B99" s="17" t="s">
        <v>53</v>
      </c>
      <c r="C99" s="18" t="s">
        <v>54</v>
      </c>
      <c r="D99" s="19" t="s">
        <v>55</v>
      </c>
      <c r="F99" s="9"/>
    </row>
    <row r="100" spans="2:6" x14ac:dyDescent="0.5">
      <c r="B100" s="23" t="s">
        <v>56</v>
      </c>
      <c r="C100">
        <v>1665789.4736842101</v>
      </c>
      <c r="D100" s="9">
        <f>C100*25</f>
        <v>41644736.842105255</v>
      </c>
      <c r="F100" s="9"/>
    </row>
    <row r="101" spans="2:6" x14ac:dyDescent="0.5">
      <c r="B101" s="3" t="s">
        <v>57</v>
      </c>
      <c r="C101">
        <v>1255675.1417058059</v>
      </c>
      <c r="D101" s="9">
        <f>C101*25</f>
        <v>31391878.542645149</v>
      </c>
      <c r="F101" s="9"/>
    </row>
    <row r="102" spans="2:6" ht="14.7" customHeight="1" thickBot="1" x14ac:dyDescent="0.55000000000000004">
      <c r="B102" s="16" t="s">
        <v>26</v>
      </c>
      <c r="C102" s="12">
        <f>C100+C101</f>
        <v>2921464.6153900158</v>
      </c>
      <c r="D102" s="13">
        <f>C102*25</f>
        <v>73036615.384750396</v>
      </c>
      <c r="F102" s="9"/>
    </row>
    <row r="103" spans="2:6" ht="14.7" customHeight="1" thickBot="1" x14ac:dyDescent="0.55000000000000004">
      <c r="B103" s="8"/>
      <c r="F103" s="9"/>
    </row>
    <row r="104" spans="2:6" ht="14.7" customHeight="1" thickBot="1" x14ac:dyDescent="0.55000000000000004">
      <c r="B104" s="29" t="s">
        <v>58</v>
      </c>
      <c r="C104" s="30"/>
      <c r="D104" s="31"/>
      <c r="F104" s="9"/>
    </row>
    <row r="105" spans="2:6" ht="14.7" customHeight="1" thickBot="1" x14ac:dyDescent="0.55000000000000004">
      <c r="B105" s="17" t="s">
        <v>53</v>
      </c>
      <c r="C105" s="18" t="s">
        <v>59</v>
      </c>
      <c r="D105" s="22" t="s">
        <v>60</v>
      </c>
      <c r="F105" s="9"/>
    </row>
    <row r="106" spans="2:6" x14ac:dyDescent="0.5">
      <c r="B106" s="23" t="s">
        <v>56</v>
      </c>
      <c r="C106">
        <f>2.6085*C100</f>
        <v>4345211.842105262</v>
      </c>
      <c r="D106" s="9">
        <f>C106*25</f>
        <v>108630296.05263156</v>
      </c>
      <c r="F106" s="9"/>
    </row>
    <row r="107" spans="2:6" x14ac:dyDescent="0.5">
      <c r="B107" s="3" t="s">
        <v>57</v>
      </c>
      <c r="C107">
        <f>2.6085*C101</f>
        <v>3275428.6071395944</v>
      </c>
      <c r="D107" s="9">
        <f>C107*25</f>
        <v>81885715.178489864</v>
      </c>
      <c r="F107" s="9"/>
    </row>
    <row r="108" spans="2:6" ht="14.7" customHeight="1" thickBot="1" x14ac:dyDescent="0.55000000000000004">
      <c r="B108" s="16" t="s">
        <v>26</v>
      </c>
      <c r="C108" s="12">
        <f>2.6085*C102</f>
        <v>7620640.4492448559</v>
      </c>
      <c r="D108" s="13">
        <f>C108*25</f>
        <v>190516011.23112139</v>
      </c>
      <c r="E108" s="12"/>
      <c r="F108" s="13"/>
    </row>
  </sheetData>
  <mergeCells count="30">
    <mergeCell ref="H64:I64"/>
    <mergeCell ref="H50:J50"/>
    <mergeCell ref="H55:J55"/>
    <mergeCell ref="B86:D86"/>
    <mergeCell ref="B104:D104"/>
    <mergeCell ref="B73:F73"/>
    <mergeCell ref="B36:D36"/>
    <mergeCell ref="B94:D94"/>
    <mergeCell ref="B50:D50"/>
    <mergeCell ref="B68:C68"/>
    <mergeCell ref="B64:C64"/>
    <mergeCell ref="B47:C47"/>
    <mergeCell ref="B98:D98"/>
    <mergeCell ref="B72:F72"/>
    <mergeCell ref="H33:I33"/>
    <mergeCell ref="B5:L5"/>
    <mergeCell ref="B63:C63"/>
    <mergeCell ref="B43:D43"/>
    <mergeCell ref="H25:J25"/>
    <mergeCell ref="H6:L6"/>
    <mergeCell ref="H60:I60"/>
    <mergeCell ref="B60:C60"/>
    <mergeCell ref="B55:D55"/>
    <mergeCell ref="H47:I47"/>
    <mergeCell ref="B25:D25"/>
    <mergeCell ref="H43:J43"/>
    <mergeCell ref="B6:F6"/>
    <mergeCell ref="B33:C33"/>
    <mergeCell ref="H36:J36"/>
    <mergeCell ref="H63:I63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1"/>
  <dimension ref="B4:N108"/>
  <sheetViews>
    <sheetView tabSelected="1" topLeftCell="A15" zoomScale="70" zoomScaleNormal="70" workbookViewId="0">
      <selection activeCell="M29" sqref="M29"/>
    </sheetView>
  </sheetViews>
  <sheetFormatPr defaultColWidth="39.234375" defaultRowHeight="14.35" x14ac:dyDescent="0.5"/>
  <cols>
    <col min="1" max="1" width="13.52734375" customWidth="1"/>
    <col min="2" max="2" width="15.234375" bestFit="1" customWidth="1"/>
    <col min="3" max="3" width="17.64453125" bestFit="1" customWidth="1"/>
    <col min="4" max="4" width="18.64453125" bestFit="1" customWidth="1"/>
    <col min="5" max="5" width="12.46875" bestFit="1" customWidth="1"/>
    <col min="6" max="6" width="13.5859375" bestFit="1" customWidth="1"/>
    <col min="7" max="7" width="12.46875" customWidth="1"/>
    <col min="8" max="8" width="15.234375" bestFit="1" customWidth="1"/>
    <col min="9" max="9" width="15.703125" bestFit="1" customWidth="1"/>
    <col min="10" max="10" width="18" bestFit="1" customWidth="1"/>
    <col min="11" max="11" width="12.46875" bestFit="1" customWidth="1"/>
    <col min="12" max="12" width="14.5859375" bestFit="1" customWidth="1"/>
    <col min="13" max="14" width="13.41015625" bestFit="1" customWidth="1"/>
    <col min="15" max="15" width="11.76171875" bestFit="1" customWidth="1"/>
  </cols>
  <sheetData>
    <row r="4" spans="2:14" ht="14.7" customHeight="1" thickBot="1" x14ac:dyDescent="0.55000000000000004"/>
    <row r="5" spans="2:14" ht="14.7" customHeight="1" thickBot="1" x14ac:dyDescent="0.55000000000000004">
      <c r="B5" s="29" t="s">
        <v>0</v>
      </c>
      <c r="C5" s="30"/>
      <c r="D5" s="30"/>
      <c r="E5" s="30"/>
      <c r="F5" s="30"/>
      <c r="G5" s="30"/>
      <c r="H5" s="30"/>
      <c r="I5" s="30"/>
      <c r="J5" s="30"/>
      <c r="K5" s="30"/>
      <c r="L5" s="31"/>
    </row>
    <row r="6" spans="2:14" ht="14.7" customHeight="1" thickBot="1" x14ac:dyDescent="0.55000000000000004">
      <c r="B6" s="29" t="s">
        <v>1</v>
      </c>
      <c r="C6" s="30"/>
      <c r="D6" s="30"/>
      <c r="E6" s="30"/>
      <c r="F6" s="31"/>
      <c r="H6" s="29" t="s">
        <v>2</v>
      </c>
      <c r="I6" s="30"/>
      <c r="J6" s="30"/>
      <c r="K6" s="30"/>
      <c r="L6" s="31"/>
    </row>
    <row r="7" spans="2:14" ht="14.7" customHeight="1" thickBot="1" x14ac:dyDescent="0.55000000000000004">
      <c r="B7" s="24" t="s">
        <v>3</v>
      </c>
      <c r="C7" s="18" t="s">
        <v>4</v>
      </c>
      <c r="D7" s="18" t="s">
        <v>5</v>
      </c>
      <c r="E7" s="18" t="s">
        <v>6</v>
      </c>
      <c r="F7" s="19" t="s">
        <v>7</v>
      </c>
      <c r="H7" s="24" t="s">
        <v>3</v>
      </c>
      <c r="I7" s="18" t="s">
        <v>4</v>
      </c>
      <c r="J7" s="18" t="s">
        <v>5</v>
      </c>
      <c r="K7" s="18" t="s">
        <v>6</v>
      </c>
      <c r="L7" s="19" t="s">
        <v>7</v>
      </c>
    </row>
    <row r="8" spans="2:14" x14ac:dyDescent="0.5">
      <c r="B8" s="3" t="s">
        <v>8</v>
      </c>
      <c r="C8" s="6">
        <f>13698 * D27*((0.05*((1.05)^25))/((1.05^25)-1))</f>
        <v>2041004.1961781795</v>
      </c>
      <c r="D8" s="6">
        <f>29*D27</f>
        <v>60900</v>
      </c>
      <c r="E8" s="6">
        <f>C8+D8</f>
        <v>2101904.1961781792</v>
      </c>
      <c r="F8" s="10">
        <f>E8*25</f>
        <v>52547604.904454485</v>
      </c>
      <c r="H8" s="3" t="s">
        <v>9</v>
      </c>
      <c r="I8" s="39">
        <f>1615 * J27*((0.05*((1.05)^25))/((1.05^25)-1))</f>
        <v>34376.465561476754</v>
      </c>
      <c r="J8" s="39">
        <f>29*J27</f>
        <v>8700</v>
      </c>
      <c r="K8" s="39">
        <f>I8+J8</f>
        <v>43076.465561476754</v>
      </c>
      <c r="L8" s="10">
        <f>K8*25</f>
        <v>1076911.6390369188</v>
      </c>
    </row>
    <row r="9" spans="2:14" x14ac:dyDescent="0.5">
      <c r="B9" s="3" t="s">
        <v>10</v>
      </c>
      <c r="C9" s="6">
        <f>13698 * D28*((0.05*((1.05)^25))/((1.05^25)-1))</f>
        <v>0</v>
      </c>
      <c r="D9" s="6">
        <f>29*D28</f>
        <v>0</v>
      </c>
      <c r="E9" s="6">
        <f>C9+D9</f>
        <v>0</v>
      </c>
      <c r="F9" s="10">
        <f>E9*25</f>
        <v>0</v>
      </c>
      <c r="H9" s="3" t="s">
        <v>10</v>
      </c>
      <c r="I9" s="39">
        <f>1615 * J28*((0.05*((1.05)^25))/((1.05^25)-1))</f>
        <v>229176.43707651168</v>
      </c>
      <c r="J9" s="39">
        <f>29*J28</f>
        <v>58000</v>
      </c>
      <c r="K9" s="39">
        <f>I9+J9</f>
        <v>287176.43707651168</v>
      </c>
      <c r="L9" s="10">
        <f>K9*25</f>
        <v>7179410.926912792</v>
      </c>
      <c r="M9" s="7"/>
      <c r="N9" s="6"/>
    </row>
    <row r="10" spans="2:14" x14ac:dyDescent="0.5">
      <c r="B10" s="3" t="s">
        <v>11</v>
      </c>
      <c r="C10" s="6">
        <f>13698 * D29*((0.05*((1.05)^25))/((1.05^25)-1))</f>
        <v>0</v>
      </c>
      <c r="D10" s="6">
        <f>29*D29</f>
        <v>0</v>
      </c>
      <c r="E10" s="6">
        <f>C10+D10</f>
        <v>0</v>
      </c>
      <c r="F10" s="10">
        <f>E10*25</f>
        <v>0</v>
      </c>
      <c r="H10" s="3" t="s">
        <v>11</v>
      </c>
      <c r="I10" s="39">
        <f>1615 * J29*((0.05*((1.05)^25))/((1.05^25)-1))</f>
        <v>0</v>
      </c>
      <c r="J10" s="39">
        <f>29*J29</f>
        <v>0</v>
      </c>
      <c r="K10" s="39">
        <f>I10+J10</f>
        <v>0</v>
      </c>
      <c r="L10" s="10">
        <f>K10*25</f>
        <v>0</v>
      </c>
      <c r="M10" s="7"/>
    </row>
    <row r="11" spans="2:14" ht="14.7" customHeight="1" thickBot="1" x14ac:dyDescent="0.55000000000000004">
      <c r="B11" s="16" t="s">
        <v>12</v>
      </c>
      <c r="C11" s="14">
        <f>13698 * D30*((0.05*((1.05)^25))/((1.05^25)-1))</f>
        <v>0</v>
      </c>
      <c r="D11" s="14">
        <f>29*D30</f>
        <v>0</v>
      </c>
      <c r="E11" s="14">
        <f>C11+D11</f>
        <v>0</v>
      </c>
      <c r="F11" s="15">
        <f>E11*25</f>
        <v>0</v>
      </c>
      <c r="H11" s="16" t="s">
        <v>12</v>
      </c>
      <c r="I11" s="14">
        <f>1615 * J30*((0.05*((1.05)^25))/((1.05^25)-1))</f>
        <v>0</v>
      </c>
      <c r="J11" s="14">
        <f>29*J30</f>
        <v>0</v>
      </c>
      <c r="K11" s="14">
        <f>I11+J11</f>
        <v>0</v>
      </c>
      <c r="L11" s="13">
        <f>K11*25</f>
        <v>0</v>
      </c>
    </row>
    <row r="12" spans="2:14" ht="14.7" customHeight="1" thickBot="1" x14ac:dyDescent="0.55000000000000004">
      <c r="B12" s="24" t="s">
        <v>13</v>
      </c>
      <c r="C12" s="18" t="s">
        <v>4</v>
      </c>
      <c r="D12" s="18" t="s">
        <v>5</v>
      </c>
      <c r="E12" s="18" t="s">
        <v>6</v>
      </c>
      <c r="F12" s="19" t="s">
        <v>7</v>
      </c>
      <c r="H12" s="24" t="s">
        <v>13</v>
      </c>
      <c r="I12" s="18" t="s">
        <v>4</v>
      </c>
      <c r="J12" s="18" t="s">
        <v>5</v>
      </c>
      <c r="K12" s="18" t="s">
        <v>6</v>
      </c>
      <c r="L12" s="19" t="s">
        <v>7</v>
      </c>
    </row>
    <row r="13" spans="2:14" x14ac:dyDescent="0.5">
      <c r="B13" s="3" t="s">
        <v>14</v>
      </c>
      <c r="C13" s="4">
        <f>2490 * D38*((0.05*((1.05)^10))/((1.05^10)-1))</f>
        <v>644932.78332797438</v>
      </c>
      <c r="D13" s="1">
        <f>37.35*D38</f>
        <v>74700</v>
      </c>
      <c r="E13">
        <f>C13+D13</f>
        <v>719632.78332797438</v>
      </c>
      <c r="F13" s="9">
        <f>E13*25</f>
        <v>17990819.583199359</v>
      </c>
      <c r="H13" s="3" t="s">
        <v>14</v>
      </c>
      <c r="I13" s="4">
        <f>2490 * J38*((0.05*((1.05)^10))/((1.05^10)-1))</f>
        <v>644932.78332797438</v>
      </c>
      <c r="J13" s="1">
        <f>37.35*J38</f>
        <v>74700</v>
      </c>
      <c r="K13" s="39">
        <f>I13+J13</f>
        <v>719632.78332797438</v>
      </c>
      <c r="L13" s="10">
        <f>K13*25</f>
        <v>17990819.583199359</v>
      </c>
    </row>
    <row r="14" spans="2:14" x14ac:dyDescent="0.5">
      <c r="B14" s="3" t="s">
        <v>15</v>
      </c>
      <c r="C14" s="4">
        <f>1570 * D39*((0.05*((1.05)^10))/((1.05^10)-1))</f>
        <v>0</v>
      </c>
      <c r="D14" s="1">
        <f>23.55*D39</f>
        <v>0</v>
      </c>
      <c r="E14">
        <f>C14+D14</f>
        <v>0</v>
      </c>
      <c r="F14" s="9">
        <f>E14*25</f>
        <v>0</v>
      </c>
      <c r="H14" s="3" t="s">
        <v>15</v>
      </c>
      <c r="I14" s="4">
        <f>1570 * J39*((0.05*((1.05)^10))/((1.05^10)-1))</f>
        <v>0</v>
      </c>
      <c r="J14" s="1">
        <f>23.55*J39</f>
        <v>0</v>
      </c>
      <c r="K14" s="38">
        <f>I14+J14</f>
        <v>0</v>
      </c>
      <c r="L14" s="10">
        <f>K14*25</f>
        <v>0</v>
      </c>
    </row>
    <row r="15" spans="2:14" ht="14.7" customHeight="1" thickBot="1" x14ac:dyDescent="0.55000000000000004">
      <c r="B15" s="16" t="s">
        <v>16</v>
      </c>
      <c r="C15" s="5">
        <f>1190 * D40*((0.05*((1.05)^10))/((1.05^10)-1))</f>
        <v>0</v>
      </c>
      <c r="D15" s="2">
        <f>17.85*D40</f>
        <v>0</v>
      </c>
      <c r="E15" s="12">
        <f>C15+D15</f>
        <v>0</v>
      </c>
      <c r="F15" s="13">
        <f>E15*25</f>
        <v>0</v>
      </c>
      <c r="H15" s="16" t="s">
        <v>16</v>
      </c>
      <c r="I15" s="5">
        <f>1190 * J40*((0.05*((1.05)^10))/((1.05^10)-1))</f>
        <v>0</v>
      </c>
      <c r="J15" s="2">
        <f>17.85*J40</f>
        <v>0</v>
      </c>
      <c r="K15" s="12">
        <f>I15+J15</f>
        <v>0</v>
      </c>
      <c r="L15" s="15">
        <f>K15*25</f>
        <v>0</v>
      </c>
    </row>
    <row r="16" spans="2:14" ht="14.7" customHeight="1" thickBot="1" x14ac:dyDescent="0.55000000000000004">
      <c r="B16" s="24" t="s">
        <v>17</v>
      </c>
      <c r="C16" s="18" t="s">
        <v>4</v>
      </c>
      <c r="D16" s="18" t="s">
        <v>5</v>
      </c>
      <c r="E16" s="18" t="s">
        <v>6</v>
      </c>
      <c r="F16" s="19" t="s">
        <v>7</v>
      </c>
      <c r="H16" s="24" t="s">
        <v>17</v>
      </c>
      <c r="I16" s="18" t="s">
        <v>4</v>
      </c>
      <c r="J16" s="18" t="s">
        <v>5</v>
      </c>
      <c r="K16" s="18" t="s">
        <v>6</v>
      </c>
      <c r="L16" s="19" t="s">
        <v>7</v>
      </c>
    </row>
    <row r="17" spans="2:14" ht="14.7" customHeight="1" thickBot="1" x14ac:dyDescent="0.55000000000000004">
      <c r="B17" s="16" t="s">
        <v>18</v>
      </c>
      <c r="C17" s="12">
        <v>28213.29365624706</v>
      </c>
      <c r="D17" s="12">
        <v>35160</v>
      </c>
      <c r="E17" s="12">
        <f>D17+C17</f>
        <v>63373.293656247057</v>
      </c>
      <c r="F17" s="13">
        <f>E17*25</f>
        <v>1584332.3414061763</v>
      </c>
      <c r="H17" s="16" t="s">
        <v>18</v>
      </c>
      <c r="I17" s="12">
        <v>28213.29365624706</v>
      </c>
      <c r="J17" s="12">
        <v>35160</v>
      </c>
      <c r="K17" s="12">
        <f>J17+I17</f>
        <v>63373.293656247057</v>
      </c>
      <c r="L17" s="15">
        <f>K17*25</f>
        <v>1584332.3414061763</v>
      </c>
    </row>
    <row r="18" spans="2:14" ht="14.7" customHeight="1" thickBot="1" x14ac:dyDescent="0.55000000000000004">
      <c r="B18" s="24" t="s">
        <v>19</v>
      </c>
      <c r="C18" s="18" t="s">
        <v>4</v>
      </c>
      <c r="D18" s="18" t="s">
        <v>5</v>
      </c>
      <c r="E18" s="18" t="s">
        <v>6</v>
      </c>
      <c r="F18" s="19" t="s">
        <v>7</v>
      </c>
      <c r="H18" s="24" t="s">
        <v>20</v>
      </c>
      <c r="I18" s="18" t="s">
        <v>4</v>
      </c>
      <c r="J18" s="18" t="s">
        <v>5</v>
      </c>
      <c r="K18" s="18" t="s">
        <v>6</v>
      </c>
      <c r="L18" s="19" t="s">
        <v>7</v>
      </c>
    </row>
    <row r="19" spans="2:14" ht="14.7" customHeight="1" thickBot="1" x14ac:dyDescent="0.55000000000000004">
      <c r="B19" s="11"/>
      <c r="C19" s="12">
        <f>C48*300*((0.05*((1.05)^20))/((1.05^20)-1))</f>
        <v>164417.06115372651</v>
      </c>
      <c r="D19" s="12">
        <v>0</v>
      </c>
      <c r="E19" s="12">
        <f>D19+C19</f>
        <v>164417.06115372651</v>
      </c>
      <c r="F19" s="13">
        <f>E19*25</f>
        <v>4110426.5288431626</v>
      </c>
      <c r="H19" s="11"/>
      <c r="I19" s="14">
        <f>(I48/10)*3000*((0.05*((1.05)^20))/((1.05^20)-1))</f>
        <v>104957.30404542424</v>
      </c>
      <c r="J19" s="12">
        <v>0</v>
      </c>
      <c r="K19" s="12">
        <f>J19+I19</f>
        <v>104957.30404542424</v>
      </c>
      <c r="L19" s="15">
        <f>K19*25</f>
        <v>2623932.6011356059</v>
      </c>
    </row>
    <row r="20" spans="2:14" ht="14.7" customHeight="1" thickBot="1" x14ac:dyDescent="0.55000000000000004">
      <c r="B20" s="24" t="s">
        <v>21</v>
      </c>
      <c r="C20" s="18" t="s">
        <v>4</v>
      </c>
      <c r="D20" s="18" t="s">
        <v>5</v>
      </c>
      <c r="E20" s="18" t="s">
        <v>6</v>
      </c>
      <c r="F20" s="19" t="s">
        <v>7</v>
      </c>
      <c r="H20" s="24" t="s">
        <v>21</v>
      </c>
      <c r="I20" s="18" t="s">
        <v>4</v>
      </c>
      <c r="J20" s="18" t="s">
        <v>5</v>
      </c>
      <c r="K20" s="18" t="s">
        <v>6</v>
      </c>
      <c r="L20" s="19" t="s">
        <v>7</v>
      </c>
    </row>
    <row r="21" spans="2:14" ht="14.7" customHeight="1" thickBot="1" x14ac:dyDescent="0.55000000000000004">
      <c r="B21" s="11"/>
      <c r="C21" s="12">
        <v>0</v>
      </c>
      <c r="D21" s="12">
        <v>0</v>
      </c>
      <c r="E21" s="12">
        <f>C21+D21</f>
        <v>0</v>
      </c>
      <c r="F21" s="13">
        <f>E21*25</f>
        <v>0</v>
      </c>
      <c r="H21" s="11"/>
      <c r="I21" s="12">
        <v>0</v>
      </c>
      <c r="J21" s="12">
        <v>0</v>
      </c>
      <c r="K21" s="12">
        <f>J21+I21</f>
        <v>0</v>
      </c>
      <c r="L21" s="13">
        <f>K21*25</f>
        <v>0</v>
      </c>
    </row>
    <row r="22" spans="2:14" ht="14.7" customHeight="1" thickBot="1" x14ac:dyDescent="0.55000000000000004">
      <c r="B22" s="17"/>
      <c r="C22" s="18" t="s">
        <v>4</v>
      </c>
      <c r="D22" s="18" t="s">
        <v>5</v>
      </c>
      <c r="E22" s="18" t="s">
        <v>6</v>
      </c>
      <c r="F22" s="19" t="s">
        <v>7</v>
      </c>
      <c r="H22" s="17"/>
      <c r="I22" s="18" t="s">
        <v>4</v>
      </c>
      <c r="J22" s="18" t="s">
        <v>5</v>
      </c>
      <c r="K22" s="18" t="s">
        <v>6</v>
      </c>
      <c r="L22" s="19" t="s">
        <v>7</v>
      </c>
    </row>
    <row r="23" spans="2:14" ht="14.7" customHeight="1" thickBot="1" x14ac:dyDescent="0.55000000000000004">
      <c r="B23" s="24" t="s">
        <v>22</v>
      </c>
      <c r="C23" s="12">
        <v>3010245.4198960508</v>
      </c>
      <c r="D23" s="12">
        <v>170760</v>
      </c>
      <c r="E23" s="25">
        <v>3181005.4198960508</v>
      </c>
      <c r="F23" s="13">
        <f>D23*25</f>
        <v>4269000</v>
      </c>
      <c r="H23" s="24" t="s">
        <v>22</v>
      </c>
      <c r="I23" s="14">
        <v>1041656.283667634</v>
      </c>
      <c r="J23" s="14">
        <v>176560</v>
      </c>
      <c r="K23" s="14">
        <v>4062917.2247025901</v>
      </c>
      <c r="L23" s="15">
        <f>K23*25</f>
        <v>101572930.61756475</v>
      </c>
      <c r="M23" s="6"/>
    </row>
    <row r="24" spans="2:14" ht="14.7" customHeight="1" thickBot="1" x14ac:dyDescent="0.55000000000000004">
      <c r="B24" s="8"/>
      <c r="F24" s="9"/>
      <c r="H24" s="8"/>
      <c r="I24" s="39"/>
      <c r="J24" s="39"/>
      <c r="K24" s="39"/>
      <c r="L24" s="10"/>
      <c r="M24" s="6"/>
      <c r="N24" s="7"/>
    </row>
    <row r="25" spans="2:14" ht="14.7" customHeight="1" thickBot="1" x14ac:dyDescent="0.55000000000000004">
      <c r="B25" s="29" t="s">
        <v>3</v>
      </c>
      <c r="C25" s="30"/>
      <c r="D25" s="31"/>
      <c r="F25" s="9"/>
      <c r="H25" s="29" t="s">
        <v>3</v>
      </c>
      <c r="I25" s="30"/>
      <c r="J25" s="31"/>
      <c r="K25" s="38"/>
      <c r="L25" s="10"/>
      <c r="M25" s="6"/>
    </row>
    <row r="26" spans="2:14" ht="14.7" customHeight="1" thickBot="1" x14ac:dyDescent="0.55000000000000004">
      <c r="B26" s="17" t="s">
        <v>23</v>
      </c>
      <c r="C26" s="18" t="s">
        <v>24</v>
      </c>
      <c r="D26" s="19" t="s">
        <v>25</v>
      </c>
      <c r="F26" s="9"/>
      <c r="H26" s="17" t="s">
        <v>23</v>
      </c>
      <c r="I26" s="18" t="s">
        <v>24</v>
      </c>
      <c r="J26" s="19" t="s">
        <v>25</v>
      </c>
      <c r="K26" s="38"/>
      <c r="L26" s="10"/>
      <c r="M26" s="6"/>
    </row>
    <row r="27" spans="2:14" x14ac:dyDescent="0.5">
      <c r="B27" s="23" t="s">
        <v>9</v>
      </c>
      <c r="C27">
        <v>21</v>
      </c>
      <c r="D27" s="9">
        <v>2100</v>
      </c>
      <c r="F27" s="9"/>
      <c r="H27" s="8" t="s">
        <v>9</v>
      </c>
      <c r="I27" s="38">
        <v>3</v>
      </c>
      <c r="J27" s="9">
        <v>300</v>
      </c>
      <c r="K27" s="38"/>
      <c r="L27" s="9"/>
    </row>
    <row r="28" spans="2:14" x14ac:dyDescent="0.5">
      <c r="B28" s="3" t="s">
        <v>10</v>
      </c>
      <c r="C28">
        <v>0</v>
      </c>
      <c r="D28" s="9">
        <v>0</v>
      </c>
      <c r="F28" s="9"/>
      <c r="H28" s="8" t="s">
        <v>10</v>
      </c>
      <c r="I28" s="38">
        <v>4</v>
      </c>
      <c r="J28" s="9">
        <v>2000</v>
      </c>
      <c r="K28" s="38"/>
      <c r="L28" s="9"/>
    </row>
    <row r="29" spans="2:14" x14ac:dyDescent="0.5">
      <c r="B29" s="3" t="s">
        <v>11</v>
      </c>
      <c r="C29">
        <v>0</v>
      </c>
      <c r="D29" s="9">
        <v>0</v>
      </c>
      <c r="F29" s="9"/>
      <c r="H29" s="8" t="s">
        <v>11</v>
      </c>
      <c r="I29" s="38">
        <v>0</v>
      </c>
      <c r="J29" s="9">
        <v>0</v>
      </c>
      <c r="K29" s="38"/>
      <c r="L29" s="9"/>
    </row>
    <row r="30" spans="2:14" x14ac:dyDescent="0.5">
      <c r="B30" s="3" t="s">
        <v>12</v>
      </c>
      <c r="C30">
        <v>0</v>
      </c>
      <c r="D30" s="9">
        <v>0</v>
      </c>
      <c r="F30" s="9"/>
      <c r="H30" s="8" t="s">
        <v>12</v>
      </c>
      <c r="I30" s="38">
        <v>0</v>
      </c>
      <c r="J30" s="9">
        <v>0</v>
      </c>
      <c r="K30" s="38"/>
      <c r="L30" s="9"/>
    </row>
    <row r="31" spans="2:14" ht="14.7" customHeight="1" thickBot="1" x14ac:dyDescent="0.55000000000000004">
      <c r="B31" s="16" t="s">
        <v>26</v>
      </c>
      <c r="C31" s="12">
        <v>21</v>
      </c>
      <c r="D31" s="13">
        <v>2100</v>
      </c>
      <c r="F31" s="9"/>
      <c r="H31" s="11" t="s">
        <v>26</v>
      </c>
      <c r="I31" s="12">
        <v>7</v>
      </c>
      <c r="J31" s="13">
        <v>2300</v>
      </c>
      <c r="K31" s="38"/>
      <c r="L31" s="9"/>
    </row>
    <row r="32" spans="2:14" ht="14.7" customHeight="1" thickBot="1" x14ac:dyDescent="0.55000000000000004">
      <c r="B32" s="8"/>
      <c r="F32" s="9"/>
      <c r="H32" s="8"/>
      <c r="I32" s="38"/>
      <c r="J32" s="38"/>
      <c r="K32" s="38"/>
      <c r="L32" s="9"/>
    </row>
    <row r="33" spans="2:12" ht="14.7" customHeight="1" thickBot="1" x14ac:dyDescent="0.55000000000000004">
      <c r="B33" s="29" t="s">
        <v>21</v>
      </c>
      <c r="C33" s="31"/>
      <c r="F33" s="9"/>
      <c r="H33" s="29" t="s">
        <v>21</v>
      </c>
      <c r="I33" s="31"/>
      <c r="J33" s="38"/>
      <c r="K33" s="38"/>
      <c r="L33" s="9"/>
    </row>
    <row r="34" spans="2:12" ht="14.7" customHeight="1" thickBot="1" x14ac:dyDescent="0.55000000000000004">
      <c r="B34" s="24" t="s">
        <v>25</v>
      </c>
      <c r="C34" s="13">
        <v>0</v>
      </c>
      <c r="F34" s="9"/>
      <c r="H34" s="24" t="s">
        <v>25</v>
      </c>
      <c r="I34" s="13">
        <v>0</v>
      </c>
      <c r="J34" s="38"/>
      <c r="K34" s="38"/>
      <c r="L34" s="9"/>
    </row>
    <row r="35" spans="2:12" ht="14.7" customHeight="1" thickBot="1" x14ac:dyDescent="0.55000000000000004">
      <c r="B35" s="8"/>
      <c r="F35" s="9"/>
      <c r="H35" s="8"/>
      <c r="I35" s="38"/>
      <c r="J35" s="38"/>
      <c r="K35" s="38"/>
      <c r="L35" s="9"/>
    </row>
    <row r="36" spans="2:12" ht="14.7" customHeight="1" thickBot="1" x14ac:dyDescent="0.55000000000000004">
      <c r="B36" s="29" t="s">
        <v>13</v>
      </c>
      <c r="C36" s="30"/>
      <c r="D36" s="31"/>
      <c r="F36" s="9"/>
      <c r="H36" s="29" t="s">
        <v>13</v>
      </c>
      <c r="I36" s="30"/>
      <c r="J36" s="31"/>
      <c r="K36" s="38"/>
      <c r="L36" s="9"/>
    </row>
    <row r="37" spans="2:12" ht="14.7" customHeight="1" thickBot="1" x14ac:dyDescent="0.55000000000000004">
      <c r="B37" s="24" t="s">
        <v>23</v>
      </c>
      <c r="C37" s="18" t="s">
        <v>24</v>
      </c>
      <c r="D37" s="19" t="s">
        <v>25</v>
      </c>
      <c r="F37" s="9"/>
      <c r="H37" s="17" t="s">
        <v>23</v>
      </c>
      <c r="I37" s="18" t="s">
        <v>24</v>
      </c>
      <c r="J37" s="19" t="s">
        <v>25</v>
      </c>
      <c r="K37" s="38"/>
      <c r="L37" s="9"/>
    </row>
    <row r="38" spans="2:12" x14ac:dyDescent="0.5">
      <c r="B38" s="23" t="s">
        <v>14</v>
      </c>
      <c r="C38">
        <v>2</v>
      </c>
      <c r="D38" s="9">
        <v>2000</v>
      </c>
      <c r="F38" s="9"/>
      <c r="H38" s="23" t="s">
        <v>14</v>
      </c>
      <c r="I38" s="38">
        <v>2</v>
      </c>
      <c r="J38" s="9">
        <v>2000</v>
      </c>
      <c r="K38" s="38"/>
      <c r="L38" s="9"/>
    </row>
    <row r="39" spans="2:12" x14ac:dyDescent="0.5">
      <c r="B39" s="3" t="s">
        <v>15</v>
      </c>
      <c r="C39">
        <v>0</v>
      </c>
      <c r="D39" s="9">
        <v>0</v>
      </c>
      <c r="F39" s="9"/>
      <c r="H39" s="3" t="s">
        <v>15</v>
      </c>
      <c r="I39" s="38">
        <v>0</v>
      </c>
      <c r="J39" s="9">
        <v>0</v>
      </c>
      <c r="K39" s="38"/>
      <c r="L39" s="9"/>
    </row>
    <row r="40" spans="2:12" x14ac:dyDescent="0.5">
      <c r="B40" s="3" t="s">
        <v>16</v>
      </c>
      <c r="C40">
        <v>0</v>
      </c>
      <c r="D40" s="9">
        <v>0</v>
      </c>
      <c r="F40" s="9"/>
      <c r="H40" s="3" t="s">
        <v>16</v>
      </c>
      <c r="I40" s="38">
        <v>0</v>
      </c>
      <c r="J40" s="9">
        <v>0</v>
      </c>
      <c r="K40" s="38"/>
      <c r="L40" s="9"/>
    </row>
    <row r="41" spans="2:12" ht="14.7" customHeight="1" thickBot="1" x14ac:dyDescent="0.55000000000000004">
      <c r="B41" s="16" t="s">
        <v>26</v>
      </c>
      <c r="C41" s="12">
        <v>2</v>
      </c>
      <c r="D41" s="13">
        <v>2000</v>
      </c>
      <c r="F41" s="9"/>
      <c r="H41" s="16" t="s">
        <v>26</v>
      </c>
      <c r="I41" s="12">
        <v>2</v>
      </c>
      <c r="J41" s="13">
        <v>2000</v>
      </c>
      <c r="K41" s="38"/>
      <c r="L41" s="9"/>
    </row>
    <row r="42" spans="2:12" ht="14.7" customHeight="1" thickBot="1" x14ac:dyDescent="0.55000000000000004">
      <c r="B42" s="8"/>
      <c r="F42" s="9"/>
      <c r="H42" s="8"/>
      <c r="I42" s="38"/>
      <c r="J42" s="38"/>
      <c r="K42" s="38"/>
      <c r="L42" s="9"/>
    </row>
    <row r="43" spans="2:12" ht="14.7" customHeight="1" thickBot="1" x14ac:dyDescent="0.55000000000000004">
      <c r="B43" s="29" t="s">
        <v>27</v>
      </c>
      <c r="C43" s="30"/>
      <c r="D43" s="31"/>
      <c r="F43" s="9"/>
      <c r="H43" s="29" t="s">
        <v>27</v>
      </c>
      <c r="I43" s="30"/>
      <c r="J43" s="31"/>
      <c r="K43" s="38"/>
      <c r="L43" s="9"/>
    </row>
    <row r="44" spans="2:12" ht="14.7" customHeight="1" thickBot="1" x14ac:dyDescent="0.55000000000000004">
      <c r="B44" s="24" t="s">
        <v>23</v>
      </c>
      <c r="C44" s="18" t="s">
        <v>24</v>
      </c>
      <c r="D44" s="19" t="s">
        <v>25</v>
      </c>
      <c r="F44" s="9"/>
      <c r="H44" s="17" t="s">
        <v>23</v>
      </c>
      <c r="I44" s="18" t="s">
        <v>24</v>
      </c>
      <c r="J44" s="19" t="s">
        <v>25</v>
      </c>
      <c r="K44" s="38"/>
      <c r="L44" s="9"/>
    </row>
    <row r="45" spans="2:12" ht="14.7" customHeight="1" thickBot="1" x14ac:dyDescent="0.55000000000000004">
      <c r="B45" s="24" t="s">
        <v>18</v>
      </c>
      <c r="C45" s="12">
        <v>125</v>
      </c>
      <c r="D45" s="13">
        <v>2197.5</v>
      </c>
      <c r="F45" s="9"/>
      <c r="H45" s="24" t="s">
        <v>18</v>
      </c>
      <c r="I45" s="12">
        <v>125</v>
      </c>
      <c r="J45" s="13">
        <v>2197.5</v>
      </c>
      <c r="K45" s="38"/>
      <c r="L45" s="9"/>
    </row>
    <row r="46" spans="2:12" ht="14.7" customHeight="1" thickBot="1" x14ac:dyDescent="0.55000000000000004">
      <c r="B46" s="8"/>
      <c r="F46" s="9"/>
      <c r="H46" s="8"/>
      <c r="I46" s="38"/>
      <c r="J46" s="38"/>
      <c r="K46" s="38"/>
      <c r="L46" s="9"/>
    </row>
    <row r="47" spans="2:12" ht="14.7" customHeight="1" thickBot="1" x14ac:dyDescent="0.55000000000000004">
      <c r="B47" s="29" t="s">
        <v>28</v>
      </c>
      <c r="C47" s="31"/>
      <c r="F47" s="9"/>
      <c r="H47" s="29" t="s">
        <v>28</v>
      </c>
      <c r="I47" s="31"/>
      <c r="J47" s="38"/>
      <c r="K47" s="38"/>
      <c r="L47" s="9"/>
    </row>
    <row r="48" spans="2:12" ht="14.7" customHeight="1" thickBot="1" x14ac:dyDescent="0.55000000000000004">
      <c r="B48" s="11" t="s">
        <v>29</v>
      </c>
      <c r="C48" s="13">
        <v>6830</v>
      </c>
      <c r="F48" s="9"/>
      <c r="H48" s="24" t="s">
        <v>29</v>
      </c>
      <c r="I48" s="13">
        <v>4360</v>
      </c>
      <c r="J48" s="38"/>
      <c r="K48" s="38"/>
      <c r="L48" s="9"/>
    </row>
    <row r="49" spans="2:12" ht="14.7" customHeight="1" thickBot="1" x14ac:dyDescent="0.55000000000000004">
      <c r="B49" s="8"/>
      <c r="F49" s="9"/>
      <c r="H49" s="8"/>
      <c r="I49" s="38"/>
      <c r="J49" s="38"/>
      <c r="K49" s="38"/>
      <c r="L49" s="9"/>
    </row>
    <row r="50" spans="2:12" ht="14.7" customHeight="1" thickBot="1" x14ac:dyDescent="0.55000000000000004">
      <c r="B50" s="29" t="s">
        <v>30</v>
      </c>
      <c r="C50" s="30"/>
      <c r="D50" s="31"/>
      <c r="F50" s="9"/>
      <c r="H50" s="35" t="s">
        <v>30</v>
      </c>
      <c r="I50" s="36"/>
      <c r="J50" s="37"/>
      <c r="K50" s="38"/>
      <c r="L50" s="9"/>
    </row>
    <row r="51" spans="2:12" ht="14.7" customHeight="1" thickBot="1" x14ac:dyDescent="0.55000000000000004">
      <c r="B51" s="11" t="s">
        <v>31</v>
      </c>
      <c r="C51" s="12" t="s">
        <v>32</v>
      </c>
      <c r="D51" s="13" t="s">
        <v>33</v>
      </c>
      <c r="F51" s="9"/>
      <c r="H51" s="24" t="s">
        <v>31</v>
      </c>
      <c r="I51" s="18" t="s">
        <v>61</v>
      </c>
      <c r="J51" s="21" t="s">
        <v>33</v>
      </c>
      <c r="K51" s="38"/>
      <c r="L51" s="9"/>
    </row>
    <row r="52" spans="2:12" ht="14.7" customHeight="1" x14ac:dyDescent="0.5">
      <c r="B52" s="23" t="s">
        <v>34</v>
      </c>
      <c r="C52" s="26">
        <v>2084457.4580610101</v>
      </c>
      <c r="D52" s="27">
        <f>C52*25</f>
        <v>52111436.451525256</v>
      </c>
      <c r="F52" s="9"/>
      <c r="H52" s="3" t="s">
        <v>34</v>
      </c>
      <c r="I52" s="40">
        <v>2173488.69196263</v>
      </c>
      <c r="J52" s="27">
        <f>I52*25</f>
        <v>54337217.299065754</v>
      </c>
      <c r="K52" s="38"/>
      <c r="L52" s="9"/>
    </row>
    <row r="53" spans="2:12" ht="14.7" customHeight="1" thickBot="1" x14ac:dyDescent="0.55000000000000004">
      <c r="B53" s="16" t="s">
        <v>35</v>
      </c>
      <c r="C53" s="25">
        <v>655375.11333161092</v>
      </c>
      <c r="D53" s="28">
        <f>C53*25</f>
        <v>16384377.833290273</v>
      </c>
      <c r="F53" s="9"/>
      <c r="H53" s="16" t="s">
        <v>35</v>
      </c>
      <c r="I53" s="25">
        <v>238472.27987174049</v>
      </c>
      <c r="J53" s="28">
        <f>I53*25</f>
        <v>5961806.9967935123</v>
      </c>
      <c r="K53" s="38"/>
      <c r="L53" s="9"/>
    </row>
    <row r="54" spans="2:12" ht="14.7" customHeight="1" thickBot="1" x14ac:dyDescent="0.55000000000000004">
      <c r="B54" s="8"/>
      <c r="F54" s="9"/>
      <c r="H54" s="8"/>
      <c r="I54" s="39"/>
      <c r="J54" s="10"/>
      <c r="K54" s="38"/>
      <c r="L54" s="9"/>
    </row>
    <row r="55" spans="2:12" ht="14.7" customHeight="1" thickBot="1" x14ac:dyDescent="0.55000000000000004">
      <c r="B55" s="29" t="s">
        <v>36</v>
      </c>
      <c r="C55" s="30"/>
      <c r="D55" s="31"/>
      <c r="F55" s="9"/>
      <c r="H55" s="35" t="s">
        <v>36</v>
      </c>
      <c r="I55" s="36"/>
      <c r="J55" s="37"/>
      <c r="K55" s="38"/>
      <c r="L55" s="9"/>
    </row>
    <row r="56" spans="2:12" ht="14.7" customHeight="1" thickBot="1" x14ac:dyDescent="0.55000000000000004">
      <c r="B56" s="11" t="s">
        <v>31</v>
      </c>
      <c r="C56" s="12" t="s">
        <v>32</v>
      </c>
      <c r="D56" s="13" t="s">
        <v>33</v>
      </c>
      <c r="F56" s="9"/>
      <c r="H56" s="24" t="s">
        <v>31</v>
      </c>
      <c r="I56" s="20">
        <v>590330.26201454399</v>
      </c>
      <c r="J56" s="21" t="s">
        <v>33</v>
      </c>
      <c r="K56" s="38"/>
      <c r="L56" s="9"/>
    </row>
    <row r="57" spans="2:12" ht="14.7" customHeight="1" thickBot="1" x14ac:dyDescent="0.55000000000000004">
      <c r="B57" s="23" t="s">
        <v>34</v>
      </c>
      <c r="C57">
        <v>566148.93922644702</v>
      </c>
      <c r="D57" s="9">
        <f>C57*25</f>
        <v>14153723.480661176</v>
      </c>
      <c r="F57" s="9"/>
      <c r="H57" s="16" t="s">
        <v>34</v>
      </c>
      <c r="I57" s="14">
        <v>93309.003010282104</v>
      </c>
      <c r="J57" s="15">
        <f>I57*25</f>
        <v>2332725.0752570527</v>
      </c>
      <c r="K57" s="38"/>
      <c r="L57" s="9"/>
    </row>
    <row r="58" spans="2:12" ht="14.7" customHeight="1" thickBot="1" x14ac:dyDescent="0.55000000000000004">
      <c r="B58" s="16" t="s">
        <v>35</v>
      </c>
      <c r="C58" s="12">
        <v>258574.33244028999</v>
      </c>
      <c r="D58" s="13">
        <f>C58*25</f>
        <v>6464358.3110072501</v>
      </c>
      <c r="F58" s="9"/>
      <c r="H58" s="8" t="s">
        <v>35</v>
      </c>
      <c r="I58" s="12">
        <v>238472.27987174049</v>
      </c>
      <c r="J58" s="38">
        <f>I58*25</f>
        <v>5961806.9967935123</v>
      </c>
      <c r="K58" s="38"/>
      <c r="L58" s="9"/>
    </row>
    <row r="59" spans="2:12" ht="14.7" customHeight="1" thickBot="1" x14ac:dyDescent="0.55000000000000004">
      <c r="B59" s="8"/>
      <c r="F59" s="9"/>
      <c r="H59" s="8"/>
      <c r="I59" s="38"/>
      <c r="J59" s="38"/>
      <c r="K59" s="38"/>
      <c r="L59" s="9"/>
    </row>
    <row r="60" spans="2:12" ht="14.7" customHeight="1" thickBot="1" x14ac:dyDescent="0.55000000000000004">
      <c r="B60" s="29" t="s">
        <v>37</v>
      </c>
      <c r="C60" s="31"/>
      <c r="F60" s="9"/>
      <c r="H60" s="29" t="s">
        <v>38</v>
      </c>
      <c r="I60" s="31"/>
      <c r="J60" s="38"/>
      <c r="K60" s="38"/>
      <c r="L60" s="9"/>
    </row>
    <row r="61" spans="2:12" ht="14.7" customHeight="1" thickBot="1" x14ac:dyDescent="0.55000000000000004">
      <c r="B61" s="24" t="s">
        <v>39</v>
      </c>
      <c r="C61" s="13">
        <v>110614.719226577</v>
      </c>
      <c r="F61" s="9"/>
      <c r="H61" s="24" t="s">
        <v>39</v>
      </c>
      <c r="I61" s="13">
        <v>39180.323502619503</v>
      </c>
      <c r="J61" s="38"/>
      <c r="K61" s="38"/>
      <c r="L61" s="9"/>
    </row>
    <row r="62" spans="2:12" ht="14.7" customHeight="1" thickBot="1" x14ac:dyDescent="0.55000000000000004">
      <c r="B62" s="8"/>
      <c r="F62" s="9"/>
      <c r="H62" s="8"/>
      <c r="I62" s="38"/>
      <c r="J62" s="38"/>
      <c r="K62" s="38"/>
      <c r="L62" s="9"/>
    </row>
    <row r="63" spans="2:12" ht="14.7" customHeight="1" thickBot="1" x14ac:dyDescent="0.55000000000000004">
      <c r="B63" s="29" t="s">
        <v>40</v>
      </c>
      <c r="C63" s="31"/>
      <c r="F63" s="9"/>
      <c r="H63" s="29" t="s">
        <v>40</v>
      </c>
      <c r="I63" s="31"/>
      <c r="J63" s="38"/>
      <c r="K63" s="38"/>
      <c r="L63" s="9"/>
    </row>
    <row r="64" spans="2:12" ht="14.7" customHeight="1" thickBot="1" x14ac:dyDescent="0.55000000000000004">
      <c r="B64" s="29">
        <f>E23/B70</f>
        <v>0.86720792465786112</v>
      </c>
      <c r="C64" s="31"/>
      <c r="F64" s="9"/>
      <c r="H64" s="29">
        <f>K23/B70</f>
        <v>1.1076353383283917</v>
      </c>
      <c r="I64" s="31"/>
      <c r="J64" s="38"/>
      <c r="K64" s="38"/>
      <c r="L64" s="9"/>
    </row>
    <row r="65" spans="2:12" x14ac:dyDescent="0.5">
      <c r="B65" s="8"/>
      <c r="F65" s="9"/>
      <c r="H65" s="8"/>
      <c r="I65" s="38"/>
      <c r="J65" s="38"/>
      <c r="K65" s="38"/>
      <c r="L65" s="9"/>
    </row>
    <row r="66" spans="2:12" ht="14.7" customHeight="1" thickBot="1" x14ac:dyDescent="0.55000000000000004">
      <c r="B66" s="11"/>
      <c r="C66" s="12"/>
      <c r="D66" s="12"/>
      <c r="E66" s="12"/>
      <c r="F66" s="13"/>
      <c r="G66" s="12"/>
      <c r="H66" s="11"/>
      <c r="I66" s="12"/>
      <c r="J66" s="12"/>
      <c r="K66" s="12"/>
      <c r="L66" s="13"/>
    </row>
    <row r="67" spans="2:12" ht="14.7" customHeight="1" thickBot="1" x14ac:dyDescent="0.55000000000000004">
      <c r="B67" s="11"/>
      <c r="C67" s="12"/>
      <c r="L67" s="9"/>
    </row>
    <row r="68" spans="2:12" ht="14.7" customHeight="1" thickBot="1" x14ac:dyDescent="0.55000000000000004">
      <c r="B68" s="32" t="s">
        <v>41</v>
      </c>
      <c r="C68" s="33"/>
      <c r="L68" s="9"/>
    </row>
    <row r="69" spans="2:12" ht="14.7" customHeight="1" thickBot="1" x14ac:dyDescent="0.55000000000000004">
      <c r="B69" s="17" t="s">
        <v>42</v>
      </c>
      <c r="C69" s="19" t="s">
        <v>43</v>
      </c>
      <c r="L69" s="9"/>
    </row>
    <row r="70" spans="2:12" ht="14.7" customHeight="1" thickBot="1" x14ac:dyDescent="0.55000000000000004">
      <c r="B70" s="11">
        <f>C108</f>
        <v>3668100.0362756723</v>
      </c>
      <c r="C70" s="13">
        <f>D108</f>
        <v>91702500.906891808</v>
      </c>
      <c r="D70" s="12"/>
      <c r="E70" s="12"/>
      <c r="F70" s="12"/>
      <c r="G70" s="12"/>
      <c r="H70" s="12"/>
      <c r="I70" s="12"/>
      <c r="J70" s="12"/>
      <c r="K70" s="12"/>
      <c r="L70" s="13"/>
    </row>
    <row r="71" spans="2:12" ht="14.7" customHeight="1" thickBot="1" x14ac:dyDescent="0.55000000000000004"/>
    <row r="72" spans="2:12" ht="14.7" customHeight="1" thickBot="1" x14ac:dyDescent="0.55000000000000004">
      <c r="B72" s="29" t="s">
        <v>44</v>
      </c>
      <c r="C72" s="30"/>
      <c r="D72" s="30"/>
      <c r="E72" s="30"/>
      <c r="F72" s="31"/>
    </row>
    <row r="73" spans="2:12" ht="14.7" customHeight="1" thickBot="1" x14ac:dyDescent="0.55000000000000004">
      <c r="B73" s="29" t="s">
        <v>45</v>
      </c>
      <c r="C73" s="30"/>
      <c r="D73" s="30"/>
      <c r="E73" s="30"/>
      <c r="F73" s="31"/>
    </row>
    <row r="74" spans="2:12" ht="14.7" customHeight="1" thickBot="1" x14ac:dyDescent="0.55000000000000004">
      <c r="B74" s="24" t="s">
        <v>46</v>
      </c>
      <c r="C74" s="18" t="s">
        <v>4</v>
      </c>
      <c r="D74" s="18" t="s">
        <v>5</v>
      </c>
      <c r="E74" s="18" t="s">
        <v>6</v>
      </c>
      <c r="F74" s="19" t="s">
        <v>7</v>
      </c>
    </row>
    <row r="75" spans="2:12" x14ac:dyDescent="0.5">
      <c r="B75" s="23" t="s">
        <v>9</v>
      </c>
      <c r="C75">
        <v>25542.884627722651</v>
      </c>
      <c r="D75">
        <v>59600</v>
      </c>
      <c r="E75">
        <f>C75+D75</f>
        <v>85142.884627722655</v>
      </c>
      <c r="F75" s="9">
        <f>E75*25</f>
        <v>2128572.1156930663</v>
      </c>
    </row>
    <row r="76" spans="2:12" x14ac:dyDescent="0.5">
      <c r="B76" s="3" t="s">
        <v>10</v>
      </c>
      <c r="C76">
        <v>0</v>
      </c>
      <c r="D76">
        <v>0</v>
      </c>
      <c r="E76">
        <f>C76+D76</f>
        <v>0</v>
      </c>
      <c r="F76" s="9">
        <f>E76*25</f>
        <v>0</v>
      </c>
    </row>
    <row r="77" spans="2:12" x14ac:dyDescent="0.5">
      <c r="B77" s="3" t="s">
        <v>14</v>
      </c>
      <c r="C77">
        <v>0</v>
      </c>
      <c r="D77">
        <v>0</v>
      </c>
      <c r="E77">
        <f>C77+D77</f>
        <v>0</v>
      </c>
      <c r="F77" s="9">
        <f>E77*25</f>
        <v>0</v>
      </c>
    </row>
    <row r="78" spans="2:12" x14ac:dyDescent="0.5">
      <c r="B78" s="3" t="s">
        <v>47</v>
      </c>
      <c r="C78">
        <v>0</v>
      </c>
      <c r="D78">
        <v>0</v>
      </c>
      <c r="E78">
        <f>C78+D78</f>
        <v>0</v>
      </c>
      <c r="F78" s="9">
        <f>E78*25</f>
        <v>0</v>
      </c>
    </row>
    <row r="79" spans="2:12" ht="14.7" customHeight="1" thickBot="1" x14ac:dyDescent="0.55000000000000004">
      <c r="B79" s="16" t="s">
        <v>48</v>
      </c>
      <c r="C79" s="12"/>
      <c r="D79" s="12"/>
      <c r="E79">
        <f>C79+D79</f>
        <v>0</v>
      </c>
      <c r="F79" s="9">
        <f>E79*25</f>
        <v>0</v>
      </c>
    </row>
    <row r="80" spans="2:12" ht="14.7" customHeight="1" thickBot="1" x14ac:dyDescent="0.55000000000000004">
      <c r="B80" s="17" t="s">
        <v>49</v>
      </c>
      <c r="C80" s="18" t="s">
        <v>4</v>
      </c>
      <c r="D80" s="18" t="s">
        <v>5</v>
      </c>
      <c r="E80" s="18" t="s">
        <v>6</v>
      </c>
      <c r="F80" s="19" t="s">
        <v>7</v>
      </c>
    </row>
    <row r="81" spans="2:6" x14ac:dyDescent="0.5">
      <c r="B81" s="23" t="s">
        <v>18</v>
      </c>
      <c r="C81">
        <v>28213.29365624706</v>
      </c>
      <c r="D81">
        <v>35160</v>
      </c>
      <c r="E81">
        <f>C81+D81</f>
        <v>63373.293656247057</v>
      </c>
      <c r="F81" s="9">
        <f>E81*25</f>
        <v>1584332.3414061763</v>
      </c>
    </row>
    <row r="82" spans="2:6" ht="14.7" customHeight="1" thickBot="1" x14ac:dyDescent="0.55000000000000004">
      <c r="B82" s="16" t="s">
        <v>50</v>
      </c>
      <c r="C82" s="12"/>
      <c r="D82" s="12"/>
      <c r="E82">
        <f>C82+D82</f>
        <v>0</v>
      </c>
      <c r="F82" s="9">
        <f>E82*25</f>
        <v>0</v>
      </c>
    </row>
    <row r="83" spans="2:6" ht="14.7" customHeight="1" thickBot="1" x14ac:dyDescent="0.55000000000000004">
      <c r="B83" s="17"/>
      <c r="C83" s="18" t="s">
        <v>4</v>
      </c>
      <c r="D83" s="18" t="s">
        <v>5</v>
      </c>
      <c r="E83" s="18" t="s">
        <v>6</v>
      </c>
      <c r="F83" s="19" t="s">
        <v>7</v>
      </c>
    </row>
    <row r="84" spans="2:6" ht="14.7" customHeight="1" thickBot="1" x14ac:dyDescent="0.55000000000000004">
      <c r="B84" s="24" t="s">
        <v>22</v>
      </c>
      <c r="C84" s="12">
        <v>53756.178283969712</v>
      </c>
      <c r="D84" s="12">
        <v>3028818.1658766312</v>
      </c>
      <c r="E84" s="12">
        <v>3082574.344160601</v>
      </c>
      <c r="F84" s="13">
        <f>E84*25</f>
        <v>77064358.604015023</v>
      </c>
    </row>
    <row r="85" spans="2:6" ht="14.7" customHeight="1" thickBot="1" x14ac:dyDescent="0.55000000000000004">
      <c r="B85" s="8"/>
      <c r="F85" s="9"/>
    </row>
    <row r="86" spans="2:6" ht="14.7" customHeight="1" thickBot="1" x14ac:dyDescent="0.55000000000000004">
      <c r="B86" s="29" t="s">
        <v>46</v>
      </c>
      <c r="C86" s="30"/>
      <c r="D86" s="31"/>
      <c r="F86" s="9"/>
    </row>
    <row r="87" spans="2:6" ht="14.7" customHeight="1" thickBot="1" x14ac:dyDescent="0.55000000000000004">
      <c r="B87" s="24" t="s">
        <v>23</v>
      </c>
      <c r="C87" s="18" t="s">
        <v>24</v>
      </c>
      <c r="D87" s="19" t="s">
        <v>25</v>
      </c>
      <c r="F87" s="9"/>
    </row>
    <row r="88" spans="2:6" x14ac:dyDescent="0.5">
      <c r="B88" s="23" t="s">
        <v>9</v>
      </c>
      <c r="C88">
        <v>4</v>
      </c>
      <c r="D88" s="9">
        <v>400</v>
      </c>
      <c r="F88" s="9"/>
    </row>
    <row r="89" spans="2:6" x14ac:dyDescent="0.5">
      <c r="B89" s="3" t="s">
        <v>10</v>
      </c>
      <c r="C89">
        <v>0</v>
      </c>
      <c r="D89" s="9">
        <v>0</v>
      </c>
      <c r="F89" s="9"/>
    </row>
    <row r="90" spans="2:6" x14ac:dyDescent="0.5">
      <c r="B90" s="3" t="s">
        <v>14</v>
      </c>
      <c r="C90">
        <v>0</v>
      </c>
      <c r="D90" s="9">
        <v>0</v>
      </c>
      <c r="F90" s="9"/>
    </row>
    <row r="91" spans="2:6" x14ac:dyDescent="0.5">
      <c r="B91" s="3" t="s">
        <v>47</v>
      </c>
      <c r="C91">
        <v>0</v>
      </c>
      <c r="D91" s="9">
        <v>0</v>
      </c>
      <c r="F91" s="9"/>
    </row>
    <row r="92" spans="2:6" ht="14.7" customHeight="1" thickBot="1" x14ac:dyDescent="0.55000000000000004">
      <c r="B92" s="16" t="s">
        <v>26</v>
      </c>
      <c r="C92" s="12">
        <v>4</v>
      </c>
      <c r="D92" s="13">
        <v>400</v>
      </c>
      <c r="F92" s="9"/>
    </row>
    <row r="93" spans="2:6" ht="14.7" customHeight="1" thickBot="1" x14ac:dyDescent="0.55000000000000004">
      <c r="B93" s="8"/>
      <c r="F93" s="9"/>
    </row>
    <row r="94" spans="2:6" ht="14.7" customHeight="1" thickBot="1" x14ac:dyDescent="0.55000000000000004">
      <c r="B94" s="29" t="s">
        <v>51</v>
      </c>
      <c r="C94" s="30"/>
      <c r="D94" s="31"/>
      <c r="F94" s="9"/>
    </row>
    <row r="95" spans="2:6" ht="14.7" customHeight="1" thickBot="1" x14ac:dyDescent="0.55000000000000004">
      <c r="B95" s="17" t="s">
        <v>23</v>
      </c>
      <c r="C95" s="18" t="s">
        <v>24</v>
      </c>
      <c r="D95" s="19" t="s">
        <v>25</v>
      </c>
      <c r="F95" s="9"/>
    </row>
    <row r="96" spans="2:6" ht="14.7" customHeight="1" thickBot="1" x14ac:dyDescent="0.55000000000000004">
      <c r="B96" s="24" t="s">
        <v>18</v>
      </c>
      <c r="C96" s="12">
        <v>125</v>
      </c>
      <c r="D96" s="13">
        <v>2197.5</v>
      </c>
      <c r="F96" s="9"/>
    </row>
    <row r="97" spans="2:6" ht="14.7" customHeight="1" thickBot="1" x14ac:dyDescent="0.55000000000000004">
      <c r="B97" s="8"/>
      <c r="F97" s="9"/>
    </row>
    <row r="98" spans="2:6" ht="14.7" customHeight="1" thickBot="1" x14ac:dyDescent="0.55000000000000004">
      <c r="B98" s="29" t="s">
        <v>52</v>
      </c>
      <c r="C98" s="30"/>
      <c r="D98" s="31"/>
      <c r="F98" s="9"/>
    </row>
    <row r="99" spans="2:6" ht="14.7" customHeight="1" thickBot="1" x14ac:dyDescent="0.55000000000000004">
      <c r="B99" s="17" t="s">
        <v>53</v>
      </c>
      <c r="C99" s="18" t="s">
        <v>54</v>
      </c>
      <c r="D99" s="19" t="s">
        <v>55</v>
      </c>
      <c r="F99" s="9"/>
    </row>
    <row r="100" spans="2:6" x14ac:dyDescent="0.5">
      <c r="B100" s="23" t="s">
        <v>56</v>
      </c>
      <c r="C100">
        <v>633157.89473684155</v>
      </c>
      <c r="D100" s="9">
        <f>C100*25</f>
        <v>15828947.368421039</v>
      </c>
      <c r="F100" s="9"/>
    </row>
    <row r="101" spans="2:6" x14ac:dyDescent="0.5">
      <c r="B101" s="3" t="s">
        <v>57</v>
      </c>
      <c r="C101">
        <v>773052.58495480986</v>
      </c>
      <c r="D101" s="9">
        <f>C101*25</f>
        <v>19326314.623870246</v>
      </c>
      <c r="F101" s="9"/>
    </row>
    <row r="102" spans="2:6" ht="14.7" customHeight="1" thickBot="1" x14ac:dyDescent="0.55000000000000004">
      <c r="B102" s="16" t="s">
        <v>26</v>
      </c>
      <c r="C102" s="12">
        <f>C100+C101</f>
        <v>1406210.4796916514</v>
      </c>
      <c r="D102" s="13">
        <f>C102*25</f>
        <v>35155261.992291287</v>
      </c>
      <c r="F102" s="9"/>
    </row>
    <row r="103" spans="2:6" ht="14.7" customHeight="1" thickBot="1" x14ac:dyDescent="0.55000000000000004">
      <c r="B103" s="8"/>
      <c r="F103" s="9"/>
    </row>
    <row r="104" spans="2:6" ht="14.7" customHeight="1" thickBot="1" x14ac:dyDescent="0.55000000000000004">
      <c r="B104" s="29" t="s">
        <v>58</v>
      </c>
      <c r="C104" s="30"/>
      <c r="D104" s="31"/>
      <c r="F104" s="9"/>
    </row>
    <row r="105" spans="2:6" ht="14.7" customHeight="1" thickBot="1" x14ac:dyDescent="0.55000000000000004">
      <c r="B105" s="17" t="s">
        <v>53</v>
      </c>
      <c r="C105" s="18" t="s">
        <v>59</v>
      </c>
      <c r="D105" s="22" t="s">
        <v>60</v>
      </c>
      <c r="F105" s="9"/>
    </row>
    <row r="106" spans="2:6" x14ac:dyDescent="0.5">
      <c r="B106" s="23" t="s">
        <v>56</v>
      </c>
      <c r="C106">
        <f>2.6085*C100</f>
        <v>1651592.3684210512</v>
      </c>
      <c r="D106" s="9">
        <f>C106*25</f>
        <v>41289809.21052628</v>
      </c>
      <c r="F106" s="9"/>
    </row>
    <row r="107" spans="2:6" x14ac:dyDescent="0.5">
      <c r="B107" s="3" t="s">
        <v>57</v>
      </c>
      <c r="C107">
        <f>2.6085*C101</f>
        <v>2016507.6678546213</v>
      </c>
      <c r="D107" s="9">
        <f>C107*25</f>
        <v>50412691.696365535</v>
      </c>
      <c r="F107" s="9"/>
    </row>
    <row r="108" spans="2:6" ht="14.7" customHeight="1" thickBot="1" x14ac:dyDescent="0.55000000000000004">
      <c r="B108" s="16" t="s">
        <v>26</v>
      </c>
      <c r="C108" s="12">
        <f>2.6085*C102</f>
        <v>3668100.0362756723</v>
      </c>
      <c r="D108" s="13">
        <f>C108*25</f>
        <v>91702500.906891808</v>
      </c>
      <c r="E108" s="12"/>
      <c r="F108" s="13"/>
    </row>
  </sheetData>
  <mergeCells count="30">
    <mergeCell ref="H64:I64"/>
    <mergeCell ref="H50:J50"/>
    <mergeCell ref="H55:J55"/>
    <mergeCell ref="B86:D86"/>
    <mergeCell ref="B104:D104"/>
    <mergeCell ref="B73:F73"/>
    <mergeCell ref="B36:D36"/>
    <mergeCell ref="B94:D94"/>
    <mergeCell ref="B50:D50"/>
    <mergeCell ref="B68:C68"/>
    <mergeCell ref="B64:C64"/>
    <mergeCell ref="B47:C47"/>
    <mergeCell ref="B98:D98"/>
    <mergeCell ref="B72:F72"/>
    <mergeCell ref="H33:I33"/>
    <mergeCell ref="B5:L5"/>
    <mergeCell ref="B63:C63"/>
    <mergeCell ref="B43:D43"/>
    <mergeCell ref="H25:J25"/>
    <mergeCell ref="H6:L6"/>
    <mergeCell ref="H60:I60"/>
    <mergeCell ref="B60:C60"/>
    <mergeCell ref="B55:D55"/>
    <mergeCell ref="H47:I47"/>
    <mergeCell ref="B25:D25"/>
    <mergeCell ref="H43:J43"/>
    <mergeCell ref="B6:F6"/>
    <mergeCell ref="B33:C33"/>
    <mergeCell ref="H36:J36"/>
    <mergeCell ref="H63:I63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2"/>
  <dimension ref="B4:N108"/>
  <sheetViews>
    <sheetView tabSelected="1" topLeftCell="A15" zoomScale="70" zoomScaleNormal="70" workbookViewId="0">
      <selection activeCell="M29" sqref="M29"/>
    </sheetView>
  </sheetViews>
  <sheetFormatPr defaultColWidth="39.234375" defaultRowHeight="14.35" x14ac:dyDescent="0.5"/>
  <cols>
    <col min="1" max="1" width="13.52734375" customWidth="1"/>
    <col min="2" max="2" width="15.234375" bestFit="1" customWidth="1"/>
    <col min="3" max="3" width="17.64453125" bestFit="1" customWidth="1"/>
    <col min="4" max="4" width="18.64453125" bestFit="1" customWidth="1"/>
    <col min="5" max="5" width="12.46875" bestFit="1" customWidth="1"/>
    <col min="6" max="6" width="13.5859375" bestFit="1" customWidth="1"/>
    <col min="7" max="7" width="12.46875" customWidth="1"/>
    <col min="8" max="8" width="15.234375" bestFit="1" customWidth="1"/>
    <col min="9" max="9" width="15.703125" bestFit="1" customWidth="1"/>
    <col min="10" max="10" width="18" bestFit="1" customWidth="1"/>
    <col min="11" max="11" width="12.46875" bestFit="1" customWidth="1"/>
    <col min="12" max="12" width="14.5859375" bestFit="1" customWidth="1"/>
    <col min="13" max="14" width="13.41015625" bestFit="1" customWidth="1"/>
    <col min="15" max="15" width="11.76171875" bestFit="1" customWidth="1"/>
  </cols>
  <sheetData>
    <row r="4" spans="2:14" ht="14.7" customHeight="1" thickBot="1" x14ac:dyDescent="0.55000000000000004"/>
    <row r="5" spans="2:14" ht="14.7" customHeight="1" thickBot="1" x14ac:dyDescent="0.55000000000000004">
      <c r="B5" s="29" t="s">
        <v>0</v>
      </c>
      <c r="C5" s="30"/>
      <c r="D5" s="30"/>
      <c r="E5" s="30"/>
      <c r="F5" s="30"/>
      <c r="G5" s="30"/>
      <c r="H5" s="30"/>
      <c r="I5" s="30"/>
      <c r="J5" s="30"/>
      <c r="K5" s="30"/>
      <c r="L5" s="31"/>
    </row>
    <row r="6" spans="2:14" ht="14.7" customHeight="1" thickBot="1" x14ac:dyDescent="0.55000000000000004">
      <c r="B6" s="29" t="s">
        <v>1</v>
      </c>
      <c r="C6" s="30"/>
      <c r="D6" s="30"/>
      <c r="E6" s="30"/>
      <c r="F6" s="31"/>
      <c r="H6" s="29" t="s">
        <v>2</v>
      </c>
      <c r="I6" s="30"/>
      <c r="J6" s="30"/>
      <c r="K6" s="30"/>
      <c r="L6" s="31"/>
    </row>
    <row r="7" spans="2:14" ht="14.7" customHeight="1" thickBot="1" x14ac:dyDescent="0.55000000000000004">
      <c r="B7" s="24" t="s">
        <v>3</v>
      </c>
      <c r="C7" s="18" t="s">
        <v>4</v>
      </c>
      <c r="D7" s="18" t="s">
        <v>5</v>
      </c>
      <c r="E7" s="18" t="s">
        <v>6</v>
      </c>
      <c r="F7" s="19" t="s">
        <v>7</v>
      </c>
      <c r="H7" s="24" t="s">
        <v>3</v>
      </c>
      <c r="I7" s="18" t="s">
        <v>4</v>
      </c>
      <c r="J7" s="18" t="s">
        <v>5</v>
      </c>
      <c r="K7" s="18" t="s">
        <v>6</v>
      </c>
      <c r="L7" s="19" t="s">
        <v>7</v>
      </c>
    </row>
    <row r="8" spans="2:14" x14ac:dyDescent="0.5">
      <c r="B8" s="3" t="s">
        <v>8</v>
      </c>
      <c r="C8" s="6">
        <f>13698 * D27*((0.05*((1.05)^25))/((1.05^25)-1))</f>
        <v>583144.0560509084</v>
      </c>
      <c r="D8" s="6">
        <f>29*D27</f>
        <v>17400</v>
      </c>
      <c r="E8" s="6">
        <f>C8+D8</f>
        <v>600544.0560509084</v>
      </c>
      <c r="F8" s="10">
        <f>E8*25</f>
        <v>15013601.40127271</v>
      </c>
      <c r="H8" s="3" t="s">
        <v>9</v>
      </c>
      <c r="I8" s="39">
        <f>1615 * J27*((0.05*((1.05)^25))/((1.05^25)-1))</f>
        <v>126047.04039208143</v>
      </c>
      <c r="J8" s="39">
        <f>29*J27</f>
        <v>31900</v>
      </c>
      <c r="K8" s="39">
        <f>I8+J8</f>
        <v>157947.04039208143</v>
      </c>
      <c r="L8" s="10">
        <f>K8*25</f>
        <v>3948676.0098020355</v>
      </c>
    </row>
    <row r="9" spans="2:14" x14ac:dyDescent="0.5">
      <c r="B9" s="3" t="s">
        <v>10</v>
      </c>
      <c r="C9" s="6">
        <f>13698 * D28*((0.05*((1.05)^25))/((1.05^25)-1))</f>
        <v>485953.38004242367</v>
      </c>
      <c r="D9" s="6">
        <f>29*D28</f>
        <v>14500</v>
      </c>
      <c r="E9" s="6">
        <f>C9+D9</f>
        <v>500453.38004242367</v>
      </c>
      <c r="F9" s="10">
        <f>E9*25</f>
        <v>12511334.501060592</v>
      </c>
      <c r="H9" s="3" t="s">
        <v>10</v>
      </c>
      <c r="I9" s="39">
        <f>1615 * J28*((0.05*((1.05)^25))/((1.05^25)-1))</f>
        <v>0</v>
      </c>
      <c r="J9" s="39">
        <f>29*J28</f>
        <v>0</v>
      </c>
      <c r="K9" s="39">
        <f>I9+J9</f>
        <v>0</v>
      </c>
      <c r="L9" s="10">
        <f>K9*25</f>
        <v>0</v>
      </c>
      <c r="M9" s="7"/>
      <c r="N9" s="6"/>
    </row>
    <row r="10" spans="2:14" x14ac:dyDescent="0.5">
      <c r="B10" s="3" t="s">
        <v>11</v>
      </c>
      <c r="C10" s="6">
        <f>13698 * D29*((0.05*((1.05)^25))/((1.05^25)-1))</f>
        <v>0</v>
      </c>
      <c r="D10" s="6">
        <f>29*D29</f>
        <v>0</v>
      </c>
      <c r="E10" s="6">
        <f>C10+D10</f>
        <v>0</v>
      </c>
      <c r="F10" s="10">
        <f>E10*25</f>
        <v>0</v>
      </c>
      <c r="H10" s="3" t="s">
        <v>11</v>
      </c>
      <c r="I10" s="39">
        <f>1615 * J29*((0.05*((1.05)^25))/((1.05^25)-1))</f>
        <v>0</v>
      </c>
      <c r="J10" s="39">
        <f>29*J29</f>
        <v>0</v>
      </c>
      <c r="K10" s="39">
        <f>I10+J10</f>
        <v>0</v>
      </c>
      <c r="L10" s="10">
        <f>K10*25</f>
        <v>0</v>
      </c>
      <c r="M10" s="7"/>
    </row>
    <row r="11" spans="2:14" ht="14.7" customHeight="1" thickBot="1" x14ac:dyDescent="0.55000000000000004">
      <c r="B11" s="16" t="s">
        <v>12</v>
      </c>
      <c r="C11" s="14">
        <f>13698 * D30*((0.05*((1.05)^25))/((1.05^25)-1))</f>
        <v>0</v>
      </c>
      <c r="D11" s="14">
        <f>29*D30</f>
        <v>0</v>
      </c>
      <c r="E11" s="14">
        <f>C11+D11</f>
        <v>0</v>
      </c>
      <c r="F11" s="15">
        <f>E11*25</f>
        <v>0</v>
      </c>
      <c r="H11" s="16" t="s">
        <v>12</v>
      </c>
      <c r="I11" s="14">
        <f>1615 * J30*((0.05*((1.05)^25))/((1.05^25)-1))</f>
        <v>0</v>
      </c>
      <c r="J11" s="14">
        <f>29*J30</f>
        <v>0</v>
      </c>
      <c r="K11" s="14">
        <f>I11+J11</f>
        <v>0</v>
      </c>
      <c r="L11" s="13">
        <f>K11*25</f>
        <v>0</v>
      </c>
    </row>
    <row r="12" spans="2:14" ht="14.7" customHeight="1" thickBot="1" x14ac:dyDescent="0.55000000000000004">
      <c r="B12" s="24" t="s">
        <v>13</v>
      </c>
      <c r="C12" s="18" t="s">
        <v>4</v>
      </c>
      <c r="D12" s="18" t="s">
        <v>5</v>
      </c>
      <c r="E12" s="18" t="s">
        <v>6</v>
      </c>
      <c r="F12" s="19" t="s">
        <v>7</v>
      </c>
      <c r="H12" s="24" t="s">
        <v>13</v>
      </c>
      <c r="I12" s="18" t="s">
        <v>4</v>
      </c>
      <c r="J12" s="18" t="s">
        <v>5</v>
      </c>
      <c r="K12" s="18" t="s">
        <v>6</v>
      </c>
      <c r="L12" s="19" t="s">
        <v>7</v>
      </c>
    </row>
    <row r="13" spans="2:14" x14ac:dyDescent="0.5">
      <c r="B13" s="3" t="s">
        <v>14</v>
      </c>
      <c r="C13" s="4">
        <f>2490 * D38*((0.05*((1.05)^10))/((1.05^10)-1))</f>
        <v>322466.39166398719</v>
      </c>
      <c r="D13" s="1">
        <f>37.35*D38</f>
        <v>37350</v>
      </c>
      <c r="E13">
        <f>C13+D13</f>
        <v>359816.39166398719</v>
      </c>
      <c r="F13" s="9">
        <f>E13*25</f>
        <v>8995409.7915996797</v>
      </c>
      <c r="H13" s="3" t="s">
        <v>14</v>
      </c>
      <c r="I13" s="4">
        <f>2490 * J38*((0.05*((1.05)^10))/((1.05^10)-1))</f>
        <v>322466.39166398719</v>
      </c>
      <c r="J13" s="1">
        <f>37.35*J38</f>
        <v>37350</v>
      </c>
      <c r="K13" s="39">
        <f>I13+J13</f>
        <v>359816.39166398719</v>
      </c>
      <c r="L13" s="10">
        <f>K13*25</f>
        <v>8995409.7915996797</v>
      </c>
    </row>
    <row r="14" spans="2:14" x14ac:dyDescent="0.5">
      <c r="B14" s="3" t="s">
        <v>15</v>
      </c>
      <c r="C14" s="4">
        <f>1570 * D39*((0.05*((1.05)^10))/((1.05^10)-1))</f>
        <v>0</v>
      </c>
      <c r="D14" s="1">
        <f>23.55*D39</f>
        <v>0</v>
      </c>
      <c r="E14">
        <f>C14+D14</f>
        <v>0</v>
      </c>
      <c r="F14" s="9">
        <f>E14*25</f>
        <v>0</v>
      </c>
      <c r="H14" s="3" t="s">
        <v>15</v>
      </c>
      <c r="I14" s="4">
        <f>1570 * J39*((0.05*((1.05)^10))/((1.05^10)-1))</f>
        <v>0</v>
      </c>
      <c r="J14" s="1">
        <f>23.55*J39</f>
        <v>0</v>
      </c>
      <c r="K14" s="38">
        <f>I14+J14</f>
        <v>0</v>
      </c>
      <c r="L14" s="10">
        <f>K14*25</f>
        <v>0</v>
      </c>
    </row>
    <row r="15" spans="2:14" ht="14.7" customHeight="1" thickBot="1" x14ac:dyDescent="0.55000000000000004">
      <c r="B15" s="16" t="s">
        <v>16</v>
      </c>
      <c r="C15" s="5">
        <f>1190 * D40*((0.05*((1.05)^10))/((1.05^10)-1))</f>
        <v>0</v>
      </c>
      <c r="D15" s="2">
        <f>17.85*D40</f>
        <v>0</v>
      </c>
      <c r="E15" s="12">
        <f>C15+D15</f>
        <v>0</v>
      </c>
      <c r="F15" s="13">
        <f>E15*25</f>
        <v>0</v>
      </c>
      <c r="H15" s="16" t="s">
        <v>16</v>
      </c>
      <c r="I15" s="5">
        <f>1190 * J40*((0.05*((1.05)^10))/((1.05^10)-1))</f>
        <v>0</v>
      </c>
      <c r="J15" s="2">
        <f>17.85*J40</f>
        <v>0</v>
      </c>
      <c r="K15" s="12">
        <f>I15+J15</f>
        <v>0</v>
      </c>
      <c r="L15" s="15">
        <f>K15*25</f>
        <v>0</v>
      </c>
    </row>
    <row r="16" spans="2:14" ht="14.7" customHeight="1" thickBot="1" x14ac:dyDescent="0.55000000000000004">
      <c r="B16" s="24" t="s">
        <v>17</v>
      </c>
      <c r="C16" s="18" t="s">
        <v>4</v>
      </c>
      <c r="D16" s="18" t="s">
        <v>5</v>
      </c>
      <c r="E16" s="18" t="s">
        <v>6</v>
      </c>
      <c r="F16" s="19" t="s">
        <v>7</v>
      </c>
      <c r="H16" s="24" t="s">
        <v>17</v>
      </c>
      <c r="I16" s="18" t="s">
        <v>4</v>
      </c>
      <c r="J16" s="18" t="s">
        <v>5</v>
      </c>
      <c r="K16" s="18" t="s">
        <v>6</v>
      </c>
      <c r="L16" s="19" t="s">
        <v>7</v>
      </c>
    </row>
    <row r="17" spans="2:14" ht="14.7" customHeight="1" thickBot="1" x14ac:dyDescent="0.55000000000000004">
      <c r="B17" s="16" t="s">
        <v>18</v>
      </c>
      <c r="C17" s="12">
        <v>13542.380954998591</v>
      </c>
      <c r="D17" s="12">
        <v>16876.8</v>
      </c>
      <c r="E17" s="12">
        <f>D17+C17</f>
        <v>30419.180954998592</v>
      </c>
      <c r="F17" s="13">
        <f>E17*25</f>
        <v>760479.5238749648</v>
      </c>
      <c r="H17" s="16" t="s">
        <v>18</v>
      </c>
      <c r="I17" s="12">
        <v>13542.380954998591</v>
      </c>
      <c r="J17" s="12">
        <v>16876.8</v>
      </c>
      <c r="K17" s="12">
        <f>J17+I17</f>
        <v>30419.180954998592</v>
      </c>
      <c r="L17" s="15">
        <f>K17*25</f>
        <v>760479.5238749648</v>
      </c>
    </row>
    <row r="18" spans="2:14" ht="14.7" customHeight="1" thickBot="1" x14ac:dyDescent="0.55000000000000004">
      <c r="B18" s="24" t="s">
        <v>19</v>
      </c>
      <c r="C18" s="18" t="s">
        <v>4</v>
      </c>
      <c r="D18" s="18" t="s">
        <v>5</v>
      </c>
      <c r="E18" s="18" t="s">
        <v>6</v>
      </c>
      <c r="F18" s="19" t="s">
        <v>7</v>
      </c>
      <c r="H18" s="24" t="s">
        <v>20</v>
      </c>
      <c r="I18" s="18" t="s">
        <v>4</v>
      </c>
      <c r="J18" s="18" t="s">
        <v>5</v>
      </c>
      <c r="K18" s="18" t="s">
        <v>6</v>
      </c>
      <c r="L18" s="19" t="s">
        <v>7</v>
      </c>
    </row>
    <row r="19" spans="2:14" ht="14.7" customHeight="1" thickBot="1" x14ac:dyDescent="0.55000000000000004">
      <c r="B19" s="11"/>
      <c r="C19" s="12">
        <f>C48*300*((0.05*((1.05)^20))/((1.05^20)-1))</f>
        <v>160565.41696857332</v>
      </c>
      <c r="D19" s="12">
        <v>0</v>
      </c>
      <c r="E19" s="12">
        <f>D19+C19</f>
        <v>160565.41696857332</v>
      </c>
      <c r="F19" s="13">
        <f>E19*25</f>
        <v>4014135.4242143328</v>
      </c>
      <c r="H19" s="11"/>
      <c r="I19" s="14">
        <f>(I48/10)*3000*((0.05*((1.05)^20))/((1.05^20)-1))</f>
        <v>162009.78353800575</v>
      </c>
      <c r="J19" s="12">
        <v>0</v>
      </c>
      <c r="K19" s="12">
        <f>J19+I19</f>
        <v>162009.78353800575</v>
      </c>
      <c r="L19" s="15">
        <f>K19*25</f>
        <v>4050244.5884501436</v>
      </c>
    </row>
    <row r="20" spans="2:14" ht="14.7" customHeight="1" thickBot="1" x14ac:dyDescent="0.55000000000000004">
      <c r="B20" s="24" t="s">
        <v>21</v>
      </c>
      <c r="C20" s="18" t="s">
        <v>4</v>
      </c>
      <c r="D20" s="18" t="s">
        <v>5</v>
      </c>
      <c r="E20" s="18" t="s">
        <v>6</v>
      </c>
      <c r="F20" s="19" t="s">
        <v>7</v>
      </c>
      <c r="H20" s="24" t="s">
        <v>21</v>
      </c>
      <c r="I20" s="18" t="s">
        <v>4</v>
      </c>
      <c r="J20" s="18" t="s">
        <v>5</v>
      </c>
      <c r="K20" s="18" t="s">
        <v>6</v>
      </c>
      <c r="L20" s="19" t="s">
        <v>7</v>
      </c>
    </row>
    <row r="21" spans="2:14" ht="14.7" customHeight="1" thickBot="1" x14ac:dyDescent="0.55000000000000004">
      <c r="B21" s="11"/>
      <c r="C21" s="12">
        <v>0</v>
      </c>
      <c r="D21" s="12">
        <v>0</v>
      </c>
      <c r="E21" s="12">
        <f>C21+D21</f>
        <v>0</v>
      </c>
      <c r="F21" s="13">
        <f>E21*25</f>
        <v>0</v>
      </c>
      <c r="H21" s="11"/>
      <c r="I21" s="12">
        <v>271.70140022768072</v>
      </c>
      <c r="J21" s="12">
        <v>38</v>
      </c>
      <c r="K21" s="12">
        <f>J21+I21</f>
        <v>309.70140022768072</v>
      </c>
      <c r="L21" s="13">
        <f>K21*25</f>
        <v>7742.5350056920179</v>
      </c>
    </row>
    <row r="22" spans="2:14" ht="14.7" customHeight="1" thickBot="1" x14ac:dyDescent="0.55000000000000004">
      <c r="B22" s="17"/>
      <c r="C22" s="18" t="s">
        <v>4</v>
      </c>
      <c r="D22" s="18" t="s">
        <v>5</v>
      </c>
      <c r="E22" s="18" t="s">
        <v>6</v>
      </c>
      <c r="F22" s="19" t="s">
        <v>7</v>
      </c>
      <c r="H22" s="17"/>
      <c r="I22" s="18" t="s">
        <v>4</v>
      </c>
      <c r="J22" s="18" t="s">
        <v>5</v>
      </c>
      <c r="K22" s="18" t="s">
        <v>6</v>
      </c>
      <c r="L22" s="19" t="s">
        <v>7</v>
      </c>
    </row>
    <row r="23" spans="2:14" ht="14.7" customHeight="1" thickBot="1" x14ac:dyDescent="0.55000000000000004">
      <c r="B23" s="24" t="s">
        <v>22</v>
      </c>
      <c r="C23" s="12">
        <v>1565671.6256808899</v>
      </c>
      <c r="D23" s="12">
        <v>86126.8</v>
      </c>
      <c r="E23" s="25">
        <v>1651798.42568089</v>
      </c>
      <c r="F23" s="13">
        <f>D23*25</f>
        <v>2153170</v>
      </c>
      <c r="H23" s="24" t="s">
        <v>22</v>
      </c>
      <c r="I23" s="14">
        <v>624337.29794930038</v>
      </c>
      <c r="J23" s="14">
        <v>86164.800000000003</v>
      </c>
      <c r="K23" s="14">
        <v>4062917.2247025901</v>
      </c>
      <c r="L23" s="15">
        <f>K23*25</f>
        <v>101572930.61756475</v>
      </c>
      <c r="M23" s="6"/>
    </row>
    <row r="24" spans="2:14" ht="14.7" customHeight="1" thickBot="1" x14ac:dyDescent="0.55000000000000004">
      <c r="B24" s="8"/>
      <c r="F24" s="9"/>
      <c r="H24" s="8"/>
      <c r="I24" s="39"/>
      <c r="J24" s="39"/>
      <c r="K24" s="39"/>
      <c r="L24" s="10"/>
      <c r="M24" s="6"/>
      <c r="N24" s="7"/>
    </row>
    <row r="25" spans="2:14" ht="14.7" customHeight="1" thickBot="1" x14ac:dyDescent="0.55000000000000004">
      <c r="B25" s="29" t="s">
        <v>3</v>
      </c>
      <c r="C25" s="30"/>
      <c r="D25" s="31"/>
      <c r="F25" s="9"/>
      <c r="H25" s="29" t="s">
        <v>3</v>
      </c>
      <c r="I25" s="30"/>
      <c r="J25" s="31"/>
      <c r="K25" s="38"/>
      <c r="L25" s="10"/>
      <c r="M25" s="6"/>
    </row>
    <row r="26" spans="2:14" ht="14.7" customHeight="1" thickBot="1" x14ac:dyDescent="0.55000000000000004">
      <c r="B26" s="17" t="s">
        <v>23</v>
      </c>
      <c r="C26" s="18" t="s">
        <v>24</v>
      </c>
      <c r="D26" s="19" t="s">
        <v>25</v>
      </c>
      <c r="F26" s="9"/>
      <c r="H26" s="17" t="s">
        <v>23</v>
      </c>
      <c r="I26" s="18" t="s">
        <v>24</v>
      </c>
      <c r="J26" s="19" t="s">
        <v>25</v>
      </c>
      <c r="K26" s="38"/>
      <c r="L26" s="10"/>
      <c r="M26" s="6"/>
    </row>
    <row r="27" spans="2:14" x14ac:dyDescent="0.5">
      <c r="B27" s="23" t="s">
        <v>9</v>
      </c>
      <c r="C27">
        <v>6</v>
      </c>
      <c r="D27" s="9">
        <v>600</v>
      </c>
      <c r="F27" s="9"/>
      <c r="H27" s="8" t="s">
        <v>9</v>
      </c>
      <c r="I27" s="38">
        <v>11</v>
      </c>
      <c r="J27" s="9">
        <v>1100</v>
      </c>
      <c r="K27" s="38"/>
      <c r="L27" s="9"/>
    </row>
    <row r="28" spans="2:14" x14ac:dyDescent="0.5">
      <c r="B28" s="3" t="s">
        <v>10</v>
      </c>
      <c r="C28">
        <v>1</v>
      </c>
      <c r="D28" s="9">
        <v>500</v>
      </c>
      <c r="F28" s="9"/>
      <c r="H28" s="8" t="s">
        <v>10</v>
      </c>
      <c r="I28" s="38">
        <v>0</v>
      </c>
      <c r="J28" s="9">
        <v>0</v>
      </c>
      <c r="K28" s="38"/>
      <c r="L28" s="9"/>
    </row>
    <row r="29" spans="2:14" x14ac:dyDescent="0.5">
      <c r="B29" s="3" t="s">
        <v>11</v>
      </c>
      <c r="C29">
        <v>0</v>
      </c>
      <c r="D29" s="9">
        <v>0</v>
      </c>
      <c r="F29" s="9"/>
      <c r="H29" s="8" t="s">
        <v>11</v>
      </c>
      <c r="I29" s="38">
        <v>0</v>
      </c>
      <c r="J29" s="9">
        <v>0</v>
      </c>
      <c r="K29" s="38"/>
      <c r="L29" s="9"/>
    </row>
    <row r="30" spans="2:14" x14ac:dyDescent="0.5">
      <c r="B30" s="3" t="s">
        <v>12</v>
      </c>
      <c r="C30">
        <v>0</v>
      </c>
      <c r="D30" s="9">
        <v>0</v>
      </c>
      <c r="F30" s="9"/>
      <c r="H30" s="8" t="s">
        <v>12</v>
      </c>
      <c r="I30" s="38">
        <v>0</v>
      </c>
      <c r="J30" s="9">
        <v>0</v>
      </c>
      <c r="K30" s="38"/>
      <c r="L30" s="9"/>
    </row>
    <row r="31" spans="2:14" ht="14.7" customHeight="1" thickBot="1" x14ac:dyDescent="0.55000000000000004">
      <c r="B31" s="16" t="s">
        <v>26</v>
      </c>
      <c r="C31" s="12">
        <v>7</v>
      </c>
      <c r="D31" s="13">
        <v>1100</v>
      </c>
      <c r="F31" s="9"/>
      <c r="H31" s="11" t="s">
        <v>26</v>
      </c>
      <c r="I31" s="12">
        <v>11</v>
      </c>
      <c r="J31" s="13">
        <v>1100</v>
      </c>
      <c r="K31" s="38"/>
      <c r="L31" s="9"/>
    </row>
    <row r="32" spans="2:14" ht="14.7" customHeight="1" thickBot="1" x14ac:dyDescent="0.55000000000000004">
      <c r="B32" s="8"/>
      <c r="F32" s="9"/>
      <c r="H32" s="8"/>
      <c r="I32" s="38"/>
      <c r="J32" s="38"/>
      <c r="K32" s="38"/>
      <c r="L32" s="9"/>
    </row>
    <row r="33" spans="2:12" ht="14.7" customHeight="1" thickBot="1" x14ac:dyDescent="0.55000000000000004">
      <c r="B33" s="29" t="s">
        <v>21</v>
      </c>
      <c r="C33" s="31"/>
      <c r="F33" s="9"/>
      <c r="H33" s="29" t="s">
        <v>21</v>
      </c>
      <c r="I33" s="31"/>
      <c r="J33" s="38"/>
      <c r="K33" s="38"/>
      <c r="L33" s="9"/>
    </row>
    <row r="34" spans="2:12" ht="14.7" customHeight="1" thickBot="1" x14ac:dyDescent="0.55000000000000004">
      <c r="B34" s="24" t="s">
        <v>25</v>
      </c>
      <c r="C34" s="13">
        <v>0</v>
      </c>
      <c r="F34" s="9"/>
      <c r="H34" s="24" t="s">
        <v>25</v>
      </c>
      <c r="I34" s="13">
        <v>2</v>
      </c>
      <c r="J34" s="38"/>
      <c r="K34" s="38"/>
      <c r="L34" s="9"/>
    </row>
    <row r="35" spans="2:12" ht="14.7" customHeight="1" thickBot="1" x14ac:dyDescent="0.55000000000000004">
      <c r="B35" s="8"/>
      <c r="F35" s="9"/>
      <c r="H35" s="8"/>
      <c r="I35" s="38"/>
      <c r="J35" s="38"/>
      <c r="K35" s="38"/>
      <c r="L35" s="9"/>
    </row>
    <row r="36" spans="2:12" ht="14.7" customHeight="1" thickBot="1" x14ac:dyDescent="0.55000000000000004">
      <c r="B36" s="29" t="s">
        <v>13</v>
      </c>
      <c r="C36" s="30"/>
      <c r="D36" s="31"/>
      <c r="F36" s="9"/>
      <c r="H36" s="29" t="s">
        <v>13</v>
      </c>
      <c r="I36" s="30"/>
      <c r="J36" s="31"/>
      <c r="K36" s="38"/>
      <c r="L36" s="9"/>
    </row>
    <row r="37" spans="2:12" ht="14.7" customHeight="1" thickBot="1" x14ac:dyDescent="0.55000000000000004">
      <c r="B37" s="24" t="s">
        <v>23</v>
      </c>
      <c r="C37" s="18" t="s">
        <v>24</v>
      </c>
      <c r="D37" s="19" t="s">
        <v>25</v>
      </c>
      <c r="F37" s="9"/>
      <c r="H37" s="17" t="s">
        <v>23</v>
      </c>
      <c r="I37" s="18" t="s">
        <v>24</v>
      </c>
      <c r="J37" s="19" t="s">
        <v>25</v>
      </c>
      <c r="K37" s="38"/>
      <c r="L37" s="9"/>
    </row>
    <row r="38" spans="2:12" x14ac:dyDescent="0.5">
      <c r="B38" s="23" t="s">
        <v>14</v>
      </c>
      <c r="C38">
        <v>1</v>
      </c>
      <c r="D38" s="9">
        <v>1000</v>
      </c>
      <c r="F38" s="9"/>
      <c r="H38" s="23" t="s">
        <v>14</v>
      </c>
      <c r="I38" s="38">
        <v>1</v>
      </c>
      <c r="J38" s="9">
        <v>1000</v>
      </c>
      <c r="K38" s="38"/>
      <c r="L38" s="9"/>
    </row>
    <row r="39" spans="2:12" x14ac:dyDescent="0.5">
      <c r="B39" s="3" t="s">
        <v>15</v>
      </c>
      <c r="C39">
        <v>0</v>
      </c>
      <c r="D39" s="9">
        <v>0</v>
      </c>
      <c r="F39" s="9"/>
      <c r="H39" s="3" t="s">
        <v>15</v>
      </c>
      <c r="I39" s="38">
        <v>0</v>
      </c>
      <c r="J39" s="9">
        <v>0</v>
      </c>
      <c r="K39" s="38"/>
      <c r="L39" s="9"/>
    </row>
    <row r="40" spans="2:12" x14ac:dyDescent="0.5">
      <c r="B40" s="3" t="s">
        <v>16</v>
      </c>
      <c r="C40">
        <v>0</v>
      </c>
      <c r="D40" s="9">
        <v>0</v>
      </c>
      <c r="F40" s="9"/>
      <c r="H40" s="3" t="s">
        <v>16</v>
      </c>
      <c r="I40" s="38">
        <v>0</v>
      </c>
      <c r="J40" s="9">
        <v>0</v>
      </c>
      <c r="K40" s="38"/>
      <c r="L40" s="9"/>
    </row>
    <row r="41" spans="2:12" ht="14.7" customHeight="1" thickBot="1" x14ac:dyDescent="0.55000000000000004">
      <c r="B41" s="16" t="s">
        <v>26</v>
      </c>
      <c r="C41" s="12">
        <v>1</v>
      </c>
      <c r="D41" s="13">
        <v>1000</v>
      </c>
      <c r="F41" s="9"/>
      <c r="H41" s="16" t="s">
        <v>26</v>
      </c>
      <c r="I41" s="12">
        <v>1</v>
      </c>
      <c r="J41" s="13">
        <v>1000</v>
      </c>
      <c r="K41" s="38"/>
      <c r="L41" s="9"/>
    </row>
    <row r="42" spans="2:12" ht="14.7" customHeight="1" thickBot="1" x14ac:dyDescent="0.55000000000000004">
      <c r="B42" s="8"/>
      <c r="F42" s="9"/>
      <c r="H42" s="8"/>
      <c r="I42" s="38"/>
      <c r="J42" s="38"/>
      <c r="K42" s="38"/>
      <c r="L42" s="9"/>
    </row>
    <row r="43" spans="2:12" ht="14.7" customHeight="1" thickBot="1" x14ac:dyDescent="0.55000000000000004">
      <c r="B43" s="29" t="s">
        <v>27</v>
      </c>
      <c r="C43" s="30"/>
      <c r="D43" s="31"/>
      <c r="F43" s="9"/>
      <c r="H43" s="29" t="s">
        <v>27</v>
      </c>
      <c r="I43" s="30"/>
      <c r="J43" s="31"/>
      <c r="K43" s="38"/>
      <c r="L43" s="9"/>
    </row>
    <row r="44" spans="2:12" ht="14.7" customHeight="1" thickBot="1" x14ac:dyDescent="0.55000000000000004">
      <c r="B44" s="24" t="s">
        <v>23</v>
      </c>
      <c r="C44" s="18" t="s">
        <v>24</v>
      </c>
      <c r="D44" s="19" t="s">
        <v>25</v>
      </c>
      <c r="F44" s="9"/>
      <c r="H44" s="17" t="s">
        <v>23</v>
      </c>
      <c r="I44" s="18" t="s">
        <v>24</v>
      </c>
      <c r="J44" s="19" t="s">
        <v>25</v>
      </c>
      <c r="K44" s="38"/>
      <c r="L44" s="9"/>
    </row>
    <row r="45" spans="2:12" ht="14.7" customHeight="1" thickBot="1" x14ac:dyDescent="0.55000000000000004">
      <c r="B45" s="24" t="s">
        <v>18</v>
      </c>
      <c r="C45" s="12">
        <v>60</v>
      </c>
      <c r="D45" s="13">
        <v>1054.8</v>
      </c>
      <c r="F45" s="9"/>
      <c r="H45" s="24" t="s">
        <v>18</v>
      </c>
      <c r="I45" s="12">
        <v>60</v>
      </c>
      <c r="J45" s="13">
        <v>1054.8</v>
      </c>
      <c r="K45" s="38"/>
      <c r="L45" s="9"/>
    </row>
    <row r="46" spans="2:12" ht="14.7" customHeight="1" thickBot="1" x14ac:dyDescent="0.55000000000000004">
      <c r="B46" s="8"/>
      <c r="F46" s="9"/>
      <c r="H46" s="8"/>
      <c r="I46" s="38"/>
      <c r="J46" s="38"/>
      <c r="K46" s="38"/>
      <c r="L46" s="9"/>
    </row>
    <row r="47" spans="2:12" ht="14.7" customHeight="1" thickBot="1" x14ac:dyDescent="0.55000000000000004">
      <c r="B47" s="29" t="s">
        <v>28</v>
      </c>
      <c r="C47" s="31"/>
      <c r="F47" s="9"/>
      <c r="H47" s="29" t="s">
        <v>28</v>
      </c>
      <c r="I47" s="31"/>
      <c r="J47" s="38"/>
      <c r="K47" s="38"/>
      <c r="L47" s="9"/>
    </row>
    <row r="48" spans="2:12" ht="14.7" customHeight="1" thickBot="1" x14ac:dyDescent="0.55000000000000004">
      <c r="B48" s="11" t="s">
        <v>29</v>
      </c>
      <c r="C48" s="13">
        <v>6670</v>
      </c>
      <c r="F48" s="9"/>
      <c r="H48" s="24" t="s">
        <v>29</v>
      </c>
      <c r="I48" s="13">
        <v>6730</v>
      </c>
      <c r="J48" s="38"/>
      <c r="K48" s="38"/>
      <c r="L48" s="9"/>
    </row>
    <row r="49" spans="2:12" ht="14.7" customHeight="1" thickBot="1" x14ac:dyDescent="0.55000000000000004">
      <c r="B49" s="8"/>
      <c r="F49" s="9"/>
      <c r="H49" s="8"/>
      <c r="I49" s="38"/>
      <c r="J49" s="38"/>
      <c r="K49" s="38"/>
      <c r="L49" s="9"/>
    </row>
    <row r="50" spans="2:12" ht="14.7" customHeight="1" thickBot="1" x14ac:dyDescent="0.55000000000000004">
      <c r="B50" s="29" t="s">
        <v>30</v>
      </c>
      <c r="C50" s="30"/>
      <c r="D50" s="31"/>
      <c r="F50" s="9"/>
      <c r="H50" s="35" t="s">
        <v>30</v>
      </c>
      <c r="I50" s="36"/>
      <c r="J50" s="37"/>
      <c r="K50" s="38"/>
      <c r="L50" s="9"/>
    </row>
    <row r="51" spans="2:12" ht="14.7" customHeight="1" thickBot="1" x14ac:dyDescent="0.55000000000000004">
      <c r="B51" s="11" t="s">
        <v>31</v>
      </c>
      <c r="C51" s="12" t="s">
        <v>32</v>
      </c>
      <c r="D51" s="13" t="s">
        <v>33</v>
      </c>
      <c r="F51" s="9"/>
      <c r="H51" s="24" t="s">
        <v>31</v>
      </c>
      <c r="I51" s="18" t="s">
        <v>61</v>
      </c>
      <c r="J51" s="21" t="s">
        <v>33</v>
      </c>
      <c r="K51" s="38"/>
      <c r="L51" s="9"/>
    </row>
    <row r="52" spans="2:12" ht="14.7" customHeight="1" x14ac:dyDescent="0.5">
      <c r="B52" s="23" t="s">
        <v>34</v>
      </c>
      <c r="C52" s="26">
        <v>1008328.62216185</v>
      </c>
      <c r="D52" s="27">
        <f>C52*25</f>
        <v>25208215.554046251</v>
      </c>
      <c r="F52" s="9"/>
      <c r="H52" s="3" t="s">
        <v>34</v>
      </c>
      <c r="I52" s="40">
        <v>1292617.80188346</v>
      </c>
      <c r="J52" s="27">
        <f>I52*25</f>
        <v>32315445.0470865</v>
      </c>
      <c r="K52" s="38"/>
      <c r="L52" s="9"/>
    </row>
    <row r="53" spans="2:12" ht="14.7" customHeight="1" thickBot="1" x14ac:dyDescent="0.55000000000000004">
      <c r="B53" s="16" t="s">
        <v>35</v>
      </c>
      <c r="C53" s="25">
        <v>334290.12586920557</v>
      </c>
      <c r="D53" s="28">
        <f>C53*25</f>
        <v>8357253.1467301389</v>
      </c>
      <c r="F53" s="9"/>
      <c r="H53" s="16" t="s">
        <v>35</v>
      </c>
      <c r="I53" s="25">
        <v>357164.9352823121</v>
      </c>
      <c r="J53" s="28">
        <f>I53*25</f>
        <v>8929123.3820578028</v>
      </c>
      <c r="K53" s="38"/>
      <c r="L53" s="9"/>
    </row>
    <row r="54" spans="2:12" ht="14.7" customHeight="1" thickBot="1" x14ac:dyDescent="0.55000000000000004">
      <c r="B54" s="8"/>
      <c r="F54" s="9"/>
      <c r="H54" s="8"/>
      <c r="I54" s="39"/>
      <c r="J54" s="10"/>
      <c r="K54" s="38"/>
      <c r="L54" s="9"/>
    </row>
    <row r="55" spans="2:12" ht="14.7" customHeight="1" thickBot="1" x14ac:dyDescent="0.55000000000000004">
      <c r="B55" s="29" t="s">
        <v>36</v>
      </c>
      <c r="C55" s="30"/>
      <c r="D55" s="31"/>
      <c r="F55" s="9"/>
      <c r="H55" s="35" t="s">
        <v>36</v>
      </c>
      <c r="I55" s="36"/>
      <c r="J55" s="37"/>
      <c r="K55" s="38"/>
      <c r="L55" s="9"/>
    </row>
    <row r="56" spans="2:12" ht="14.7" customHeight="1" thickBot="1" x14ac:dyDescent="0.55000000000000004">
      <c r="B56" s="11" t="s">
        <v>31</v>
      </c>
      <c r="C56" s="12" t="s">
        <v>32</v>
      </c>
      <c r="D56" s="13" t="s">
        <v>33</v>
      </c>
      <c r="F56" s="9"/>
      <c r="H56" s="24" t="s">
        <v>31</v>
      </c>
      <c r="I56" s="20">
        <v>351081.37828933698</v>
      </c>
      <c r="J56" s="21" t="s">
        <v>33</v>
      </c>
      <c r="K56" s="38"/>
      <c r="L56" s="9"/>
    </row>
    <row r="57" spans="2:12" ht="14.7" customHeight="1" thickBot="1" x14ac:dyDescent="0.55000000000000004">
      <c r="B57" s="23" t="s">
        <v>34</v>
      </c>
      <c r="C57">
        <v>273867.03317976301</v>
      </c>
      <c r="D57" s="9">
        <f>C57*25</f>
        <v>6846675.8294940749</v>
      </c>
      <c r="F57" s="9"/>
      <c r="H57" s="16" t="s">
        <v>34</v>
      </c>
      <c r="I57" s="14">
        <v>141075.99240139429</v>
      </c>
      <c r="J57" s="15">
        <f>I57*25</f>
        <v>3526899.8100348571</v>
      </c>
      <c r="K57" s="38"/>
      <c r="L57" s="9"/>
    </row>
    <row r="58" spans="2:12" ht="14.7" customHeight="1" thickBot="1" x14ac:dyDescent="0.55000000000000004">
      <c r="B58" s="16" t="s">
        <v>35</v>
      </c>
      <c r="C58" s="12">
        <v>134473.43859278021</v>
      </c>
      <c r="D58" s="13">
        <f>C58*25</f>
        <v>3361835.9648195053</v>
      </c>
      <c r="F58" s="9"/>
      <c r="H58" s="8" t="s">
        <v>35</v>
      </c>
      <c r="I58" s="12">
        <v>357164.9352823121</v>
      </c>
      <c r="J58" s="38">
        <f>I58*25</f>
        <v>8929123.3820578028</v>
      </c>
      <c r="K58" s="38"/>
      <c r="L58" s="9"/>
    </row>
    <row r="59" spans="2:12" ht="14.7" customHeight="1" thickBot="1" x14ac:dyDescent="0.55000000000000004">
      <c r="B59" s="8"/>
      <c r="F59" s="9"/>
      <c r="H59" s="8"/>
      <c r="I59" s="38"/>
      <c r="J59" s="38"/>
      <c r="K59" s="38"/>
      <c r="L59" s="9"/>
    </row>
    <row r="60" spans="2:12" ht="14.7" customHeight="1" thickBot="1" x14ac:dyDescent="0.55000000000000004">
      <c r="B60" s="29" t="s">
        <v>37</v>
      </c>
      <c r="C60" s="31"/>
      <c r="F60" s="9"/>
      <c r="H60" s="29" t="s">
        <v>38</v>
      </c>
      <c r="I60" s="31"/>
      <c r="J60" s="38"/>
      <c r="K60" s="38"/>
      <c r="L60" s="9"/>
    </row>
    <row r="61" spans="2:12" ht="14.7" customHeight="1" thickBot="1" x14ac:dyDescent="0.55000000000000004">
      <c r="B61" s="24" t="s">
        <v>39</v>
      </c>
      <c r="C61" s="13">
        <v>59965.521303265603</v>
      </c>
      <c r="F61" s="9"/>
      <c r="H61" s="24" t="s">
        <v>39</v>
      </c>
      <c r="I61" s="13">
        <v>60500.454378001101</v>
      </c>
      <c r="J61" s="38"/>
      <c r="K61" s="38"/>
      <c r="L61" s="9"/>
    </row>
    <row r="62" spans="2:12" ht="14.7" customHeight="1" thickBot="1" x14ac:dyDescent="0.55000000000000004">
      <c r="B62" s="8"/>
      <c r="F62" s="9"/>
      <c r="H62" s="8"/>
      <c r="I62" s="38"/>
      <c r="J62" s="38"/>
      <c r="K62" s="38"/>
      <c r="L62" s="9"/>
    </row>
    <row r="63" spans="2:12" ht="14.7" customHeight="1" thickBot="1" x14ac:dyDescent="0.55000000000000004">
      <c r="B63" s="29" t="s">
        <v>40</v>
      </c>
      <c r="C63" s="31"/>
      <c r="F63" s="9"/>
      <c r="H63" s="29" t="s">
        <v>40</v>
      </c>
      <c r="I63" s="31"/>
      <c r="J63" s="38"/>
      <c r="K63" s="38"/>
      <c r="L63" s="9"/>
    </row>
    <row r="64" spans="2:12" ht="14.7" customHeight="1" thickBot="1" x14ac:dyDescent="0.55000000000000004">
      <c r="B64" s="29">
        <f>E23/B70</f>
        <v>1.0824295231834722</v>
      </c>
      <c r="C64" s="31"/>
      <c r="F64" s="9"/>
      <c r="H64" s="29">
        <f>K23/B70</f>
        <v>2.6624444519953512</v>
      </c>
      <c r="I64" s="31"/>
      <c r="J64" s="38"/>
      <c r="K64" s="38"/>
      <c r="L64" s="9"/>
    </row>
    <row r="65" spans="2:12" x14ac:dyDescent="0.5">
      <c r="B65" s="8"/>
      <c r="F65" s="9"/>
      <c r="H65" s="8"/>
      <c r="I65" s="38"/>
      <c r="J65" s="38"/>
      <c r="K65" s="38"/>
      <c r="L65" s="9"/>
    </row>
    <row r="66" spans="2:12" ht="14.7" customHeight="1" thickBot="1" x14ac:dyDescent="0.55000000000000004">
      <c r="B66" s="11"/>
      <c r="C66" s="12"/>
      <c r="D66" s="12"/>
      <c r="E66" s="12"/>
      <c r="F66" s="13"/>
      <c r="G66" s="12"/>
      <c r="H66" s="11"/>
      <c r="I66" s="12"/>
      <c r="J66" s="12"/>
      <c r="K66" s="12"/>
      <c r="L66" s="13"/>
    </row>
    <row r="67" spans="2:12" ht="14.7" customHeight="1" thickBot="1" x14ac:dyDescent="0.55000000000000004">
      <c r="B67" s="11"/>
      <c r="C67" s="12"/>
      <c r="L67" s="9"/>
    </row>
    <row r="68" spans="2:12" ht="14.7" customHeight="1" thickBot="1" x14ac:dyDescent="0.55000000000000004">
      <c r="B68" s="32" t="s">
        <v>41</v>
      </c>
      <c r="C68" s="33"/>
      <c r="L68" s="9"/>
    </row>
    <row r="69" spans="2:12" ht="14.7" customHeight="1" thickBot="1" x14ac:dyDescent="0.55000000000000004">
      <c r="B69" s="17" t="s">
        <v>42</v>
      </c>
      <c r="C69" s="19" t="s">
        <v>43</v>
      </c>
      <c r="L69" s="9"/>
    </row>
    <row r="70" spans="2:12" ht="14.7" customHeight="1" thickBot="1" x14ac:dyDescent="0.55000000000000004">
      <c r="B70" s="11">
        <f>C108</f>
        <v>1526010.1376603986</v>
      </c>
      <c r="C70" s="13">
        <f>D108</f>
        <v>38150253.441509962</v>
      </c>
      <c r="D70" s="12"/>
      <c r="E70" s="12"/>
      <c r="F70" s="12"/>
      <c r="G70" s="12"/>
      <c r="H70" s="12"/>
      <c r="I70" s="12"/>
      <c r="J70" s="12"/>
      <c r="K70" s="12"/>
      <c r="L70" s="13"/>
    </row>
    <row r="71" spans="2:12" ht="14.7" customHeight="1" thickBot="1" x14ac:dyDescent="0.55000000000000004"/>
    <row r="72" spans="2:12" ht="14.7" customHeight="1" thickBot="1" x14ac:dyDescent="0.55000000000000004">
      <c r="B72" s="29" t="s">
        <v>44</v>
      </c>
      <c r="C72" s="30"/>
      <c r="D72" s="30"/>
      <c r="E72" s="30"/>
      <c r="F72" s="31"/>
    </row>
    <row r="73" spans="2:12" ht="14.7" customHeight="1" thickBot="1" x14ac:dyDescent="0.55000000000000004">
      <c r="B73" s="29" t="s">
        <v>45</v>
      </c>
      <c r="C73" s="30"/>
      <c r="D73" s="30"/>
      <c r="E73" s="30"/>
      <c r="F73" s="31"/>
    </row>
    <row r="74" spans="2:12" ht="14.7" customHeight="1" thickBot="1" x14ac:dyDescent="0.55000000000000004">
      <c r="B74" s="24" t="s">
        <v>46</v>
      </c>
      <c r="C74" s="18" t="s">
        <v>4</v>
      </c>
      <c r="D74" s="18" t="s">
        <v>5</v>
      </c>
      <c r="E74" s="18" t="s">
        <v>6</v>
      </c>
      <c r="F74" s="19" t="s">
        <v>7</v>
      </c>
    </row>
    <row r="75" spans="2:12" x14ac:dyDescent="0.5">
      <c r="B75" s="23" t="s">
        <v>9</v>
      </c>
      <c r="C75">
        <v>12771.442313861329</v>
      </c>
      <c r="D75">
        <v>29800</v>
      </c>
      <c r="E75">
        <f>C75+D75</f>
        <v>42571.442313861327</v>
      </c>
      <c r="F75" s="9">
        <f>E75*25</f>
        <v>1064286.0578465331</v>
      </c>
    </row>
    <row r="76" spans="2:12" x14ac:dyDescent="0.5">
      <c r="B76" s="3" t="s">
        <v>10</v>
      </c>
      <c r="C76">
        <v>0</v>
      </c>
      <c r="D76">
        <v>0</v>
      </c>
      <c r="E76">
        <f>C76+D76</f>
        <v>0</v>
      </c>
      <c r="F76" s="9">
        <f>E76*25</f>
        <v>0</v>
      </c>
    </row>
    <row r="77" spans="2:12" x14ac:dyDescent="0.5">
      <c r="B77" s="3" t="s">
        <v>14</v>
      </c>
      <c r="C77">
        <v>0</v>
      </c>
      <c r="D77">
        <v>0</v>
      </c>
      <c r="E77">
        <f>C77+D77</f>
        <v>0</v>
      </c>
      <c r="F77" s="9">
        <f>E77*25</f>
        <v>0</v>
      </c>
    </row>
    <row r="78" spans="2:12" x14ac:dyDescent="0.5">
      <c r="B78" s="3" t="s">
        <v>47</v>
      </c>
      <c r="C78">
        <v>0</v>
      </c>
      <c r="D78">
        <v>0</v>
      </c>
      <c r="E78">
        <f>C78+D78</f>
        <v>0</v>
      </c>
      <c r="F78" s="9">
        <f>E78*25</f>
        <v>0</v>
      </c>
    </row>
    <row r="79" spans="2:12" ht="14.7" customHeight="1" thickBot="1" x14ac:dyDescent="0.55000000000000004">
      <c r="B79" s="16" t="s">
        <v>48</v>
      </c>
      <c r="C79" s="12"/>
      <c r="D79" s="12"/>
      <c r="E79">
        <f>C79+D79</f>
        <v>0</v>
      </c>
      <c r="F79" s="9">
        <f>E79*25</f>
        <v>0</v>
      </c>
    </row>
    <row r="80" spans="2:12" ht="14.7" customHeight="1" thickBot="1" x14ac:dyDescent="0.55000000000000004">
      <c r="B80" s="17" t="s">
        <v>49</v>
      </c>
      <c r="C80" s="18" t="s">
        <v>4</v>
      </c>
      <c r="D80" s="18" t="s">
        <v>5</v>
      </c>
      <c r="E80" s="18" t="s">
        <v>6</v>
      </c>
      <c r="F80" s="19" t="s">
        <v>7</v>
      </c>
    </row>
    <row r="81" spans="2:6" x14ac:dyDescent="0.5">
      <c r="B81" s="23" t="s">
        <v>18</v>
      </c>
      <c r="C81">
        <v>13542.380954998591</v>
      </c>
      <c r="D81">
        <v>16876.8</v>
      </c>
      <c r="E81">
        <f>C81+D81</f>
        <v>30419.180954998592</v>
      </c>
      <c r="F81" s="9">
        <f>E81*25</f>
        <v>760479.5238749648</v>
      </c>
    </row>
    <row r="82" spans="2:6" ht="14.7" customHeight="1" thickBot="1" x14ac:dyDescent="0.55000000000000004">
      <c r="B82" s="16" t="s">
        <v>50</v>
      </c>
      <c r="C82" s="12"/>
      <c r="D82" s="12"/>
      <c r="E82">
        <f>C82+D82</f>
        <v>0</v>
      </c>
      <c r="F82" s="9">
        <f>E82*25</f>
        <v>0</v>
      </c>
    </row>
    <row r="83" spans="2:6" ht="14.7" customHeight="1" thickBot="1" x14ac:dyDescent="0.55000000000000004">
      <c r="B83" s="17"/>
      <c r="C83" s="18" t="s">
        <v>4</v>
      </c>
      <c r="D83" s="18" t="s">
        <v>5</v>
      </c>
      <c r="E83" s="18" t="s">
        <v>6</v>
      </c>
      <c r="F83" s="19" t="s">
        <v>7</v>
      </c>
    </row>
    <row r="84" spans="2:6" ht="14.7" customHeight="1" thickBot="1" x14ac:dyDescent="0.55000000000000004">
      <c r="B84" s="24" t="s">
        <v>22</v>
      </c>
      <c r="C84" s="12">
        <v>26313.823268859909</v>
      </c>
      <c r="D84" s="12">
        <v>1267309.4057996629</v>
      </c>
      <c r="E84" s="12">
        <v>1293623.229068523</v>
      </c>
      <c r="F84" s="13">
        <f>E84*25</f>
        <v>32340580.726713076</v>
      </c>
    </row>
    <row r="85" spans="2:6" ht="14.7" customHeight="1" thickBot="1" x14ac:dyDescent="0.55000000000000004">
      <c r="B85" s="8"/>
      <c r="F85" s="9"/>
    </row>
    <row r="86" spans="2:6" ht="14.7" customHeight="1" thickBot="1" x14ac:dyDescent="0.55000000000000004">
      <c r="B86" s="29" t="s">
        <v>46</v>
      </c>
      <c r="C86" s="30"/>
      <c r="D86" s="31"/>
      <c r="F86" s="9"/>
    </row>
    <row r="87" spans="2:6" ht="14.7" customHeight="1" thickBot="1" x14ac:dyDescent="0.55000000000000004">
      <c r="B87" s="24" t="s">
        <v>23</v>
      </c>
      <c r="C87" s="18" t="s">
        <v>24</v>
      </c>
      <c r="D87" s="19" t="s">
        <v>25</v>
      </c>
      <c r="F87" s="9"/>
    </row>
    <row r="88" spans="2:6" x14ac:dyDescent="0.5">
      <c r="B88" s="23" t="s">
        <v>9</v>
      </c>
      <c r="C88">
        <v>2</v>
      </c>
      <c r="D88" s="9">
        <v>200</v>
      </c>
      <c r="F88" s="9"/>
    </row>
    <row r="89" spans="2:6" x14ac:dyDescent="0.5">
      <c r="B89" s="3" t="s">
        <v>10</v>
      </c>
      <c r="C89">
        <v>0</v>
      </c>
      <c r="D89" s="9">
        <v>0</v>
      </c>
      <c r="F89" s="9"/>
    </row>
    <row r="90" spans="2:6" x14ac:dyDescent="0.5">
      <c r="B90" s="3" t="s">
        <v>14</v>
      </c>
      <c r="C90">
        <v>0</v>
      </c>
      <c r="D90" s="9">
        <v>0</v>
      </c>
      <c r="F90" s="9"/>
    </row>
    <row r="91" spans="2:6" x14ac:dyDescent="0.5">
      <c r="B91" s="3" t="s">
        <v>47</v>
      </c>
      <c r="C91">
        <v>0</v>
      </c>
      <c r="D91" s="9">
        <v>0</v>
      </c>
      <c r="F91" s="9"/>
    </row>
    <row r="92" spans="2:6" ht="14.7" customHeight="1" thickBot="1" x14ac:dyDescent="0.55000000000000004">
      <c r="B92" s="16" t="s">
        <v>26</v>
      </c>
      <c r="C92" s="12">
        <v>2</v>
      </c>
      <c r="D92" s="13">
        <v>200</v>
      </c>
      <c r="F92" s="9"/>
    </row>
    <row r="93" spans="2:6" ht="14.7" customHeight="1" thickBot="1" x14ac:dyDescent="0.55000000000000004">
      <c r="B93" s="8"/>
      <c r="F93" s="9"/>
    </row>
    <row r="94" spans="2:6" ht="14.7" customHeight="1" thickBot="1" x14ac:dyDescent="0.55000000000000004">
      <c r="B94" s="29" t="s">
        <v>51</v>
      </c>
      <c r="C94" s="30"/>
      <c r="D94" s="31"/>
      <c r="F94" s="9"/>
    </row>
    <row r="95" spans="2:6" ht="14.7" customHeight="1" thickBot="1" x14ac:dyDescent="0.55000000000000004">
      <c r="B95" s="17" t="s">
        <v>23</v>
      </c>
      <c r="C95" s="18" t="s">
        <v>24</v>
      </c>
      <c r="D95" s="19" t="s">
        <v>25</v>
      </c>
      <c r="F95" s="9"/>
    </row>
    <row r="96" spans="2:6" ht="14.7" customHeight="1" thickBot="1" x14ac:dyDescent="0.55000000000000004">
      <c r="B96" s="24" t="s">
        <v>18</v>
      </c>
      <c r="C96" s="12">
        <v>60</v>
      </c>
      <c r="D96" s="13">
        <v>1054.8</v>
      </c>
      <c r="F96" s="9"/>
    </row>
    <row r="97" spans="2:6" ht="14.7" customHeight="1" thickBot="1" x14ac:dyDescent="0.55000000000000004">
      <c r="B97" s="8"/>
      <c r="F97" s="9"/>
    </row>
    <row r="98" spans="2:6" ht="14.7" customHeight="1" thickBot="1" x14ac:dyDescent="0.55000000000000004">
      <c r="B98" s="29" t="s">
        <v>52</v>
      </c>
      <c r="C98" s="30"/>
      <c r="D98" s="31"/>
      <c r="F98" s="9"/>
    </row>
    <row r="99" spans="2:6" ht="14.7" customHeight="1" thickBot="1" x14ac:dyDescent="0.55000000000000004">
      <c r="B99" s="17" t="s">
        <v>53</v>
      </c>
      <c r="C99" s="18" t="s">
        <v>54</v>
      </c>
      <c r="D99" s="19" t="s">
        <v>55</v>
      </c>
      <c r="F99" s="9"/>
    </row>
    <row r="100" spans="2:6" x14ac:dyDescent="0.5">
      <c r="B100" s="23" t="s">
        <v>56</v>
      </c>
      <c r="C100">
        <v>204473.6842105262</v>
      </c>
      <c r="D100" s="9">
        <f>C100*25</f>
        <v>5111842.105263155</v>
      </c>
      <c r="F100" s="9"/>
    </row>
    <row r="101" spans="2:6" x14ac:dyDescent="0.5">
      <c r="B101" s="3" t="s">
        <v>57</v>
      </c>
      <c r="C101">
        <v>380540.74464145722</v>
      </c>
      <c r="D101" s="9">
        <f>C101*25</f>
        <v>9513518.61603643</v>
      </c>
      <c r="F101" s="9"/>
    </row>
    <row r="102" spans="2:6" ht="14.7" customHeight="1" thickBot="1" x14ac:dyDescent="0.55000000000000004">
      <c r="B102" s="16" t="s">
        <v>26</v>
      </c>
      <c r="C102" s="12">
        <f>C100+C101</f>
        <v>585014.42885198339</v>
      </c>
      <c r="D102" s="13">
        <f>C102*25</f>
        <v>14625360.721299585</v>
      </c>
      <c r="F102" s="9"/>
    </row>
    <row r="103" spans="2:6" ht="14.7" customHeight="1" thickBot="1" x14ac:dyDescent="0.55000000000000004">
      <c r="B103" s="8"/>
      <c r="F103" s="9"/>
    </row>
    <row r="104" spans="2:6" ht="14.7" customHeight="1" thickBot="1" x14ac:dyDescent="0.55000000000000004">
      <c r="B104" s="29" t="s">
        <v>58</v>
      </c>
      <c r="C104" s="30"/>
      <c r="D104" s="31"/>
      <c r="F104" s="9"/>
    </row>
    <row r="105" spans="2:6" ht="14.7" customHeight="1" thickBot="1" x14ac:dyDescent="0.55000000000000004">
      <c r="B105" s="17" t="s">
        <v>53</v>
      </c>
      <c r="C105" s="18" t="s">
        <v>59</v>
      </c>
      <c r="D105" s="22" t="s">
        <v>60</v>
      </c>
      <c r="F105" s="9"/>
    </row>
    <row r="106" spans="2:6" x14ac:dyDescent="0.5">
      <c r="B106" s="23" t="s">
        <v>56</v>
      </c>
      <c r="C106">
        <f>2.6085*C100</f>
        <v>533369.60526315751</v>
      </c>
      <c r="D106" s="9">
        <f>C106*25</f>
        <v>13334240.131578937</v>
      </c>
      <c r="F106" s="9"/>
    </row>
    <row r="107" spans="2:6" x14ac:dyDescent="0.5">
      <c r="B107" s="3" t="s">
        <v>57</v>
      </c>
      <c r="C107">
        <f>2.6085*C101</f>
        <v>992640.5323972411</v>
      </c>
      <c r="D107" s="9">
        <f>C107*25</f>
        <v>24816013.309931029</v>
      </c>
      <c r="F107" s="9"/>
    </row>
    <row r="108" spans="2:6" ht="14.7" customHeight="1" thickBot="1" x14ac:dyDescent="0.55000000000000004">
      <c r="B108" s="16" t="s">
        <v>26</v>
      </c>
      <c r="C108" s="12">
        <f>2.6085*C102</f>
        <v>1526010.1376603986</v>
      </c>
      <c r="D108" s="13">
        <f>C108*25</f>
        <v>38150253.441509962</v>
      </c>
      <c r="E108" s="12"/>
      <c r="F108" s="13"/>
    </row>
  </sheetData>
  <mergeCells count="30">
    <mergeCell ref="H64:I64"/>
    <mergeCell ref="H50:J50"/>
    <mergeCell ref="H55:J55"/>
    <mergeCell ref="B86:D86"/>
    <mergeCell ref="B104:D104"/>
    <mergeCell ref="B73:F73"/>
    <mergeCell ref="B36:D36"/>
    <mergeCell ref="B94:D94"/>
    <mergeCell ref="B50:D50"/>
    <mergeCell ref="B68:C68"/>
    <mergeCell ref="B64:C64"/>
    <mergeCell ref="B47:C47"/>
    <mergeCell ref="B98:D98"/>
    <mergeCell ref="B72:F72"/>
    <mergeCell ref="H33:I33"/>
    <mergeCell ref="B5:L5"/>
    <mergeCell ref="B63:C63"/>
    <mergeCell ref="B43:D43"/>
    <mergeCell ref="H25:J25"/>
    <mergeCell ref="H6:L6"/>
    <mergeCell ref="H60:I60"/>
    <mergeCell ref="B60:C60"/>
    <mergeCell ref="B55:D55"/>
    <mergeCell ref="H47:I47"/>
    <mergeCell ref="B25:D25"/>
    <mergeCell ref="H43:J43"/>
    <mergeCell ref="B6:F6"/>
    <mergeCell ref="B33:C33"/>
    <mergeCell ref="H36:J36"/>
    <mergeCell ref="H63:I63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3"/>
  <dimension ref="B4:N108"/>
  <sheetViews>
    <sheetView tabSelected="1" topLeftCell="A15" zoomScale="70" zoomScaleNormal="70" workbookViewId="0">
      <selection activeCell="M29" sqref="M29"/>
    </sheetView>
  </sheetViews>
  <sheetFormatPr defaultColWidth="39.234375" defaultRowHeight="14.35" x14ac:dyDescent="0.5"/>
  <cols>
    <col min="1" max="1" width="13.52734375" customWidth="1"/>
    <col min="2" max="2" width="15.234375" bestFit="1" customWidth="1"/>
    <col min="3" max="3" width="17.64453125" bestFit="1" customWidth="1"/>
    <col min="4" max="4" width="18.64453125" bestFit="1" customWidth="1"/>
    <col min="5" max="5" width="12.46875" bestFit="1" customWidth="1"/>
    <col min="6" max="6" width="14.5859375" bestFit="1" customWidth="1"/>
    <col min="7" max="7" width="12.46875" customWidth="1"/>
    <col min="8" max="8" width="15.234375" bestFit="1" customWidth="1"/>
    <col min="9" max="9" width="15.703125" bestFit="1" customWidth="1"/>
    <col min="10" max="10" width="18" bestFit="1" customWidth="1"/>
    <col min="11" max="11" width="12.46875" bestFit="1" customWidth="1"/>
    <col min="12" max="12" width="14.5859375" bestFit="1" customWidth="1"/>
    <col min="13" max="14" width="13.41015625" bestFit="1" customWidth="1"/>
    <col min="15" max="15" width="1.76171875" bestFit="1" customWidth="1"/>
  </cols>
  <sheetData>
    <row r="4" spans="2:14" ht="14.7" customHeight="1" thickBot="1" x14ac:dyDescent="0.55000000000000004"/>
    <row r="5" spans="2:14" ht="14.7" customHeight="1" thickBot="1" x14ac:dyDescent="0.55000000000000004">
      <c r="B5" s="29" t="s">
        <v>0</v>
      </c>
      <c r="C5" s="30"/>
      <c r="D5" s="30"/>
      <c r="E5" s="30"/>
      <c r="F5" s="30"/>
      <c r="G5" s="30"/>
      <c r="H5" s="30"/>
      <c r="I5" s="30"/>
      <c r="J5" s="30"/>
      <c r="K5" s="30"/>
      <c r="L5" s="31"/>
    </row>
    <row r="6" spans="2:14" ht="14.7" customHeight="1" thickBot="1" x14ac:dyDescent="0.55000000000000004">
      <c r="B6" s="29" t="s">
        <v>1</v>
      </c>
      <c r="C6" s="30"/>
      <c r="D6" s="30"/>
      <c r="E6" s="30"/>
      <c r="F6" s="31"/>
      <c r="H6" s="29" t="s">
        <v>2</v>
      </c>
      <c r="I6" s="30"/>
      <c r="J6" s="30"/>
      <c r="K6" s="30"/>
      <c r="L6" s="31"/>
    </row>
    <row r="7" spans="2:14" ht="14.7" customHeight="1" thickBot="1" x14ac:dyDescent="0.55000000000000004">
      <c r="B7" s="24" t="s">
        <v>3</v>
      </c>
      <c r="C7" s="18" t="s">
        <v>4</v>
      </c>
      <c r="D7" s="18" t="s">
        <v>5</v>
      </c>
      <c r="E7" s="18" t="s">
        <v>6</v>
      </c>
      <c r="F7" s="19" t="s">
        <v>7</v>
      </c>
      <c r="H7" s="24" t="s">
        <v>3</v>
      </c>
      <c r="I7" s="18" t="s">
        <v>4</v>
      </c>
      <c r="J7" s="18" t="s">
        <v>5</v>
      </c>
      <c r="K7" s="18" t="s">
        <v>6</v>
      </c>
      <c r="L7" s="19" t="s">
        <v>7</v>
      </c>
    </row>
    <row r="8" spans="2:14" x14ac:dyDescent="0.5">
      <c r="B8" s="3" t="s">
        <v>8</v>
      </c>
      <c r="C8" s="6">
        <f>13698 * D27*((0.05*((1.05)^25))/((1.05^25)-1))</f>
        <v>4276389.7443733281</v>
      </c>
      <c r="D8" s="6">
        <f>29*D27</f>
        <v>127600</v>
      </c>
      <c r="E8" s="6">
        <f>C8+D8</f>
        <v>4403989.7443733281</v>
      </c>
      <c r="F8" s="10">
        <f>E8*25</f>
        <v>110099743.6093332</v>
      </c>
      <c r="H8" s="3" t="s">
        <v>9</v>
      </c>
      <c r="I8" s="39">
        <f>1615 * J27*((0.05*((1.05)^25))/((1.05^25)-1))</f>
        <v>34376.465561476754</v>
      </c>
      <c r="J8" s="39">
        <f>29*J27</f>
        <v>8700</v>
      </c>
      <c r="K8" s="39">
        <f>I8+J8</f>
        <v>43076.465561476754</v>
      </c>
      <c r="L8" s="10">
        <f>K8*25</f>
        <v>1076911.6390369188</v>
      </c>
    </row>
    <row r="9" spans="2:14" x14ac:dyDescent="0.5">
      <c r="B9" s="3" t="s">
        <v>10</v>
      </c>
      <c r="C9" s="6">
        <f>13698 * D28*((0.05*((1.05)^25))/((1.05^25)-1))</f>
        <v>0</v>
      </c>
      <c r="D9" s="6">
        <f>29*D28</f>
        <v>0</v>
      </c>
      <c r="E9" s="6">
        <f>C9+D9</f>
        <v>0</v>
      </c>
      <c r="F9" s="10">
        <f>E9*25</f>
        <v>0</v>
      </c>
      <c r="H9" s="3" t="s">
        <v>10</v>
      </c>
      <c r="I9" s="39">
        <f>1615 * J28*((0.05*((1.05)^25))/((1.05^25)-1))</f>
        <v>572941.09269127925</v>
      </c>
      <c r="J9" s="39">
        <f>29*J28</f>
        <v>145000</v>
      </c>
      <c r="K9" s="39">
        <f>I9+J9</f>
        <v>717941.09269127925</v>
      </c>
      <c r="L9" s="10">
        <f>K9*25</f>
        <v>17948527.31728198</v>
      </c>
      <c r="M9" s="7"/>
      <c r="N9" s="6"/>
    </row>
    <row r="10" spans="2:14" x14ac:dyDescent="0.5">
      <c r="B10" s="3" t="s">
        <v>11</v>
      </c>
      <c r="C10" s="6">
        <f>13698 * D29*((0.05*((1.05)^25))/((1.05^25)-1))</f>
        <v>0</v>
      </c>
      <c r="D10" s="6">
        <f>29*D29</f>
        <v>0</v>
      </c>
      <c r="E10" s="6">
        <f>C10+D10</f>
        <v>0</v>
      </c>
      <c r="F10" s="10">
        <f>E10*25</f>
        <v>0</v>
      </c>
      <c r="H10" s="3" t="s">
        <v>11</v>
      </c>
      <c r="I10" s="39">
        <f>1615 * J29*((0.05*((1.05)^25))/((1.05^25)-1))</f>
        <v>0</v>
      </c>
      <c r="J10" s="39">
        <f>29*J29</f>
        <v>0</v>
      </c>
      <c r="K10" s="39">
        <f>I10+J10</f>
        <v>0</v>
      </c>
      <c r="L10" s="10">
        <f>K10*25</f>
        <v>0</v>
      </c>
      <c r="M10" s="7"/>
    </row>
    <row r="11" spans="2:14" ht="14.7" customHeight="1" thickBot="1" x14ac:dyDescent="0.55000000000000004">
      <c r="B11" s="16" t="s">
        <v>12</v>
      </c>
      <c r="C11" s="14">
        <f>13698 * D30*((0.05*((1.05)^25))/((1.05^25)-1))</f>
        <v>0</v>
      </c>
      <c r="D11" s="14">
        <f>29*D30</f>
        <v>0</v>
      </c>
      <c r="E11" s="14">
        <f>C11+D11</f>
        <v>0</v>
      </c>
      <c r="F11" s="15">
        <f>E11*25</f>
        <v>0</v>
      </c>
      <c r="H11" s="16" t="s">
        <v>12</v>
      </c>
      <c r="I11" s="14">
        <f>1615 * J30*((0.05*((1.05)^25))/((1.05^25)-1))</f>
        <v>0</v>
      </c>
      <c r="J11" s="14">
        <f>29*J30</f>
        <v>0</v>
      </c>
      <c r="K11" s="14">
        <f>I11+J11</f>
        <v>0</v>
      </c>
      <c r="L11" s="13">
        <f>K11*25</f>
        <v>0</v>
      </c>
    </row>
    <row r="12" spans="2:14" ht="14.7" customHeight="1" thickBot="1" x14ac:dyDescent="0.55000000000000004">
      <c r="B12" s="24" t="s">
        <v>13</v>
      </c>
      <c r="C12" s="18" t="s">
        <v>4</v>
      </c>
      <c r="D12" s="18" t="s">
        <v>5</v>
      </c>
      <c r="E12" s="18" t="s">
        <v>6</v>
      </c>
      <c r="F12" s="19" t="s">
        <v>7</v>
      </c>
      <c r="H12" s="24" t="s">
        <v>13</v>
      </c>
      <c r="I12" s="18" t="s">
        <v>4</v>
      </c>
      <c r="J12" s="18" t="s">
        <v>5</v>
      </c>
      <c r="K12" s="18" t="s">
        <v>6</v>
      </c>
      <c r="L12" s="19" t="s">
        <v>7</v>
      </c>
    </row>
    <row r="13" spans="2:14" x14ac:dyDescent="0.5">
      <c r="B13" s="3" t="s">
        <v>14</v>
      </c>
      <c r="C13" s="4">
        <f>2490 * D38*((0.05*((1.05)^10))/((1.05^10)-1))</f>
        <v>1289865.5666559488</v>
      </c>
      <c r="D13" s="1">
        <f>37.35*D38</f>
        <v>149400</v>
      </c>
      <c r="E13">
        <f>C13+D13</f>
        <v>1439265.5666559488</v>
      </c>
      <c r="F13" s="9">
        <f>E13*25</f>
        <v>35981639.166398719</v>
      </c>
      <c r="H13" s="3" t="s">
        <v>14</v>
      </c>
      <c r="I13" s="4">
        <f>2490 * J38*((0.05*((1.05)^10))/((1.05^10)-1))</f>
        <v>1612331.9583199359</v>
      </c>
      <c r="J13" s="1">
        <f>37.35*J38</f>
        <v>186750</v>
      </c>
      <c r="K13" s="39">
        <f>I13+J13</f>
        <v>1799081.9583199359</v>
      </c>
      <c r="L13" s="10">
        <f>K13*25</f>
        <v>44977048.957998395</v>
      </c>
    </row>
    <row r="14" spans="2:14" x14ac:dyDescent="0.5">
      <c r="B14" s="3" t="s">
        <v>15</v>
      </c>
      <c r="C14" s="4">
        <f>1570 * D39*((0.05*((1.05)^10))/((1.05^10)-1))</f>
        <v>0</v>
      </c>
      <c r="D14" s="1">
        <f>23.55*D39</f>
        <v>0</v>
      </c>
      <c r="E14">
        <f>C14+D14</f>
        <v>0</v>
      </c>
      <c r="F14" s="9">
        <f>E14*25</f>
        <v>0</v>
      </c>
      <c r="H14" s="3" t="s">
        <v>15</v>
      </c>
      <c r="I14" s="4">
        <f>1570 * J39*((0.05*((1.05)^10))/((1.05^10)-1))</f>
        <v>0</v>
      </c>
      <c r="J14" s="1">
        <f>23.55*J39</f>
        <v>0</v>
      </c>
      <c r="K14" s="38">
        <f>I14+J14</f>
        <v>0</v>
      </c>
      <c r="L14" s="10">
        <f>K14*25</f>
        <v>0</v>
      </c>
    </row>
    <row r="15" spans="2:14" ht="14.7" customHeight="1" thickBot="1" x14ac:dyDescent="0.55000000000000004">
      <c r="B15" s="16" t="s">
        <v>16</v>
      </c>
      <c r="C15" s="5">
        <f>1190 * D40*((0.05*((1.05)^10))/((1.05^10)-1))</f>
        <v>0</v>
      </c>
      <c r="D15" s="2">
        <f>17.85*D40</f>
        <v>0</v>
      </c>
      <c r="E15" s="12">
        <f>C15+D15</f>
        <v>0</v>
      </c>
      <c r="F15" s="13">
        <f>E15*25</f>
        <v>0</v>
      </c>
      <c r="H15" s="16" t="s">
        <v>16</v>
      </c>
      <c r="I15" s="5">
        <f>1190 * J40*((0.05*((1.05)^10))/((1.05^10)-1))</f>
        <v>0</v>
      </c>
      <c r="J15" s="2">
        <f>17.85*J40</f>
        <v>0</v>
      </c>
      <c r="K15" s="12">
        <f>I15+J15</f>
        <v>0</v>
      </c>
      <c r="L15" s="15">
        <f>K15*25</f>
        <v>0</v>
      </c>
    </row>
    <row r="16" spans="2:14" ht="14.7" customHeight="1" thickBot="1" x14ac:dyDescent="0.55000000000000004">
      <c r="B16" s="24" t="s">
        <v>17</v>
      </c>
      <c r="C16" s="18" t="s">
        <v>4</v>
      </c>
      <c r="D16" s="18" t="s">
        <v>5</v>
      </c>
      <c r="E16" s="18" t="s">
        <v>6</v>
      </c>
      <c r="F16" s="19" t="s">
        <v>7</v>
      </c>
      <c r="H16" s="24" t="s">
        <v>17</v>
      </c>
      <c r="I16" s="18" t="s">
        <v>4</v>
      </c>
      <c r="J16" s="18" t="s">
        <v>5</v>
      </c>
      <c r="K16" s="18" t="s">
        <v>6</v>
      </c>
      <c r="L16" s="19" t="s">
        <v>7</v>
      </c>
    </row>
    <row r="17" spans="2:14" ht="14.7" customHeight="1" thickBot="1" x14ac:dyDescent="0.55000000000000004">
      <c r="B17" s="16" t="s">
        <v>18</v>
      </c>
      <c r="C17" s="12">
        <v>63649.190488493346</v>
      </c>
      <c r="D17" s="12">
        <v>79320.959999999992</v>
      </c>
      <c r="E17" s="12">
        <f>D17+C17</f>
        <v>142970.15048849332</v>
      </c>
      <c r="F17" s="13">
        <f>E17*25</f>
        <v>3574253.7622123333</v>
      </c>
      <c r="H17" s="16" t="s">
        <v>18</v>
      </c>
      <c r="I17" s="12">
        <v>63649.190488493346</v>
      </c>
      <c r="J17" s="12">
        <v>79320.959999999992</v>
      </c>
      <c r="K17" s="12">
        <f>J17+I17</f>
        <v>142970.15048849332</v>
      </c>
      <c r="L17" s="15">
        <f>K17*25</f>
        <v>3574253.7622123333</v>
      </c>
    </row>
    <row r="18" spans="2:14" ht="14.7" customHeight="1" thickBot="1" x14ac:dyDescent="0.55000000000000004">
      <c r="B18" s="24" t="s">
        <v>19</v>
      </c>
      <c r="C18" s="18" t="s">
        <v>4</v>
      </c>
      <c r="D18" s="18" t="s">
        <v>5</v>
      </c>
      <c r="E18" s="18" t="s">
        <v>6</v>
      </c>
      <c r="F18" s="19" t="s">
        <v>7</v>
      </c>
      <c r="H18" s="24" t="s">
        <v>20</v>
      </c>
      <c r="I18" s="18" t="s">
        <v>4</v>
      </c>
      <c r="J18" s="18" t="s">
        <v>5</v>
      </c>
      <c r="K18" s="18" t="s">
        <v>6</v>
      </c>
      <c r="L18" s="19" t="s">
        <v>7</v>
      </c>
    </row>
    <row r="19" spans="2:14" ht="14.7" customHeight="1" thickBot="1" x14ac:dyDescent="0.55000000000000004">
      <c r="B19" s="11"/>
      <c r="C19" s="12">
        <f>C48*300*((0.05*((1.05)^20))/((1.05^20)-1))</f>
        <v>671630.45478608634</v>
      </c>
      <c r="D19" s="12">
        <v>0</v>
      </c>
      <c r="E19" s="12">
        <f>D19+C19</f>
        <v>671630.45478608634</v>
      </c>
      <c r="F19" s="13">
        <f>E19*25</f>
        <v>16790761.36965216</v>
      </c>
      <c r="H19" s="11"/>
      <c r="I19" s="14">
        <f>(I48/10)*3000*((0.05*((1.05)^20))/((1.05^20)-1))</f>
        <v>59219.029346730189</v>
      </c>
      <c r="J19" s="12">
        <v>0</v>
      </c>
      <c r="K19" s="12">
        <f>J19+I19</f>
        <v>59219.029346730189</v>
      </c>
      <c r="L19" s="15">
        <f>K19*25</f>
        <v>1480475.7336682547</v>
      </c>
    </row>
    <row r="20" spans="2:14" ht="14.7" customHeight="1" thickBot="1" x14ac:dyDescent="0.55000000000000004">
      <c r="B20" s="24" t="s">
        <v>21</v>
      </c>
      <c r="C20" s="18" t="s">
        <v>4</v>
      </c>
      <c r="D20" s="18" t="s">
        <v>5</v>
      </c>
      <c r="E20" s="18" t="s">
        <v>6</v>
      </c>
      <c r="F20" s="19" t="s">
        <v>7</v>
      </c>
      <c r="H20" s="24" t="s">
        <v>21</v>
      </c>
      <c r="I20" s="18" t="s">
        <v>4</v>
      </c>
      <c r="J20" s="18" t="s">
        <v>5</v>
      </c>
      <c r="K20" s="18" t="s">
        <v>6</v>
      </c>
      <c r="L20" s="19" t="s">
        <v>7</v>
      </c>
    </row>
    <row r="21" spans="2:14" ht="14.7" customHeight="1" thickBot="1" x14ac:dyDescent="0.55000000000000004">
      <c r="B21" s="11"/>
      <c r="C21" s="12">
        <v>0</v>
      </c>
      <c r="D21" s="12">
        <v>0</v>
      </c>
      <c r="E21" s="12">
        <f>C21+D21</f>
        <v>0</v>
      </c>
      <c r="F21" s="13">
        <f>E21*25</f>
        <v>0</v>
      </c>
      <c r="H21" s="11"/>
      <c r="I21" s="12">
        <v>0</v>
      </c>
      <c r="J21" s="12">
        <v>0</v>
      </c>
      <c r="K21" s="12">
        <f>J21+I21</f>
        <v>0</v>
      </c>
      <c r="L21" s="13">
        <f>K21*25</f>
        <v>0</v>
      </c>
    </row>
    <row r="22" spans="2:14" ht="14.7" customHeight="1" thickBot="1" x14ac:dyDescent="0.55000000000000004">
      <c r="B22" s="17"/>
      <c r="C22" s="18" t="s">
        <v>4</v>
      </c>
      <c r="D22" s="18" t="s">
        <v>5</v>
      </c>
      <c r="E22" s="18" t="s">
        <v>6</v>
      </c>
      <c r="F22" s="19" t="s">
        <v>7</v>
      </c>
      <c r="H22" s="17"/>
      <c r="I22" s="18" t="s">
        <v>4</v>
      </c>
      <c r="J22" s="18" t="s">
        <v>5</v>
      </c>
      <c r="K22" s="18" t="s">
        <v>6</v>
      </c>
      <c r="L22" s="19" t="s">
        <v>7</v>
      </c>
    </row>
    <row r="23" spans="2:14" ht="14.7" customHeight="1" thickBot="1" x14ac:dyDescent="0.55000000000000004">
      <c r="B23" s="24" t="s">
        <v>22</v>
      </c>
      <c r="C23" s="12">
        <v>6323200.45484534</v>
      </c>
      <c r="D23" s="12">
        <v>356320.96</v>
      </c>
      <c r="E23" s="25">
        <v>6679521.41484534</v>
      </c>
      <c r="F23" s="13">
        <f>D23*25</f>
        <v>8908024</v>
      </c>
      <c r="H23" s="24" t="s">
        <v>22</v>
      </c>
      <c r="I23" s="14">
        <v>2342517.7364079142</v>
      </c>
      <c r="J23" s="14">
        <v>419770.96</v>
      </c>
      <c r="K23" s="14">
        <v>4062917.2247025901</v>
      </c>
      <c r="L23" s="15">
        <f>K23*25</f>
        <v>101572930.61756475</v>
      </c>
      <c r="M23" s="6"/>
    </row>
    <row r="24" spans="2:14" ht="14.7" customHeight="1" thickBot="1" x14ac:dyDescent="0.55000000000000004">
      <c r="B24" s="8"/>
      <c r="F24" s="9"/>
      <c r="H24" s="8"/>
      <c r="I24" s="39"/>
      <c r="J24" s="39"/>
      <c r="K24" s="39"/>
      <c r="L24" s="10"/>
      <c r="M24" s="6"/>
      <c r="N24" s="7"/>
    </row>
    <row r="25" spans="2:14" ht="14.7" customHeight="1" thickBot="1" x14ac:dyDescent="0.55000000000000004">
      <c r="B25" s="29" t="s">
        <v>3</v>
      </c>
      <c r="C25" s="30"/>
      <c r="D25" s="31"/>
      <c r="F25" s="9"/>
      <c r="H25" s="29" t="s">
        <v>3</v>
      </c>
      <c r="I25" s="30"/>
      <c r="J25" s="31"/>
      <c r="K25" s="38"/>
      <c r="L25" s="10"/>
      <c r="M25" s="6"/>
    </row>
    <row r="26" spans="2:14" ht="14.7" customHeight="1" thickBot="1" x14ac:dyDescent="0.55000000000000004">
      <c r="B26" s="17" t="s">
        <v>23</v>
      </c>
      <c r="C26" s="18" t="s">
        <v>24</v>
      </c>
      <c r="D26" s="19" t="s">
        <v>25</v>
      </c>
      <c r="F26" s="9"/>
      <c r="H26" s="17" t="s">
        <v>23</v>
      </c>
      <c r="I26" s="18" t="s">
        <v>24</v>
      </c>
      <c r="J26" s="19" t="s">
        <v>25</v>
      </c>
      <c r="K26" s="38"/>
      <c r="L26" s="10"/>
      <c r="M26" s="6"/>
    </row>
    <row r="27" spans="2:14" x14ac:dyDescent="0.5">
      <c r="B27" s="23" t="s">
        <v>9</v>
      </c>
      <c r="C27">
        <v>44</v>
      </c>
      <c r="D27" s="9">
        <v>4400</v>
      </c>
      <c r="F27" s="9"/>
      <c r="H27" s="8" t="s">
        <v>9</v>
      </c>
      <c r="I27" s="38">
        <v>3</v>
      </c>
      <c r="J27" s="9">
        <v>300</v>
      </c>
      <c r="K27" s="38"/>
      <c r="L27" s="9"/>
    </row>
    <row r="28" spans="2:14" x14ac:dyDescent="0.5">
      <c r="B28" s="3" t="s">
        <v>10</v>
      </c>
      <c r="C28">
        <v>0</v>
      </c>
      <c r="D28" s="9">
        <v>0</v>
      </c>
      <c r="F28" s="9"/>
      <c r="H28" s="8" t="s">
        <v>10</v>
      </c>
      <c r="I28" s="38">
        <v>10</v>
      </c>
      <c r="J28" s="9">
        <v>5000</v>
      </c>
      <c r="K28" s="38"/>
      <c r="L28" s="9"/>
    </row>
    <row r="29" spans="2:14" x14ac:dyDescent="0.5">
      <c r="B29" s="3" t="s">
        <v>11</v>
      </c>
      <c r="C29">
        <v>0</v>
      </c>
      <c r="D29" s="9">
        <v>0</v>
      </c>
      <c r="F29" s="9"/>
      <c r="H29" s="8" t="s">
        <v>11</v>
      </c>
      <c r="I29" s="38">
        <v>0</v>
      </c>
      <c r="J29" s="9">
        <v>0</v>
      </c>
      <c r="K29" s="38"/>
      <c r="L29" s="9"/>
    </row>
    <row r="30" spans="2:14" x14ac:dyDescent="0.5">
      <c r="B30" s="3" t="s">
        <v>12</v>
      </c>
      <c r="C30">
        <v>0</v>
      </c>
      <c r="D30" s="9">
        <v>0</v>
      </c>
      <c r="F30" s="9"/>
      <c r="H30" s="8" t="s">
        <v>12</v>
      </c>
      <c r="I30" s="38">
        <v>0</v>
      </c>
      <c r="J30" s="9">
        <v>0</v>
      </c>
      <c r="K30" s="38"/>
      <c r="L30" s="9"/>
    </row>
    <row r="31" spans="2:14" ht="14.7" customHeight="1" thickBot="1" x14ac:dyDescent="0.55000000000000004">
      <c r="B31" s="16" t="s">
        <v>26</v>
      </c>
      <c r="C31" s="12">
        <v>44</v>
      </c>
      <c r="D31" s="13">
        <v>4400</v>
      </c>
      <c r="F31" s="9"/>
      <c r="H31" s="11" t="s">
        <v>26</v>
      </c>
      <c r="I31" s="12">
        <v>13</v>
      </c>
      <c r="J31" s="13">
        <v>5300</v>
      </c>
      <c r="K31" s="38"/>
      <c r="L31" s="9"/>
    </row>
    <row r="32" spans="2:14" ht="14.7" customHeight="1" thickBot="1" x14ac:dyDescent="0.55000000000000004">
      <c r="B32" s="8"/>
      <c r="F32" s="9"/>
      <c r="H32" s="8"/>
      <c r="I32" s="38"/>
      <c r="J32" s="38"/>
      <c r="K32" s="38"/>
      <c r="L32" s="9"/>
    </row>
    <row r="33" spans="2:12" ht="14.7" customHeight="1" thickBot="1" x14ac:dyDescent="0.55000000000000004">
      <c r="B33" s="29" t="s">
        <v>21</v>
      </c>
      <c r="C33" s="31"/>
      <c r="F33" s="9"/>
      <c r="H33" s="29" t="s">
        <v>21</v>
      </c>
      <c r="I33" s="31"/>
      <c r="J33" s="38"/>
      <c r="K33" s="38"/>
      <c r="L33" s="9"/>
    </row>
    <row r="34" spans="2:12" ht="14.7" customHeight="1" thickBot="1" x14ac:dyDescent="0.55000000000000004">
      <c r="B34" s="24" t="s">
        <v>25</v>
      </c>
      <c r="C34" s="13">
        <v>0</v>
      </c>
      <c r="F34" s="9"/>
      <c r="H34" s="24" t="s">
        <v>25</v>
      </c>
      <c r="I34" s="13">
        <v>0</v>
      </c>
      <c r="J34" s="38"/>
      <c r="K34" s="38"/>
      <c r="L34" s="9"/>
    </row>
    <row r="35" spans="2:12" ht="14.7" customHeight="1" thickBot="1" x14ac:dyDescent="0.55000000000000004">
      <c r="B35" s="8"/>
      <c r="F35" s="9"/>
      <c r="H35" s="8"/>
      <c r="I35" s="38"/>
      <c r="J35" s="38"/>
      <c r="K35" s="38"/>
      <c r="L35" s="9"/>
    </row>
    <row r="36" spans="2:12" ht="14.7" customHeight="1" thickBot="1" x14ac:dyDescent="0.55000000000000004">
      <c r="B36" s="29" t="s">
        <v>13</v>
      </c>
      <c r="C36" s="30"/>
      <c r="D36" s="31"/>
      <c r="F36" s="9"/>
      <c r="H36" s="29" t="s">
        <v>13</v>
      </c>
      <c r="I36" s="30"/>
      <c r="J36" s="31"/>
      <c r="K36" s="38"/>
      <c r="L36" s="9"/>
    </row>
    <row r="37" spans="2:12" ht="14.7" customHeight="1" thickBot="1" x14ac:dyDescent="0.55000000000000004">
      <c r="B37" s="24" t="s">
        <v>23</v>
      </c>
      <c r="C37" s="18" t="s">
        <v>24</v>
      </c>
      <c r="D37" s="19" t="s">
        <v>25</v>
      </c>
      <c r="F37" s="9"/>
      <c r="H37" s="17" t="s">
        <v>23</v>
      </c>
      <c r="I37" s="18" t="s">
        <v>24</v>
      </c>
      <c r="J37" s="19" t="s">
        <v>25</v>
      </c>
      <c r="K37" s="38"/>
      <c r="L37" s="9"/>
    </row>
    <row r="38" spans="2:12" x14ac:dyDescent="0.5">
      <c r="B38" s="23" t="s">
        <v>14</v>
      </c>
      <c r="C38">
        <v>4</v>
      </c>
      <c r="D38" s="9">
        <v>4000</v>
      </c>
      <c r="F38" s="9"/>
      <c r="H38" s="23" t="s">
        <v>14</v>
      </c>
      <c r="I38" s="38">
        <v>5</v>
      </c>
      <c r="J38" s="9">
        <v>5000</v>
      </c>
      <c r="K38" s="38"/>
      <c r="L38" s="9"/>
    </row>
    <row r="39" spans="2:12" x14ac:dyDescent="0.5">
      <c r="B39" s="3" t="s">
        <v>15</v>
      </c>
      <c r="C39">
        <v>0</v>
      </c>
      <c r="D39" s="9">
        <v>0</v>
      </c>
      <c r="F39" s="9"/>
      <c r="H39" s="3" t="s">
        <v>15</v>
      </c>
      <c r="I39" s="38">
        <v>0</v>
      </c>
      <c r="J39" s="9">
        <v>0</v>
      </c>
      <c r="K39" s="38"/>
      <c r="L39" s="9"/>
    </row>
    <row r="40" spans="2:12" x14ac:dyDescent="0.5">
      <c r="B40" s="3" t="s">
        <v>16</v>
      </c>
      <c r="C40">
        <v>0</v>
      </c>
      <c r="D40" s="9">
        <v>0</v>
      </c>
      <c r="F40" s="9"/>
      <c r="H40" s="3" t="s">
        <v>16</v>
      </c>
      <c r="I40" s="38">
        <v>0</v>
      </c>
      <c r="J40" s="9">
        <v>0</v>
      </c>
      <c r="K40" s="38"/>
      <c r="L40" s="9"/>
    </row>
    <row r="41" spans="2:12" ht="14.7" customHeight="1" thickBot="1" x14ac:dyDescent="0.55000000000000004">
      <c r="B41" s="16" t="s">
        <v>26</v>
      </c>
      <c r="C41" s="12">
        <v>4</v>
      </c>
      <c r="D41" s="13">
        <v>4000</v>
      </c>
      <c r="F41" s="9"/>
      <c r="H41" s="16" t="s">
        <v>26</v>
      </c>
      <c r="I41" s="12">
        <v>5</v>
      </c>
      <c r="J41" s="13">
        <v>5000</v>
      </c>
      <c r="K41" s="38"/>
      <c r="L41" s="9"/>
    </row>
    <row r="42" spans="2:12" ht="14.7" customHeight="1" thickBot="1" x14ac:dyDescent="0.55000000000000004">
      <c r="B42" s="8"/>
      <c r="F42" s="9"/>
      <c r="H42" s="8"/>
      <c r="I42" s="38"/>
      <c r="J42" s="38"/>
      <c r="K42" s="38"/>
      <c r="L42" s="9"/>
    </row>
    <row r="43" spans="2:12" ht="14.7" customHeight="1" thickBot="1" x14ac:dyDescent="0.55000000000000004">
      <c r="B43" s="29" t="s">
        <v>27</v>
      </c>
      <c r="C43" s="30"/>
      <c r="D43" s="31"/>
      <c r="F43" s="9"/>
      <c r="H43" s="29" t="s">
        <v>27</v>
      </c>
      <c r="I43" s="30"/>
      <c r="J43" s="31"/>
      <c r="K43" s="38"/>
      <c r="L43" s="9"/>
    </row>
    <row r="44" spans="2:12" ht="14.7" customHeight="1" thickBot="1" x14ac:dyDescent="0.55000000000000004">
      <c r="B44" s="24" t="s">
        <v>23</v>
      </c>
      <c r="C44" s="18" t="s">
        <v>24</v>
      </c>
      <c r="D44" s="19" t="s">
        <v>25</v>
      </c>
      <c r="F44" s="9"/>
      <c r="H44" s="17" t="s">
        <v>23</v>
      </c>
      <c r="I44" s="18" t="s">
        <v>24</v>
      </c>
      <c r="J44" s="19" t="s">
        <v>25</v>
      </c>
      <c r="K44" s="38"/>
      <c r="L44" s="9"/>
    </row>
    <row r="45" spans="2:12" ht="14.7" customHeight="1" thickBot="1" x14ac:dyDescent="0.55000000000000004">
      <c r="B45" s="24" t="s">
        <v>18</v>
      </c>
      <c r="C45" s="12">
        <v>282</v>
      </c>
      <c r="D45" s="13">
        <v>4957.5599999999986</v>
      </c>
      <c r="F45" s="9"/>
      <c r="H45" s="24" t="s">
        <v>18</v>
      </c>
      <c r="I45" s="12">
        <v>282</v>
      </c>
      <c r="J45" s="13">
        <v>4957.5599999999986</v>
      </c>
      <c r="K45" s="38"/>
      <c r="L45" s="9"/>
    </row>
    <row r="46" spans="2:12" ht="14.7" customHeight="1" thickBot="1" x14ac:dyDescent="0.55000000000000004">
      <c r="B46" s="8"/>
      <c r="F46" s="9"/>
      <c r="H46" s="8"/>
      <c r="I46" s="38"/>
      <c r="J46" s="38"/>
      <c r="K46" s="38"/>
      <c r="L46" s="9"/>
    </row>
    <row r="47" spans="2:12" ht="14.7" customHeight="1" thickBot="1" x14ac:dyDescent="0.55000000000000004">
      <c r="B47" s="29" t="s">
        <v>28</v>
      </c>
      <c r="C47" s="31"/>
      <c r="F47" s="9"/>
      <c r="H47" s="29" t="s">
        <v>28</v>
      </c>
      <c r="I47" s="31"/>
      <c r="J47" s="38"/>
      <c r="K47" s="38"/>
      <c r="L47" s="9"/>
    </row>
    <row r="48" spans="2:12" ht="14.7" customHeight="1" thickBot="1" x14ac:dyDescent="0.55000000000000004">
      <c r="B48" s="11" t="s">
        <v>29</v>
      </c>
      <c r="C48" s="13">
        <v>27900</v>
      </c>
      <c r="F48" s="9"/>
      <c r="H48" s="24" t="s">
        <v>29</v>
      </c>
      <c r="I48" s="13">
        <v>2460</v>
      </c>
      <c r="J48" s="38"/>
      <c r="K48" s="38"/>
      <c r="L48" s="9"/>
    </row>
    <row r="49" spans="2:12" ht="14.7" customHeight="1" thickBot="1" x14ac:dyDescent="0.55000000000000004">
      <c r="B49" s="8"/>
      <c r="F49" s="9"/>
      <c r="H49" s="8"/>
      <c r="I49" s="38"/>
      <c r="J49" s="38"/>
      <c r="K49" s="38"/>
      <c r="L49" s="9"/>
    </row>
    <row r="50" spans="2:12" ht="14.7" customHeight="1" thickBot="1" x14ac:dyDescent="0.55000000000000004">
      <c r="B50" s="29" t="s">
        <v>30</v>
      </c>
      <c r="C50" s="30"/>
      <c r="D50" s="31"/>
      <c r="F50" s="9"/>
      <c r="H50" s="35" t="s">
        <v>30</v>
      </c>
      <c r="I50" s="36"/>
      <c r="J50" s="37"/>
      <c r="K50" s="38"/>
      <c r="L50" s="9"/>
    </row>
    <row r="51" spans="2:12" ht="14.7" customHeight="1" thickBot="1" x14ac:dyDescent="0.55000000000000004">
      <c r="B51" s="11" t="s">
        <v>31</v>
      </c>
      <c r="C51" s="12" t="s">
        <v>32</v>
      </c>
      <c r="D51" s="13" t="s">
        <v>33</v>
      </c>
      <c r="F51" s="9"/>
      <c r="H51" s="24" t="s">
        <v>31</v>
      </c>
      <c r="I51" s="18" t="s">
        <v>61</v>
      </c>
      <c r="J51" s="21" t="s">
        <v>33</v>
      </c>
      <c r="K51" s="38"/>
      <c r="L51" s="9"/>
    </row>
    <row r="52" spans="2:12" ht="14.7" customHeight="1" x14ac:dyDescent="0.5">
      <c r="B52" s="23" t="s">
        <v>34</v>
      </c>
      <c r="C52" s="26">
        <v>4907476.7436251296</v>
      </c>
      <c r="D52" s="27">
        <f>C52*25</f>
        <v>122686918.59062824</v>
      </c>
      <c r="F52" s="9"/>
      <c r="H52" s="3" t="s">
        <v>34</v>
      </c>
      <c r="I52" s="40">
        <v>7114564.8537607603</v>
      </c>
      <c r="J52" s="27">
        <f>I52*25</f>
        <v>177864121.344019</v>
      </c>
      <c r="K52" s="38"/>
      <c r="L52" s="9"/>
    </row>
    <row r="53" spans="2:12" ht="14.7" customHeight="1" thickBot="1" x14ac:dyDescent="0.55000000000000004">
      <c r="B53" s="16" t="s">
        <v>35</v>
      </c>
      <c r="C53" s="25">
        <v>1489965.106971886</v>
      </c>
      <c r="D53" s="28">
        <f>C53*25</f>
        <v>37249127.674297154</v>
      </c>
      <c r="F53" s="9"/>
      <c r="H53" s="16" t="s">
        <v>35</v>
      </c>
      <c r="I53" s="25">
        <v>44621.064408215098</v>
      </c>
      <c r="J53" s="28">
        <f>I53*25</f>
        <v>1115526.6102053775</v>
      </c>
      <c r="K53" s="38"/>
      <c r="L53" s="9"/>
    </row>
    <row r="54" spans="2:12" ht="14.7" customHeight="1" thickBot="1" x14ac:dyDescent="0.55000000000000004">
      <c r="B54" s="8"/>
      <c r="F54" s="9"/>
      <c r="H54" s="8"/>
      <c r="I54" s="39"/>
      <c r="J54" s="10"/>
      <c r="K54" s="38"/>
      <c r="L54" s="9"/>
    </row>
    <row r="55" spans="2:12" ht="14.7" customHeight="1" thickBot="1" x14ac:dyDescent="0.55000000000000004">
      <c r="B55" s="29" t="s">
        <v>36</v>
      </c>
      <c r="C55" s="30"/>
      <c r="D55" s="31"/>
      <c r="F55" s="9"/>
      <c r="H55" s="35" t="s">
        <v>36</v>
      </c>
      <c r="I55" s="36"/>
      <c r="J55" s="37"/>
      <c r="K55" s="38"/>
      <c r="L55" s="9"/>
    </row>
    <row r="56" spans="2:12" ht="14.7" customHeight="1" thickBot="1" x14ac:dyDescent="0.55000000000000004">
      <c r="B56" s="11" t="s">
        <v>31</v>
      </c>
      <c r="C56" s="12" t="s">
        <v>32</v>
      </c>
      <c r="D56" s="13" t="s">
        <v>33</v>
      </c>
      <c r="F56" s="9"/>
      <c r="H56" s="24" t="s">
        <v>31</v>
      </c>
      <c r="I56" s="20">
        <v>1932350.9479350101</v>
      </c>
      <c r="J56" s="21" t="s">
        <v>33</v>
      </c>
      <c r="K56" s="38"/>
      <c r="L56" s="9"/>
    </row>
    <row r="57" spans="2:12" ht="14.7" customHeight="1" thickBot="1" x14ac:dyDescent="0.55000000000000004">
      <c r="B57" s="23" t="s">
        <v>34</v>
      </c>
      <c r="C57">
        <v>1332894.91802164</v>
      </c>
      <c r="D57" s="9">
        <f>C57*25</f>
        <v>33322372.950541001</v>
      </c>
      <c r="F57" s="9"/>
      <c r="H57" s="16" t="s">
        <v>34</v>
      </c>
      <c r="I57" s="14">
        <v>28245.968110873309</v>
      </c>
      <c r="J57" s="15">
        <f>I57*25</f>
        <v>706149.2027718327</v>
      </c>
      <c r="K57" s="38"/>
      <c r="L57" s="9"/>
    </row>
    <row r="58" spans="2:12" ht="14.7" customHeight="1" thickBot="1" x14ac:dyDescent="0.55000000000000004">
      <c r="B58" s="16" t="s">
        <v>35</v>
      </c>
      <c r="C58" s="12">
        <v>588201.65561501798</v>
      </c>
      <c r="D58" s="13">
        <f>C58*25</f>
        <v>14705041.39037545</v>
      </c>
      <c r="F58" s="9"/>
      <c r="H58" s="8" t="s">
        <v>35</v>
      </c>
      <c r="I58" s="12">
        <v>44621.064408215098</v>
      </c>
      <c r="J58" s="38">
        <f>I58*25</f>
        <v>1115526.6102053775</v>
      </c>
      <c r="K58" s="38"/>
      <c r="L58" s="9"/>
    </row>
    <row r="59" spans="2:12" ht="14.7" customHeight="1" thickBot="1" x14ac:dyDescent="0.55000000000000004">
      <c r="B59" s="8"/>
      <c r="F59" s="9"/>
      <c r="H59" s="8"/>
      <c r="I59" s="38"/>
      <c r="J59" s="38"/>
      <c r="K59" s="38"/>
      <c r="L59" s="9"/>
    </row>
    <row r="60" spans="2:12" ht="14.7" customHeight="1" thickBot="1" x14ac:dyDescent="0.55000000000000004">
      <c r="B60" s="29" t="s">
        <v>37</v>
      </c>
      <c r="C60" s="31"/>
      <c r="F60" s="9"/>
      <c r="H60" s="29" t="s">
        <v>38</v>
      </c>
      <c r="I60" s="31"/>
      <c r="J60" s="38"/>
      <c r="K60" s="38"/>
      <c r="L60" s="9"/>
    </row>
    <row r="61" spans="2:12" ht="14.7" customHeight="1" thickBot="1" x14ac:dyDescent="0.55000000000000004">
      <c r="B61" s="24" t="s">
        <v>39</v>
      </c>
      <c r="C61" s="13">
        <v>251950.877142966</v>
      </c>
      <c r="F61" s="9"/>
      <c r="H61" s="24" t="s">
        <v>39</v>
      </c>
      <c r="I61" s="13">
        <v>22140.000000000098</v>
      </c>
      <c r="J61" s="38"/>
      <c r="K61" s="38"/>
      <c r="L61" s="9"/>
    </row>
    <row r="62" spans="2:12" ht="14.7" customHeight="1" thickBot="1" x14ac:dyDescent="0.55000000000000004">
      <c r="B62" s="8"/>
      <c r="F62" s="9"/>
      <c r="H62" s="8"/>
      <c r="I62" s="38"/>
      <c r="J62" s="38"/>
      <c r="K62" s="38"/>
      <c r="L62" s="9"/>
    </row>
    <row r="63" spans="2:12" ht="14.7" customHeight="1" thickBot="1" x14ac:dyDescent="0.55000000000000004">
      <c r="B63" s="29" t="s">
        <v>40</v>
      </c>
      <c r="C63" s="31"/>
      <c r="F63" s="9"/>
      <c r="H63" s="29" t="s">
        <v>40</v>
      </c>
      <c r="I63" s="31"/>
      <c r="J63" s="38"/>
      <c r="K63" s="38"/>
      <c r="L63" s="9"/>
    </row>
    <row r="64" spans="2:12" ht="14.7" customHeight="1" thickBot="1" x14ac:dyDescent="0.55000000000000004">
      <c r="B64" s="29">
        <f>E23/B70</f>
        <v>1.0342489815875464</v>
      </c>
      <c r="C64" s="31"/>
      <c r="F64" s="9"/>
      <c r="H64" s="29">
        <f>K23/B70</f>
        <v>0.62909716743837263</v>
      </c>
      <c r="I64" s="31"/>
      <c r="J64" s="38"/>
      <c r="K64" s="38"/>
      <c r="L64" s="9"/>
    </row>
    <row r="65" spans="2:12" x14ac:dyDescent="0.5">
      <c r="B65" s="8"/>
      <c r="F65" s="9"/>
      <c r="H65" s="8"/>
      <c r="I65" s="38"/>
      <c r="J65" s="38"/>
      <c r="K65" s="38"/>
      <c r="L65" s="9"/>
    </row>
    <row r="66" spans="2:12" ht="14.7" customHeight="1" thickBot="1" x14ac:dyDescent="0.55000000000000004">
      <c r="B66" s="11"/>
      <c r="C66" s="12"/>
      <c r="D66" s="12"/>
      <c r="E66" s="12"/>
      <c r="F66" s="13"/>
      <c r="G66" s="12"/>
      <c r="H66" s="11"/>
      <c r="I66" s="12"/>
      <c r="J66" s="12"/>
      <c r="K66" s="12"/>
      <c r="L66" s="13"/>
    </row>
    <row r="67" spans="2:12" ht="14.7" customHeight="1" thickBot="1" x14ac:dyDescent="0.55000000000000004">
      <c r="B67" s="11"/>
      <c r="C67" s="12"/>
      <c r="L67" s="9"/>
    </row>
    <row r="68" spans="2:12" ht="14.7" customHeight="1" thickBot="1" x14ac:dyDescent="0.55000000000000004">
      <c r="B68" s="32" t="s">
        <v>41</v>
      </c>
      <c r="C68" s="33"/>
      <c r="L68" s="9"/>
    </row>
    <row r="69" spans="2:12" ht="14.7" customHeight="1" thickBot="1" x14ac:dyDescent="0.55000000000000004">
      <c r="B69" s="17" t="s">
        <v>42</v>
      </c>
      <c r="C69" s="19" t="s">
        <v>43</v>
      </c>
      <c r="L69" s="9"/>
    </row>
    <row r="70" spans="2:12" ht="14.7" customHeight="1" thickBot="1" x14ac:dyDescent="0.55000000000000004">
      <c r="B70" s="11">
        <f>C108</f>
        <v>6458330.1833108319</v>
      </c>
      <c r="C70" s="13">
        <f>D108</f>
        <v>161458254.58277079</v>
      </c>
      <c r="D70" s="12"/>
      <c r="E70" s="12"/>
      <c r="F70" s="12"/>
      <c r="G70" s="12"/>
      <c r="H70" s="12"/>
      <c r="I70" s="12"/>
      <c r="J70" s="12"/>
      <c r="K70" s="12"/>
      <c r="L70" s="13"/>
    </row>
    <row r="71" spans="2:12" ht="14.7" customHeight="1" thickBot="1" x14ac:dyDescent="0.55000000000000004"/>
    <row r="72" spans="2:12" ht="14.7" customHeight="1" thickBot="1" x14ac:dyDescent="0.55000000000000004">
      <c r="B72" s="29" t="s">
        <v>44</v>
      </c>
      <c r="C72" s="30"/>
      <c r="D72" s="30"/>
      <c r="E72" s="30"/>
      <c r="F72" s="31"/>
    </row>
    <row r="73" spans="2:12" ht="14.7" customHeight="1" thickBot="1" x14ac:dyDescent="0.55000000000000004">
      <c r="B73" s="29" t="s">
        <v>45</v>
      </c>
      <c r="C73" s="30"/>
      <c r="D73" s="30"/>
      <c r="E73" s="30"/>
      <c r="F73" s="31"/>
    </row>
    <row r="74" spans="2:12" ht="14.7" customHeight="1" thickBot="1" x14ac:dyDescent="0.55000000000000004">
      <c r="B74" s="24" t="s">
        <v>46</v>
      </c>
      <c r="C74" s="18" t="s">
        <v>4</v>
      </c>
      <c r="D74" s="18" t="s">
        <v>5</v>
      </c>
      <c r="E74" s="18" t="s">
        <v>6</v>
      </c>
      <c r="F74" s="19" t="s">
        <v>7</v>
      </c>
    </row>
    <row r="75" spans="2:12" x14ac:dyDescent="0.5">
      <c r="B75" s="23" t="s">
        <v>9</v>
      </c>
      <c r="C75">
        <v>31928.605784653319</v>
      </c>
      <c r="D75">
        <v>74500</v>
      </c>
      <c r="E75">
        <f>C75+D75</f>
        <v>106428.60578465332</v>
      </c>
      <c r="F75" s="9">
        <f>E75*25</f>
        <v>2660715.1446163328</v>
      </c>
    </row>
    <row r="76" spans="2:12" x14ac:dyDescent="0.5">
      <c r="B76" s="3" t="s">
        <v>10</v>
      </c>
      <c r="C76">
        <v>0</v>
      </c>
      <c r="D76">
        <v>0</v>
      </c>
      <c r="E76">
        <f>C76+D76</f>
        <v>0</v>
      </c>
      <c r="F76" s="9">
        <f>E76*25</f>
        <v>0</v>
      </c>
    </row>
    <row r="77" spans="2:12" x14ac:dyDescent="0.5">
      <c r="B77" s="3" t="s">
        <v>14</v>
      </c>
      <c r="C77">
        <v>0</v>
      </c>
      <c r="D77">
        <v>0</v>
      </c>
      <c r="E77">
        <f>C77+D77</f>
        <v>0</v>
      </c>
      <c r="F77" s="9">
        <f>E77*25</f>
        <v>0</v>
      </c>
    </row>
    <row r="78" spans="2:12" x14ac:dyDescent="0.5">
      <c r="B78" s="3" t="s">
        <v>47</v>
      </c>
      <c r="C78">
        <v>0</v>
      </c>
      <c r="D78">
        <v>0</v>
      </c>
      <c r="E78">
        <f>C78+D78</f>
        <v>0</v>
      </c>
      <c r="F78" s="9">
        <f>E78*25</f>
        <v>0</v>
      </c>
    </row>
    <row r="79" spans="2:12" ht="14.7" customHeight="1" thickBot="1" x14ac:dyDescent="0.55000000000000004">
      <c r="B79" s="16" t="s">
        <v>48</v>
      </c>
      <c r="C79" s="12"/>
      <c r="D79" s="12"/>
      <c r="E79">
        <f>C79+D79</f>
        <v>0</v>
      </c>
      <c r="F79" s="9">
        <f>E79*25</f>
        <v>0</v>
      </c>
    </row>
    <row r="80" spans="2:12" ht="14.7" customHeight="1" thickBot="1" x14ac:dyDescent="0.55000000000000004">
      <c r="B80" s="17" t="s">
        <v>49</v>
      </c>
      <c r="C80" s="18" t="s">
        <v>4</v>
      </c>
      <c r="D80" s="18" t="s">
        <v>5</v>
      </c>
      <c r="E80" s="18" t="s">
        <v>6</v>
      </c>
      <c r="F80" s="19" t="s">
        <v>7</v>
      </c>
    </row>
    <row r="81" spans="2:6" x14ac:dyDescent="0.5">
      <c r="B81" s="23" t="s">
        <v>18</v>
      </c>
      <c r="C81">
        <v>63649.190488493346</v>
      </c>
      <c r="D81">
        <v>79320.959999999992</v>
      </c>
      <c r="E81">
        <f>C81+D81</f>
        <v>142970.15048849332</v>
      </c>
      <c r="F81" s="9">
        <f>E81*25</f>
        <v>3574253.7622123333</v>
      </c>
    </row>
    <row r="82" spans="2:6" ht="14.7" customHeight="1" thickBot="1" x14ac:dyDescent="0.55000000000000004">
      <c r="B82" s="16" t="s">
        <v>50</v>
      </c>
      <c r="C82" s="12"/>
      <c r="D82" s="12"/>
      <c r="E82">
        <f>C82+D82</f>
        <v>0</v>
      </c>
      <c r="F82" s="9">
        <f>E82*25</f>
        <v>0</v>
      </c>
    </row>
    <row r="83" spans="2:6" ht="14.7" customHeight="1" thickBot="1" x14ac:dyDescent="0.55000000000000004">
      <c r="B83" s="17"/>
      <c r="C83" s="18" t="s">
        <v>4</v>
      </c>
      <c r="D83" s="18" t="s">
        <v>5</v>
      </c>
      <c r="E83" s="18" t="s">
        <v>6</v>
      </c>
      <c r="F83" s="19" t="s">
        <v>7</v>
      </c>
    </row>
    <row r="84" spans="2:6" ht="14.7" customHeight="1" thickBot="1" x14ac:dyDescent="0.55000000000000004">
      <c r="B84" s="24" t="s">
        <v>22</v>
      </c>
      <c r="C84" s="12">
        <v>95577.796273146669</v>
      </c>
      <c r="D84" s="12">
        <v>5319742.3429703088</v>
      </c>
      <c r="E84" s="12">
        <v>5415320.1392434556</v>
      </c>
      <c r="F84" s="13">
        <f>E84*25</f>
        <v>135383003.4810864</v>
      </c>
    </row>
    <row r="85" spans="2:6" ht="14.7" customHeight="1" thickBot="1" x14ac:dyDescent="0.55000000000000004">
      <c r="B85" s="8"/>
      <c r="F85" s="9"/>
    </row>
    <row r="86" spans="2:6" ht="14.7" customHeight="1" thickBot="1" x14ac:dyDescent="0.55000000000000004">
      <c r="B86" s="29" t="s">
        <v>46</v>
      </c>
      <c r="C86" s="30"/>
      <c r="D86" s="31"/>
      <c r="F86" s="9"/>
    </row>
    <row r="87" spans="2:6" ht="14.7" customHeight="1" thickBot="1" x14ac:dyDescent="0.55000000000000004">
      <c r="B87" s="24" t="s">
        <v>23</v>
      </c>
      <c r="C87" s="18" t="s">
        <v>24</v>
      </c>
      <c r="D87" s="19" t="s">
        <v>25</v>
      </c>
      <c r="F87" s="9"/>
    </row>
    <row r="88" spans="2:6" x14ac:dyDescent="0.5">
      <c r="B88" s="23" t="s">
        <v>9</v>
      </c>
      <c r="C88">
        <v>5</v>
      </c>
      <c r="D88" s="9">
        <v>500</v>
      </c>
      <c r="F88" s="9"/>
    </row>
    <row r="89" spans="2:6" x14ac:dyDescent="0.5">
      <c r="B89" s="3" t="s">
        <v>10</v>
      </c>
      <c r="C89">
        <v>0</v>
      </c>
      <c r="D89" s="9">
        <v>0</v>
      </c>
      <c r="F89" s="9"/>
    </row>
    <row r="90" spans="2:6" x14ac:dyDescent="0.5">
      <c r="B90" s="3" t="s">
        <v>14</v>
      </c>
      <c r="C90">
        <v>0</v>
      </c>
      <c r="D90" s="9">
        <v>0</v>
      </c>
      <c r="F90" s="9"/>
    </row>
    <row r="91" spans="2:6" x14ac:dyDescent="0.5">
      <c r="B91" s="3" t="s">
        <v>47</v>
      </c>
      <c r="C91">
        <v>0</v>
      </c>
      <c r="D91" s="9">
        <v>0</v>
      </c>
      <c r="F91" s="9"/>
    </row>
    <row r="92" spans="2:6" ht="14.7" customHeight="1" thickBot="1" x14ac:dyDescent="0.55000000000000004">
      <c r="B92" s="16" t="s">
        <v>26</v>
      </c>
      <c r="C92" s="12">
        <v>5</v>
      </c>
      <c r="D92" s="13">
        <v>500</v>
      </c>
      <c r="F92" s="9"/>
    </row>
    <row r="93" spans="2:6" ht="14.7" customHeight="1" thickBot="1" x14ac:dyDescent="0.55000000000000004">
      <c r="B93" s="8"/>
      <c r="F93" s="9"/>
    </row>
    <row r="94" spans="2:6" ht="14.7" customHeight="1" thickBot="1" x14ac:dyDescent="0.55000000000000004">
      <c r="B94" s="29" t="s">
        <v>51</v>
      </c>
      <c r="C94" s="30"/>
      <c r="D94" s="31"/>
      <c r="F94" s="9"/>
    </row>
    <row r="95" spans="2:6" ht="14.7" customHeight="1" thickBot="1" x14ac:dyDescent="0.55000000000000004">
      <c r="B95" s="17" t="s">
        <v>23</v>
      </c>
      <c r="C95" s="18" t="s">
        <v>24</v>
      </c>
      <c r="D95" s="19" t="s">
        <v>25</v>
      </c>
      <c r="F95" s="9"/>
    </row>
    <row r="96" spans="2:6" ht="14.7" customHeight="1" thickBot="1" x14ac:dyDescent="0.55000000000000004">
      <c r="B96" s="24" t="s">
        <v>18</v>
      </c>
      <c r="C96" s="12">
        <v>282</v>
      </c>
      <c r="D96" s="13">
        <v>4957.5599999999986</v>
      </c>
      <c r="F96" s="9"/>
    </row>
    <row r="97" spans="2:6" ht="14.7" customHeight="1" thickBot="1" x14ac:dyDescent="0.55000000000000004">
      <c r="B97" s="8"/>
      <c r="F97" s="9"/>
    </row>
    <row r="98" spans="2:6" ht="14.7" customHeight="1" thickBot="1" x14ac:dyDescent="0.55000000000000004">
      <c r="B98" s="29" t="s">
        <v>52</v>
      </c>
      <c r="C98" s="30"/>
      <c r="D98" s="31"/>
      <c r="F98" s="9"/>
    </row>
    <row r="99" spans="2:6" ht="14.7" customHeight="1" thickBot="1" x14ac:dyDescent="0.55000000000000004">
      <c r="B99" s="17" t="s">
        <v>53</v>
      </c>
      <c r="C99" s="18" t="s">
        <v>54</v>
      </c>
      <c r="D99" s="19" t="s">
        <v>55</v>
      </c>
      <c r="F99" s="9"/>
    </row>
    <row r="100" spans="2:6" x14ac:dyDescent="0.5">
      <c r="B100" s="23" t="s">
        <v>56</v>
      </c>
      <c r="C100">
        <v>786574.93483615422</v>
      </c>
      <c r="D100" s="9">
        <f>C100*25</f>
        <v>19664373.370903857</v>
      </c>
      <c r="F100" s="9"/>
    </row>
    <row r="101" spans="2:6" x14ac:dyDescent="0.5">
      <c r="B101" s="3" t="s">
        <v>57</v>
      </c>
      <c r="C101">
        <v>1689303.9930192539</v>
      </c>
      <c r="D101" s="9">
        <f>C101*25</f>
        <v>42232599.825481348</v>
      </c>
      <c r="F101" s="9"/>
    </row>
    <row r="102" spans="2:6" ht="14.7" customHeight="1" thickBot="1" x14ac:dyDescent="0.55000000000000004">
      <c r="B102" s="16" t="s">
        <v>26</v>
      </c>
      <c r="C102" s="12">
        <f>C100+C101</f>
        <v>2475878.9278554083</v>
      </c>
      <c r="D102" s="13">
        <f>C102*25</f>
        <v>61896973.196385205</v>
      </c>
      <c r="F102" s="9"/>
    </row>
    <row r="103" spans="2:6" ht="14.7" customHeight="1" thickBot="1" x14ac:dyDescent="0.55000000000000004">
      <c r="B103" s="8"/>
      <c r="F103" s="9"/>
    </row>
    <row r="104" spans="2:6" ht="14.7" customHeight="1" thickBot="1" x14ac:dyDescent="0.55000000000000004">
      <c r="B104" s="29" t="s">
        <v>58</v>
      </c>
      <c r="C104" s="30"/>
      <c r="D104" s="31"/>
      <c r="F104" s="9"/>
    </row>
    <row r="105" spans="2:6" ht="14.7" customHeight="1" thickBot="1" x14ac:dyDescent="0.55000000000000004">
      <c r="B105" s="17" t="s">
        <v>53</v>
      </c>
      <c r="C105" s="18" t="s">
        <v>59</v>
      </c>
      <c r="D105" s="22" t="s">
        <v>60</v>
      </c>
      <c r="F105" s="9"/>
    </row>
    <row r="106" spans="2:6" x14ac:dyDescent="0.5">
      <c r="B106" s="23" t="s">
        <v>56</v>
      </c>
      <c r="C106">
        <f>2.6085*C100</f>
        <v>2051780.7175201082</v>
      </c>
      <c r="D106" s="9">
        <f>C106*25</f>
        <v>51294517.938002706</v>
      </c>
      <c r="F106" s="9"/>
    </row>
    <row r="107" spans="2:6" x14ac:dyDescent="0.5">
      <c r="B107" s="3" t="s">
        <v>57</v>
      </c>
      <c r="C107">
        <f>2.6085*C101</f>
        <v>4406549.4657907235</v>
      </c>
      <c r="D107" s="9">
        <f>C107*25</f>
        <v>110163736.64476809</v>
      </c>
      <c r="F107" s="9"/>
    </row>
    <row r="108" spans="2:6" ht="14.7" customHeight="1" thickBot="1" x14ac:dyDescent="0.55000000000000004">
      <c r="B108" s="16" t="s">
        <v>26</v>
      </c>
      <c r="C108" s="12">
        <f>2.6085*C102</f>
        <v>6458330.1833108319</v>
      </c>
      <c r="D108" s="13">
        <f>C108*25</f>
        <v>161458254.58277079</v>
      </c>
      <c r="E108" s="12"/>
      <c r="F108" s="13"/>
    </row>
  </sheetData>
  <mergeCells count="30">
    <mergeCell ref="H64:I64"/>
    <mergeCell ref="H50:J50"/>
    <mergeCell ref="H55:J55"/>
    <mergeCell ref="B86:D86"/>
    <mergeCell ref="B104:D104"/>
    <mergeCell ref="B73:F73"/>
    <mergeCell ref="B36:D36"/>
    <mergeCell ref="B94:D94"/>
    <mergeCell ref="B50:D50"/>
    <mergeCell ref="B68:C68"/>
    <mergeCell ref="B64:C64"/>
    <mergeCell ref="B47:C47"/>
    <mergeCell ref="B98:D98"/>
    <mergeCell ref="B72:F72"/>
    <mergeCell ref="H33:I33"/>
    <mergeCell ref="B5:L5"/>
    <mergeCell ref="B63:C63"/>
    <mergeCell ref="B43:D43"/>
    <mergeCell ref="H25:J25"/>
    <mergeCell ref="H6:L6"/>
    <mergeCell ref="H60:I60"/>
    <mergeCell ref="B60:C60"/>
    <mergeCell ref="B55:D55"/>
    <mergeCell ref="H47:I47"/>
    <mergeCell ref="B25:D25"/>
    <mergeCell ref="H43:J43"/>
    <mergeCell ref="B6:F6"/>
    <mergeCell ref="B33:C33"/>
    <mergeCell ref="H36:J36"/>
    <mergeCell ref="H63:I63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4"/>
  <dimension ref="B4:N108"/>
  <sheetViews>
    <sheetView tabSelected="1" topLeftCell="A15" zoomScale="70" zoomScaleNormal="70" workbookViewId="0">
      <selection activeCell="M29" sqref="M29"/>
    </sheetView>
  </sheetViews>
  <sheetFormatPr defaultColWidth="39.234375" defaultRowHeight="14.35" x14ac:dyDescent="0.5"/>
  <cols>
    <col min="1" max="1" width="13.52734375" customWidth="1"/>
    <col min="2" max="2" width="15.234375" bestFit="1" customWidth="1"/>
    <col min="3" max="3" width="17.64453125" bestFit="1" customWidth="1"/>
    <col min="4" max="4" width="18.64453125" bestFit="1" customWidth="1"/>
    <col min="5" max="5" width="13.5859375" bestFit="1" customWidth="1"/>
    <col min="6" max="6" width="14.5859375" bestFit="1" customWidth="1"/>
    <col min="7" max="7" width="12.46875" customWidth="1"/>
    <col min="8" max="8" width="15.234375" bestFit="1" customWidth="1"/>
    <col min="9" max="9" width="15.703125" bestFit="1" customWidth="1"/>
    <col min="10" max="10" width="18" bestFit="1" customWidth="1"/>
    <col min="11" max="11" width="12.46875" bestFit="1" customWidth="1"/>
    <col min="12" max="12" width="14.5859375" bestFit="1" customWidth="1"/>
    <col min="13" max="13" width="14.41015625" bestFit="1" customWidth="1"/>
    <col min="14" max="14" width="13.41015625" bestFit="1" customWidth="1"/>
    <col min="15" max="15" width="11.76171875" bestFit="1" customWidth="1"/>
  </cols>
  <sheetData>
    <row r="4" spans="2:14" ht="14.7" customHeight="1" thickBot="1" x14ac:dyDescent="0.55000000000000004"/>
    <row r="5" spans="2:14" ht="14.7" customHeight="1" thickBot="1" x14ac:dyDescent="0.55000000000000004">
      <c r="B5" s="29" t="s">
        <v>0</v>
      </c>
      <c r="C5" s="30"/>
      <c r="D5" s="30"/>
      <c r="E5" s="30"/>
      <c r="F5" s="30"/>
      <c r="G5" s="30"/>
      <c r="H5" s="30"/>
      <c r="I5" s="30"/>
      <c r="J5" s="30"/>
      <c r="K5" s="30"/>
      <c r="L5" s="31"/>
    </row>
    <row r="6" spans="2:14" ht="14.7" customHeight="1" thickBot="1" x14ac:dyDescent="0.55000000000000004">
      <c r="B6" s="29" t="s">
        <v>1</v>
      </c>
      <c r="C6" s="30"/>
      <c r="D6" s="30"/>
      <c r="E6" s="30"/>
      <c r="F6" s="31"/>
      <c r="H6" s="29" t="s">
        <v>2</v>
      </c>
      <c r="I6" s="30"/>
      <c r="J6" s="30"/>
      <c r="K6" s="30"/>
      <c r="L6" s="31"/>
    </row>
    <row r="7" spans="2:14" ht="14.7" customHeight="1" thickBot="1" x14ac:dyDescent="0.55000000000000004">
      <c r="B7" s="24" t="s">
        <v>3</v>
      </c>
      <c r="C7" s="18" t="s">
        <v>4</v>
      </c>
      <c r="D7" s="18" t="s">
        <v>5</v>
      </c>
      <c r="E7" s="18" t="s">
        <v>6</v>
      </c>
      <c r="F7" s="19" t="s">
        <v>7</v>
      </c>
      <c r="H7" s="24" t="s">
        <v>3</v>
      </c>
      <c r="I7" s="18" t="s">
        <v>4</v>
      </c>
      <c r="J7" s="18" t="s">
        <v>5</v>
      </c>
      <c r="K7" s="18" t="s">
        <v>6</v>
      </c>
      <c r="L7" s="19" t="s">
        <v>7</v>
      </c>
    </row>
    <row r="8" spans="2:14" x14ac:dyDescent="0.5">
      <c r="B8" s="3" t="s">
        <v>8</v>
      </c>
      <c r="C8" s="6">
        <f>13698 * D27*((0.05*((1.05)^25))/((1.05^25)-1))</f>
        <v>15064554.781315135</v>
      </c>
      <c r="D8" s="6">
        <f>29*D27</f>
        <v>449500</v>
      </c>
      <c r="E8" s="6">
        <f>C8+D8</f>
        <v>15514054.781315135</v>
      </c>
      <c r="F8" s="10">
        <f>E8*25</f>
        <v>387851369.5328784</v>
      </c>
      <c r="H8" s="3" t="s">
        <v>9</v>
      </c>
      <c r="I8" s="39">
        <f>1615 * J27*((0.05*((1.05)^25))/((1.05^25)-1))</f>
        <v>0</v>
      </c>
      <c r="J8" s="39">
        <f>29*J27</f>
        <v>0</v>
      </c>
      <c r="K8" s="39">
        <f>I8+J8</f>
        <v>0</v>
      </c>
      <c r="L8" s="10">
        <f>K8*25</f>
        <v>0</v>
      </c>
    </row>
    <row r="9" spans="2:14" x14ac:dyDescent="0.5">
      <c r="B9" s="3" t="s">
        <v>10</v>
      </c>
      <c r="C9" s="6">
        <f>13698 * D28*((0.05*((1.05)^25))/((1.05^25)-1))</f>
        <v>0</v>
      </c>
      <c r="D9" s="6">
        <f>29*D28</f>
        <v>0</v>
      </c>
      <c r="E9" s="6">
        <f>C9+D9</f>
        <v>0</v>
      </c>
      <c r="F9" s="10">
        <f>E9*25</f>
        <v>0</v>
      </c>
      <c r="H9" s="3" t="s">
        <v>10</v>
      </c>
      <c r="I9" s="39">
        <f>1615 * J28*((0.05*((1.05)^25))/((1.05^25)-1))</f>
        <v>1833411.4966120934</v>
      </c>
      <c r="J9" s="39">
        <f>29*J28</f>
        <v>464000</v>
      </c>
      <c r="K9" s="39">
        <f>I9+J9</f>
        <v>2297411.4966120934</v>
      </c>
      <c r="L9" s="10">
        <f>K9*25</f>
        <v>57435287.415302336</v>
      </c>
      <c r="M9" s="7"/>
      <c r="N9" s="6"/>
    </row>
    <row r="10" spans="2:14" x14ac:dyDescent="0.5">
      <c r="B10" s="3" t="s">
        <v>11</v>
      </c>
      <c r="C10" s="6">
        <f>13698 * D29*((0.05*((1.05)^25))/((1.05^25)-1))</f>
        <v>0</v>
      </c>
      <c r="D10" s="6">
        <f>29*D29</f>
        <v>0</v>
      </c>
      <c r="E10" s="6">
        <f>C10+D10</f>
        <v>0</v>
      </c>
      <c r="F10" s="10">
        <f>E10*25</f>
        <v>0</v>
      </c>
      <c r="H10" s="3" t="s">
        <v>11</v>
      </c>
      <c r="I10" s="39">
        <f>1615 * J29*((0.05*((1.05)^25))/((1.05^25)-1))</f>
        <v>0</v>
      </c>
      <c r="J10" s="39">
        <f>29*J29</f>
        <v>0</v>
      </c>
      <c r="K10" s="39">
        <f>I10+J10</f>
        <v>0</v>
      </c>
      <c r="L10" s="10">
        <f>K10*25</f>
        <v>0</v>
      </c>
      <c r="M10" s="7"/>
    </row>
    <row r="11" spans="2:14" ht="14.7" customHeight="1" thickBot="1" x14ac:dyDescent="0.55000000000000004">
      <c r="B11" s="16" t="s">
        <v>12</v>
      </c>
      <c r="C11" s="14">
        <f>13698 * D30*((0.05*((1.05)^25))/((1.05^25)-1))</f>
        <v>0</v>
      </c>
      <c r="D11" s="14">
        <f>29*D30</f>
        <v>0</v>
      </c>
      <c r="E11" s="14">
        <f>C11+D11</f>
        <v>0</v>
      </c>
      <c r="F11" s="15">
        <f>E11*25</f>
        <v>0</v>
      </c>
      <c r="H11" s="16" t="s">
        <v>12</v>
      </c>
      <c r="I11" s="14">
        <f>1615 * J30*((0.05*((1.05)^25))/((1.05^25)-1))</f>
        <v>0</v>
      </c>
      <c r="J11" s="14">
        <f>29*J30</f>
        <v>0</v>
      </c>
      <c r="K11" s="14">
        <f>I11+J11</f>
        <v>0</v>
      </c>
      <c r="L11" s="13">
        <f>K11*25</f>
        <v>0</v>
      </c>
    </row>
    <row r="12" spans="2:14" ht="14.7" customHeight="1" thickBot="1" x14ac:dyDescent="0.55000000000000004">
      <c r="B12" s="24" t="s">
        <v>13</v>
      </c>
      <c r="C12" s="18" t="s">
        <v>4</v>
      </c>
      <c r="D12" s="18" t="s">
        <v>5</v>
      </c>
      <c r="E12" s="18" t="s">
        <v>6</v>
      </c>
      <c r="F12" s="19" t="s">
        <v>7</v>
      </c>
      <c r="H12" s="24" t="s">
        <v>13</v>
      </c>
      <c r="I12" s="18" t="s">
        <v>4</v>
      </c>
      <c r="J12" s="18" t="s">
        <v>5</v>
      </c>
      <c r="K12" s="18" t="s">
        <v>6</v>
      </c>
      <c r="L12" s="19" t="s">
        <v>7</v>
      </c>
    </row>
    <row r="13" spans="2:14" x14ac:dyDescent="0.5">
      <c r="B13" s="3" t="s">
        <v>14</v>
      </c>
      <c r="C13" s="4">
        <f>2490 * D38*((0.05*((1.05)^10))/((1.05^10)-1))</f>
        <v>0</v>
      </c>
      <c r="D13" s="1">
        <f>37.35*D38</f>
        <v>0</v>
      </c>
      <c r="E13">
        <f>C13+D13</f>
        <v>0</v>
      </c>
      <c r="F13" s="9">
        <f>E13*25</f>
        <v>0</v>
      </c>
      <c r="H13" s="3" t="s">
        <v>14</v>
      </c>
      <c r="I13" s="4">
        <f>2490 * J38*((0.05*((1.05)^10))/((1.05^10)-1))</f>
        <v>0</v>
      </c>
      <c r="J13" s="1">
        <f>37.35*J38</f>
        <v>0</v>
      </c>
      <c r="K13" s="39">
        <f>I13+J13</f>
        <v>0</v>
      </c>
      <c r="L13" s="10">
        <f>K13*25</f>
        <v>0</v>
      </c>
    </row>
    <row r="14" spans="2:14" x14ac:dyDescent="0.5">
      <c r="B14" s="3" t="s">
        <v>15</v>
      </c>
      <c r="C14" s="4">
        <f>1570 * D39*((0.05*((1.05)^10))/((1.05^10)-1))</f>
        <v>4066443.6539153405</v>
      </c>
      <c r="D14" s="1">
        <f>23.55*D39</f>
        <v>471000</v>
      </c>
      <c r="E14">
        <f>C14+D14</f>
        <v>4537443.6539153401</v>
      </c>
      <c r="F14" s="9">
        <f>E14*25</f>
        <v>113436091.34788351</v>
      </c>
      <c r="H14" s="3" t="s">
        <v>15</v>
      </c>
      <c r="I14" s="4">
        <f>1570 * J39*((0.05*((1.05)^10))/((1.05^10)-1))</f>
        <v>4066443.6539153405</v>
      </c>
      <c r="J14" s="1">
        <f>23.55*J39</f>
        <v>471000</v>
      </c>
      <c r="K14" s="38">
        <f>I14+J14</f>
        <v>4537443.6539153401</v>
      </c>
      <c r="L14" s="10">
        <f>K14*25</f>
        <v>113436091.34788351</v>
      </c>
    </row>
    <row r="15" spans="2:14" ht="14.7" customHeight="1" thickBot="1" x14ac:dyDescent="0.55000000000000004">
      <c r="B15" s="16" t="s">
        <v>16</v>
      </c>
      <c r="C15" s="5">
        <f>1190 * D40*((0.05*((1.05)^10))/((1.05^10)-1))</f>
        <v>0</v>
      </c>
      <c r="D15" s="2">
        <f>17.85*D40</f>
        <v>0</v>
      </c>
      <c r="E15" s="12">
        <f>C15+D15</f>
        <v>0</v>
      </c>
      <c r="F15" s="13">
        <f>E15*25</f>
        <v>0</v>
      </c>
      <c r="H15" s="16" t="s">
        <v>16</v>
      </c>
      <c r="I15" s="5">
        <f>1190 * J40*((0.05*((1.05)^10))/((1.05^10)-1))</f>
        <v>0</v>
      </c>
      <c r="J15" s="2">
        <f>17.85*J40</f>
        <v>0</v>
      </c>
      <c r="K15" s="12">
        <f>I15+J15</f>
        <v>0</v>
      </c>
      <c r="L15" s="15">
        <f>K15*25</f>
        <v>0</v>
      </c>
    </row>
    <row r="16" spans="2:14" ht="14.7" customHeight="1" thickBot="1" x14ac:dyDescent="0.55000000000000004">
      <c r="B16" s="24" t="s">
        <v>17</v>
      </c>
      <c r="C16" s="18" t="s">
        <v>4</v>
      </c>
      <c r="D16" s="18" t="s">
        <v>5</v>
      </c>
      <c r="E16" s="18" t="s">
        <v>6</v>
      </c>
      <c r="F16" s="19" t="s">
        <v>7</v>
      </c>
      <c r="H16" s="24" t="s">
        <v>17</v>
      </c>
      <c r="I16" s="18" t="s">
        <v>4</v>
      </c>
      <c r="J16" s="18" t="s">
        <v>5</v>
      </c>
      <c r="K16" s="18" t="s">
        <v>6</v>
      </c>
      <c r="L16" s="19" t="s">
        <v>7</v>
      </c>
    </row>
    <row r="17" spans="2:14" ht="14.7" customHeight="1" thickBot="1" x14ac:dyDescent="0.55000000000000004">
      <c r="B17" s="16" t="s">
        <v>18</v>
      </c>
      <c r="C17" s="12">
        <v>152351.7857437341</v>
      </c>
      <c r="D17" s="12">
        <v>189864</v>
      </c>
      <c r="E17" s="12">
        <f>D17+C17</f>
        <v>342215.7857437341</v>
      </c>
      <c r="F17" s="13">
        <f>E17*25</f>
        <v>8555394.6435933523</v>
      </c>
      <c r="H17" s="16" t="s">
        <v>18</v>
      </c>
      <c r="I17" s="12">
        <v>152351.7857437341</v>
      </c>
      <c r="J17" s="12">
        <v>189864</v>
      </c>
      <c r="K17" s="12">
        <f>J17+I17</f>
        <v>342215.7857437341</v>
      </c>
      <c r="L17" s="15">
        <f>K17*25</f>
        <v>8555394.6435933523</v>
      </c>
    </row>
    <row r="18" spans="2:14" ht="14.7" customHeight="1" thickBot="1" x14ac:dyDescent="0.55000000000000004">
      <c r="B18" s="24" t="s">
        <v>19</v>
      </c>
      <c r="C18" s="18" t="s">
        <v>4</v>
      </c>
      <c r="D18" s="18" t="s">
        <v>5</v>
      </c>
      <c r="E18" s="18" t="s">
        <v>6</v>
      </c>
      <c r="F18" s="19" t="s">
        <v>7</v>
      </c>
      <c r="H18" s="24" t="s">
        <v>20</v>
      </c>
      <c r="I18" s="18" t="s">
        <v>4</v>
      </c>
      <c r="J18" s="18" t="s">
        <v>5</v>
      </c>
      <c r="K18" s="18" t="s">
        <v>6</v>
      </c>
      <c r="L18" s="19" t="s">
        <v>7</v>
      </c>
    </row>
    <row r="19" spans="2:14" ht="14.7" customHeight="1" thickBot="1" x14ac:dyDescent="0.55000000000000004">
      <c r="B19" s="11"/>
      <c r="C19" s="12">
        <f>C48*300*((0.05*((1.05)^20))/((1.05^20)-1))</f>
        <v>1006723.4988944132</v>
      </c>
      <c r="D19" s="12">
        <v>0</v>
      </c>
      <c r="E19" s="12">
        <f>D19+C19</f>
        <v>1006723.4988944132</v>
      </c>
      <c r="F19" s="13">
        <f>E19*25</f>
        <v>25168087.472360332</v>
      </c>
      <c r="H19" s="11"/>
      <c r="I19" s="14">
        <f>(I48/10)*3000*((0.05*((1.05)^20))/((1.05^20)-1))</f>
        <v>678611.55987167649</v>
      </c>
      <c r="J19" s="12">
        <v>0</v>
      </c>
      <c r="K19" s="12">
        <f>J19+I19</f>
        <v>678611.55987167649</v>
      </c>
      <c r="L19" s="15">
        <f>K19*25</f>
        <v>16965288.996791914</v>
      </c>
    </row>
    <row r="20" spans="2:14" ht="14.7" customHeight="1" thickBot="1" x14ac:dyDescent="0.55000000000000004">
      <c r="B20" s="24" t="s">
        <v>21</v>
      </c>
      <c r="C20" s="18" t="s">
        <v>4</v>
      </c>
      <c r="D20" s="18" t="s">
        <v>5</v>
      </c>
      <c r="E20" s="18" t="s">
        <v>6</v>
      </c>
      <c r="F20" s="19" t="s">
        <v>7</v>
      </c>
      <c r="H20" s="24" t="s">
        <v>21</v>
      </c>
      <c r="I20" s="18" t="s">
        <v>4</v>
      </c>
      <c r="J20" s="18" t="s">
        <v>5</v>
      </c>
      <c r="K20" s="18" t="s">
        <v>6</v>
      </c>
      <c r="L20" s="19" t="s">
        <v>7</v>
      </c>
    </row>
    <row r="21" spans="2:14" ht="14.7" customHeight="1" thickBot="1" x14ac:dyDescent="0.55000000000000004">
      <c r="B21" s="11"/>
      <c r="C21" s="12">
        <v>0</v>
      </c>
      <c r="D21" s="12">
        <v>0</v>
      </c>
      <c r="E21" s="12">
        <f>C21+D21</f>
        <v>0</v>
      </c>
      <c r="F21" s="13">
        <f>E21*25</f>
        <v>0</v>
      </c>
      <c r="H21" s="11"/>
      <c r="I21" s="12">
        <v>271.70140022768072</v>
      </c>
      <c r="J21" s="12">
        <v>38</v>
      </c>
      <c r="K21" s="12">
        <f>J21+I21</f>
        <v>309.70140022768072</v>
      </c>
      <c r="L21" s="13">
        <f>K21*25</f>
        <v>7742.5350056920179</v>
      </c>
    </row>
    <row r="22" spans="2:14" ht="14.7" customHeight="1" thickBot="1" x14ac:dyDescent="0.55000000000000004">
      <c r="B22" s="17"/>
      <c r="C22" s="18" t="s">
        <v>4</v>
      </c>
      <c r="D22" s="18" t="s">
        <v>5</v>
      </c>
      <c r="E22" s="18" t="s">
        <v>6</v>
      </c>
      <c r="F22" s="19" t="s">
        <v>7</v>
      </c>
      <c r="H22" s="17"/>
      <c r="I22" s="18" t="s">
        <v>4</v>
      </c>
      <c r="J22" s="18" t="s">
        <v>5</v>
      </c>
      <c r="K22" s="18" t="s">
        <v>6</v>
      </c>
      <c r="L22" s="19" t="s">
        <v>7</v>
      </c>
    </row>
    <row r="23" spans="2:14" ht="14.7" customHeight="1" thickBot="1" x14ac:dyDescent="0.55000000000000004">
      <c r="B23" s="24" t="s">
        <v>22</v>
      </c>
      <c r="C23" s="12">
        <v>20290314.447630189</v>
      </c>
      <c r="D23" s="12">
        <v>1110364</v>
      </c>
      <c r="E23" s="25">
        <v>21400678.447630189</v>
      </c>
      <c r="F23" s="13">
        <f>D23*25</f>
        <v>27759100</v>
      </c>
      <c r="H23" s="24" t="s">
        <v>22</v>
      </c>
      <c r="I23" s="14">
        <v>6731090.1975430688</v>
      </c>
      <c r="J23" s="14">
        <v>1124902</v>
      </c>
      <c r="K23" s="14">
        <v>4062917.2247025901</v>
      </c>
      <c r="L23" s="15">
        <f>K23*25</f>
        <v>101572930.61756475</v>
      </c>
      <c r="M23" s="6"/>
    </row>
    <row r="24" spans="2:14" ht="14.7" customHeight="1" thickBot="1" x14ac:dyDescent="0.55000000000000004">
      <c r="B24" s="8"/>
      <c r="F24" s="9"/>
      <c r="H24" s="8"/>
      <c r="I24" s="39"/>
      <c r="J24" s="39"/>
      <c r="K24" s="39"/>
      <c r="L24" s="10"/>
      <c r="M24" s="6"/>
      <c r="N24" s="7"/>
    </row>
    <row r="25" spans="2:14" ht="14.7" customHeight="1" thickBot="1" x14ac:dyDescent="0.55000000000000004">
      <c r="B25" s="29" t="s">
        <v>3</v>
      </c>
      <c r="C25" s="30"/>
      <c r="D25" s="31"/>
      <c r="F25" s="9"/>
      <c r="H25" s="29" t="s">
        <v>3</v>
      </c>
      <c r="I25" s="30"/>
      <c r="J25" s="31"/>
      <c r="K25" s="38"/>
      <c r="L25" s="10"/>
      <c r="M25" s="6"/>
    </row>
    <row r="26" spans="2:14" ht="14.7" customHeight="1" thickBot="1" x14ac:dyDescent="0.55000000000000004">
      <c r="B26" s="17" t="s">
        <v>23</v>
      </c>
      <c r="C26" s="18" t="s">
        <v>24</v>
      </c>
      <c r="D26" s="19" t="s">
        <v>25</v>
      </c>
      <c r="F26" s="9"/>
      <c r="H26" s="17" t="s">
        <v>23</v>
      </c>
      <c r="I26" s="18" t="s">
        <v>24</v>
      </c>
      <c r="J26" s="19" t="s">
        <v>25</v>
      </c>
      <c r="K26" s="38"/>
      <c r="L26" s="10"/>
      <c r="M26" s="6"/>
    </row>
    <row r="27" spans="2:14" x14ac:dyDescent="0.5">
      <c r="B27" s="23" t="s">
        <v>9</v>
      </c>
      <c r="C27">
        <v>155</v>
      </c>
      <c r="D27" s="9">
        <v>15500</v>
      </c>
      <c r="F27" s="9"/>
      <c r="H27" s="8" t="s">
        <v>9</v>
      </c>
      <c r="I27" s="38">
        <v>0</v>
      </c>
      <c r="J27" s="9">
        <v>0</v>
      </c>
      <c r="K27" s="38"/>
      <c r="L27" s="9"/>
    </row>
    <row r="28" spans="2:14" x14ac:dyDescent="0.5">
      <c r="B28" s="3" t="s">
        <v>10</v>
      </c>
      <c r="C28">
        <v>0</v>
      </c>
      <c r="D28" s="9">
        <v>0</v>
      </c>
      <c r="F28" s="9"/>
      <c r="H28" s="8" t="s">
        <v>10</v>
      </c>
      <c r="I28" s="38">
        <v>32</v>
      </c>
      <c r="J28" s="9">
        <v>16000</v>
      </c>
      <c r="K28" s="38"/>
      <c r="L28" s="9"/>
    </row>
    <row r="29" spans="2:14" x14ac:dyDescent="0.5">
      <c r="B29" s="3" t="s">
        <v>11</v>
      </c>
      <c r="C29">
        <v>0</v>
      </c>
      <c r="D29" s="9">
        <v>0</v>
      </c>
      <c r="F29" s="9"/>
      <c r="H29" s="8" t="s">
        <v>11</v>
      </c>
      <c r="I29" s="38">
        <v>0</v>
      </c>
      <c r="J29" s="9">
        <v>0</v>
      </c>
      <c r="K29" s="38"/>
      <c r="L29" s="9"/>
    </row>
    <row r="30" spans="2:14" x14ac:dyDescent="0.5">
      <c r="B30" s="3" t="s">
        <v>12</v>
      </c>
      <c r="C30">
        <v>0</v>
      </c>
      <c r="D30" s="9">
        <v>0</v>
      </c>
      <c r="F30" s="9"/>
      <c r="H30" s="8" t="s">
        <v>12</v>
      </c>
      <c r="I30" s="38">
        <v>0</v>
      </c>
      <c r="J30" s="9">
        <v>0</v>
      </c>
      <c r="K30" s="38"/>
      <c r="L30" s="9"/>
    </row>
    <row r="31" spans="2:14" ht="14.7" customHeight="1" thickBot="1" x14ac:dyDescent="0.55000000000000004">
      <c r="B31" s="16" t="s">
        <v>26</v>
      </c>
      <c r="C31" s="12">
        <v>155</v>
      </c>
      <c r="D31" s="13">
        <v>15500</v>
      </c>
      <c r="F31" s="9"/>
      <c r="H31" s="11" t="s">
        <v>26</v>
      </c>
      <c r="I31" s="12">
        <v>32</v>
      </c>
      <c r="J31" s="13">
        <v>16000</v>
      </c>
      <c r="K31" s="38"/>
      <c r="L31" s="9"/>
    </row>
    <row r="32" spans="2:14" ht="14.7" customHeight="1" thickBot="1" x14ac:dyDescent="0.55000000000000004">
      <c r="B32" s="8"/>
      <c r="F32" s="9"/>
      <c r="H32" s="8"/>
      <c r="I32" s="38"/>
      <c r="J32" s="38"/>
      <c r="K32" s="38"/>
      <c r="L32" s="9"/>
    </row>
    <row r="33" spans="2:12" ht="14.7" customHeight="1" thickBot="1" x14ac:dyDescent="0.55000000000000004">
      <c r="B33" s="29" t="s">
        <v>21</v>
      </c>
      <c r="C33" s="31"/>
      <c r="F33" s="9"/>
      <c r="H33" s="29" t="s">
        <v>21</v>
      </c>
      <c r="I33" s="31"/>
      <c r="J33" s="38"/>
      <c r="K33" s="38"/>
      <c r="L33" s="9"/>
    </row>
    <row r="34" spans="2:12" ht="14.7" customHeight="1" thickBot="1" x14ac:dyDescent="0.55000000000000004">
      <c r="B34" s="24" t="s">
        <v>25</v>
      </c>
      <c r="C34" s="13">
        <v>0</v>
      </c>
      <c r="F34" s="9"/>
      <c r="H34" s="24" t="s">
        <v>25</v>
      </c>
      <c r="I34" s="13">
        <v>2</v>
      </c>
      <c r="J34" s="38"/>
      <c r="K34" s="38"/>
      <c r="L34" s="9"/>
    </row>
    <row r="35" spans="2:12" ht="14.7" customHeight="1" thickBot="1" x14ac:dyDescent="0.55000000000000004">
      <c r="B35" s="8"/>
      <c r="F35" s="9"/>
      <c r="H35" s="8"/>
      <c r="I35" s="38"/>
      <c r="J35" s="38"/>
      <c r="K35" s="38"/>
      <c r="L35" s="9"/>
    </row>
    <row r="36" spans="2:12" ht="14.7" customHeight="1" thickBot="1" x14ac:dyDescent="0.55000000000000004">
      <c r="B36" s="29" t="s">
        <v>13</v>
      </c>
      <c r="C36" s="30"/>
      <c r="D36" s="31"/>
      <c r="F36" s="9"/>
      <c r="H36" s="29" t="s">
        <v>13</v>
      </c>
      <c r="I36" s="30"/>
      <c r="J36" s="31"/>
      <c r="K36" s="38"/>
      <c r="L36" s="9"/>
    </row>
    <row r="37" spans="2:12" ht="14.7" customHeight="1" thickBot="1" x14ac:dyDescent="0.55000000000000004">
      <c r="B37" s="24" t="s">
        <v>23</v>
      </c>
      <c r="C37" s="18" t="s">
        <v>24</v>
      </c>
      <c r="D37" s="19" t="s">
        <v>25</v>
      </c>
      <c r="F37" s="9"/>
      <c r="H37" s="17" t="s">
        <v>23</v>
      </c>
      <c r="I37" s="18" t="s">
        <v>24</v>
      </c>
      <c r="J37" s="19" t="s">
        <v>25</v>
      </c>
      <c r="K37" s="38"/>
      <c r="L37" s="9"/>
    </row>
    <row r="38" spans="2:12" x14ac:dyDescent="0.5">
      <c r="B38" s="23" t="s">
        <v>14</v>
      </c>
      <c r="C38">
        <v>0</v>
      </c>
      <c r="D38" s="9">
        <v>0</v>
      </c>
      <c r="F38" s="9"/>
      <c r="H38" s="23" t="s">
        <v>14</v>
      </c>
      <c r="I38" s="38">
        <v>0</v>
      </c>
      <c r="J38" s="9">
        <v>0</v>
      </c>
      <c r="K38" s="38"/>
      <c r="L38" s="9"/>
    </row>
    <row r="39" spans="2:12" x14ac:dyDescent="0.5">
      <c r="B39" s="3" t="s">
        <v>15</v>
      </c>
      <c r="C39">
        <v>1</v>
      </c>
      <c r="D39" s="9">
        <v>20000</v>
      </c>
      <c r="F39" s="9"/>
      <c r="H39" s="3" t="s">
        <v>15</v>
      </c>
      <c r="I39" s="38">
        <v>1</v>
      </c>
      <c r="J39" s="9">
        <v>20000</v>
      </c>
      <c r="K39" s="38"/>
      <c r="L39" s="9"/>
    </row>
    <row r="40" spans="2:12" x14ac:dyDescent="0.5">
      <c r="B40" s="3" t="s">
        <v>16</v>
      </c>
      <c r="C40">
        <v>0</v>
      </c>
      <c r="D40" s="9">
        <v>0</v>
      </c>
      <c r="F40" s="9"/>
      <c r="H40" s="3" t="s">
        <v>16</v>
      </c>
      <c r="I40" s="38">
        <v>0</v>
      </c>
      <c r="J40" s="9">
        <v>0</v>
      </c>
      <c r="K40" s="38"/>
      <c r="L40" s="9"/>
    </row>
    <row r="41" spans="2:12" ht="14.7" customHeight="1" thickBot="1" x14ac:dyDescent="0.55000000000000004">
      <c r="B41" s="16" t="s">
        <v>26</v>
      </c>
      <c r="C41" s="12">
        <v>1</v>
      </c>
      <c r="D41" s="13">
        <v>20000</v>
      </c>
      <c r="F41" s="9"/>
      <c r="H41" s="16" t="s">
        <v>26</v>
      </c>
      <c r="I41" s="12">
        <v>1</v>
      </c>
      <c r="J41" s="13">
        <v>20000</v>
      </c>
      <c r="K41" s="38"/>
      <c r="L41" s="9"/>
    </row>
    <row r="42" spans="2:12" ht="14.7" customHeight="1" thickBot="1" x14ac:dyDescent="0.55000000000000004">
      <c r="B42" s="8"/>
      <c r="F42" s="9"/>
      <c r="H42" s="8"/>
      <c r="I42" s="38"/>
      <c r="J42" s="38"/>
      <c r="K42" s="38"/>
      <c r="L42" s="9"/>
    </row>
    <row r="43" spans="2:12" ht="14.7" customHeight="1" thickBot="1" x14ac:dyDescent="0.55000000000000004">
      <c r="B43" s="29" t="s">
        <v>27</v>
      </c>
      <c r="C43" s="30"/>
      <c r="D43" s="31"/>
      <c r="F43" s="9"/>
      <c r="H43" s="29" t="s">
        <v>27</v>
      </c>
      <c r="I43" s="30"/>
      <c r="J43" s="31"/>
      <c r="K43" s="38"/>
      <c r="L43" s="9"/>
    </row>
    <row r="44" spans="2:12" ht="14.7" customHeight="1" thickBot="1" x14ac:dyDescent="0.55000000000000004">
      <c r="B44" s="24" t="s">
        <v>23</v>
      </c>
      <c r="C44" s="18" t="s">
        <v>24</v>
      </c>
      <c r="D44" s="19" t="s">
        <v>25</v>
      </c>
      <c r="F44" s="9"/>
      <c r="H44" s="17" t="s">
        <v>23</v>
      </c>
      <c r="I44" s="18" t="s">
        <v>24</v>
      </c>
      <c r="J44" s="19" t="s">
        <v>25</v>
      </c>
      <c r="K44" s="38"/>
      <c r="L44" s="9"/>
    </row>
    <row r="45" spans="2:12" ht="14.7" customHeight="1" thickBot="1" x14ac:dyDescent="0.55000000000000004">
      <c r="B45" s="24" t="s">
        <v>18</v>
      </c>
      <c r="C45" s="12">
        <v>675</v>
      </c>
      <c r="D45" s="13">
        <v>11866.5</v>
      </c>
      <c r="F45" s="9"/>
      <c r="H45" s="24" t="s">
        <v>18</v>
      </c>
      <c r="I45" s="12">
        <v>675</v>
      </c>
      <c r="J45" s="13">
        <v>11866.5</v>
      </c>
      <c r="K45" s="38"/>
      <c r="L45" s="9"/>
    </row>
    <row r="46" spans="2:12" ht="14.7" customHeight="1" thickBot="1" x14ac:dyDescent="0.55000000000000004">
      <c r="B46" s="8"/>
      <c r="F46" s="9"/>
      <c r="H46" s="8"/>
      <c r="I46" s="38"/>
      <c r="J46" s="38"/>
      <c r="K46" s="38"/>
      <c r="L46" s="9"/>
    </row>
    <row r="47" spans="2:12" ht="14.7" customHeight="1" thickBot="1" x14ac:dyDescent="0.55000000000000004">
      <c r="B47" s="29" t="s">
        <v>28</v>
      </c>
      <c r="C47" s="31"/>
      <c r="F47" s="9"/>
      <c r="H47" s="29" t="s">
        <v>28</v>
      </c>
      <c r="I47" s="31"/>
      <c r="J47" s="38"/>
      <c r="K47" s="38"/>
      <c r="L47" s="9"/>
    </row>
    <row r="48" spans="2:12" ht="14.7" customHeight="1" thickBot="1" x14ac:dyDescent="0.55000000000000004">
      <c r="B48" s="11" t="s">
        <v>29</v>
      </c>
      <c r="C48" s="13">
        <v>41820</v>
      </c>
      <c r="F48" s="9"/>
      <c r="H48" s="24" t="s">
        <v>29</v>
      </c>
      <c r="I48" s="13">
        <v>28190</v>
      </c>
      <c r="J48" s="38"/>
      <c r="K48" s="38"/>
      <c r="L48" s="9"/>
    </row>
    <row r="49" spans="2:12" ht="14.7" customHeight="1" thickBot="1" x14ac:dyDescent="0.55000000000000004">
      <c r="B49" s="8"/>
      <c r="F49" s="9"/>
      <c r="H49" s="8"/>
      <c r="I49" s="38"/>
      <c r="J49" s="38"/>
      <c r="K49" s="38"/>
      <c r="L49" s="9"/>
    </row>
    <row r="50" spans="2:12" ht="14.7" customHeight="1" thickBot="1" x14ac:dyDescent="0.55000000000000004">
      <c r="B50" s="29" t="s">
        <v>30</v>
      </c>
      <c r="C50" s="30"/>
      <c r="D50" s="31"/>
      <c r="F50" s="9"/>
      <c r="H50" s="35" t="s">
        <v>30</v>
      </c>
      <c r="I50" s="36"/>
      <c r="J50" s="37"/>
      <c r="K50" s="38"/>
      <c r="L50" s="9"/>
    </row>
    <row r="51" spans="2:12" ht="14.7" customHeight="1" thickBot="1" x14ac:dyDescent="0.55000000000000004">
      <c r="B51" s="11" t="s">
        <v>31</v>
      </c>
      <c r="C51" s="12" t="s">
        <v>32</v>
      </c>
      <c r="D51" s="13" t="s">
        <v>33</v>
      </c>
      <c r="F51" s="9"/>
      <c r="H51" s="24" t="s">
        <v>31</v>
      </c>
      <c r="I51" s="18" t="s">
        <v>61</v>
      </c>
      <c r="J51" s="21" t="s">
        <v>33</v>
      </c>
      <c r="K51" s="38"/>
      <c r="L51" s="9"/>
    </row>
    <row r="52" spans="2:12" ht="14.7" customHeight="1" x14ac:dyDescent="0.5">
      <c r="B52" s="23" t="s">
        <v>34</v>
      </c>
      <c r="C52" s="26">
        <v>22892018.8033127</v>
      </c>
      <c r="D52" s="27">
        <f>C52*25</f>
        <v>572300470.08281755</v>
      </c>
      <c r="F52" s="9"/>
      <c r="H52" s="3" t="s">
        <v>34</v>
      </c>
      <c r="I52" s="40">
        <v>25171324.021485001</v>
      </c>
      <c r="J52" s="27">
        <f>I52*25</f>
        <v>629283100.53712499</v>
      </c>
      <c r="K52" s="38"/>
      <c r="L52" s="9"/>
    </row>
    <row r="53" spans="2:12" ht="14.7" customHeight="1" thickBot="1" x14ac:dyDescent="0.55000000000000004">
      <c r="B53" s="16" t="s">
        <v>35</v>
      </c>
      <c r="C53" s="25">
        <v>1418203.387210814</v>
      </c>
      <c r="D53" s="28">
        <f>C53*25</f>
        <v>35455084.680270351</v>
      </c>
      <c r="F53" s="9"/>
      <c r="H53" s="16" t="s">
        <v>35</v>
      </c>
      <c r="I53" s="25">
        <v>1699086.0088893019</v>
      </c>
      <c r="J53" s="28">
        <f>I53*25</f>
        <v>42477150.22223255</v>
      </c>
      <c r="K53" s="38"/>
      <c r="L53" s="9"/>
    </row>
    <row r="54" spans="2:12" ht="14.7" customHeight="1" thickBot="1" x14ac:dyDescent="0.55000000000000004">
      <c r="B54" s="8"/>
      <c r="F54" s="9"/>
      <c r="H54" s="8"/>
      <c r="I54" s="39"/>
      <c r="J54" s="10"/>
      <c r="K54" s="38"/>
      <c r="L54" s="9"/>
    </row>
    <row r="55" spans="2:12" ht="14.7" customHeight="1" thickBot="1" x14ac:dyDescent="0.55000000000000004">
      <c r="B55" s="29" t="s">
        <v>36</v>
      </c>
      <c r="C55" s="30"/>
      <c r="D55" s="31"/>
      <c r="F55" s="9"/>
      <c r="H55" s="35" t="s">
        <v>36</v>
      </c>
      <c r="I55" s="36"/>
      <c r="J55" s="37"/>
      <c r="K55" s="38"/>
      <c r="L55" s="9"/>
    </row>
    <row r="56" spans="2:12" ht="14.7" customHeight="1" thickBot="1" x14ac:dyDescent="0.55000000000000004">
      <c r="B56" s="11" t="s">
        <v>31</v>
      </c>
      <c r="C56" s="12" t="s">
        <v>32</v>
      </c>
      <c r="D56" s="13" t="s">
        <v>33</v>
      </c>
      <c r="F56" s="9"/>
      <c r="H56" s="24" t="s">
        <v>31</v>
      </c>
      <c r="I56" s="20">
        <v>6836655.9070699904</v>
      </c>
      <c r="J56" s="21" t="s">
        <v>33</v>
      </c>
      <c r="K56" s="38"/>
      <c r="L56" s="9"/>
    </row>
    <row r="57" spans="2:12" ht="14.7" customHeight="1" thickBot="1" x14ac:dyDescent="0.55000000000000004">
      <c r="B57" s="23" t="s">
        <v>34</v>
      </c>
      <c r="C57">
        <v>6217585.3539861897</v>
      </c>
      <c r="D57" s="9">
        <f>C57*25</f>
        <v>155439633.84965473</v>
      </c>
      <c r="F57" s="9"/>
      <c r="H57" s="16" t="s">
        <v>34</v>
      </c>
      <c r="I57" s="14">
        <v>646242.80172587105</v>
      </c>
      <c r="J57" s="15">
        <f>I57*25</f>
        <v>16156070.043146776</v>
      </c>
      <c r="K57" s="38"/>
      <c r="L57" s="9"/>
    </row>
    <row r="58" spans="2:12" ht="14.7" customHeight="1" thickBot="1" x14ac:dyDescent="0.55000000000000004">
      <c r="B58" s="16" t="s">
        <v>35</v>
      </c>
      <c r="C58" s="12">
        <v>659398.26292463101</v>
      </c>
      <c r="D58" s="13">
        <f>C58*25</f>
        <v>16484956.573115775</v>
      </c>
      <c r="F58" s="9"/>
      <c r="H58" s="8" t="s">
        <v>35</v>
      </c>
      <c r="I58" s="12">
        <v>1699086.0088893019</v>
      </c>
      <c r="J58" s="38">
        <f>I58*25</f>
        <v>42477150.22223255</v>
      </c>
      <c r="K58" s="38"/>
      <c r="L58" s="9"/>
    </row>
    <row r="59" spans="2:12" ht="14.7" customHeight="1" thickBot="1" x14ac:dyDescent="0.55000000000000004">
      <c r="B59" s="8"/>
      <c r="F59" s="9"/>
      <c r="H59" s="8"/>
      <c r="I59" s="38"/>
      <c r="J59" s="38"/>
      <c r="K59" s="38"/>
      <c r="L59" s="9"/>
    </row>
    <row r="60" spans="2:12" ht="14.7" customHeight="1" thickBot="1" x14ac:dyDescent="0.55000000000000004">
      <c r="B60" s="29" t="s">
        <v>37</v>
      </c>
      <c r="C60" s="31"/>
      <c r="F60" s="9"/>
      <c r="H60" s="29" t="s">
        <v>38</v>
      </c>
      <c r="I60" s="31"/>
      <c r="J60" s="38"/>
      <c r="K60" s="38"/>
      <c r="L60" s="9"/>
    </row>
    <row r="61" spans="2:12" ht="14.7" customHeight="1" thickBot="1" x14ac:dyDescent="0.55000000000000004">
      <c r="B61" s="24" t="s">
        <v>39</v>
      </c>
      <c r="C61" s="13">
        <v>376453.97929249401</v>
      </c>
      <c r="F61" s="9"/>
      <c r="H61" s="24" t="s">
        <v>39</v>
      </c>
      <c r="I61" s="13">
        <v>253657.19905476199</v>
      </c>
      <c r="J61" s="38"/>
      <c r="K61" s="38"/>
      <c r="L61" s="9"/>
    </row>
    <row r="62" spans="2:12" ht="14.7" customHeight="1" thickBot="1" x14ac:dyDescent="0.55000000000000004">
      <c r="B62" s="8"/>
      <c r="F62" s="9"/>
      <c r="H62" s="8"/>
      <c r="I62" s="38"/>
      <c r="J62" s="38"/>
      <c r="K62" s="38"/>
      <c r="L62" s="9"/>
    </row>
    <row r="63" spans="2:12" ht="14.7" customHeight="1" thickBot="1" x14ac:dyDescent="0.55000000000000004">
      <c r="B63" s="29" t="s">
        <v>40</v>
      </c>
      <c r="C63" s="31"/>
      <c r="F63" s="9"/>
      <c r="H63" s="29" t="s">
        <v>40</v>
      </c>
      <c r="I63" s="31"/>
      <c r="J63" s="38"/>
      <c r="K63" s="38"/>
      <c r="L63" s="9"/>
    </row>
    <row r="64" spans="2:12" ht="14.7" customHeight="1" thickBot="1" x14ac:dyDescent="0.55000000000000004">
      <c r="B64" s="29">
        <f>E23/B70</f>
        <v>1.0272322510804728</v>
      </c>
      <c r="C64" s="31"/>
      <c r="F64" s="9"/>
      <c r="H64" s="29">
        <f>K23/B70</f>
        <v>0.19501996709581088</v>
      </c>
      <c r="I64" s="31"/>
      <c r="J64" s="38"/>
      <c r="K64" s="38"/>
      <c r="L64" s="9"/>
    </row>
    <row r="65" spans="2:12" x14ac:dyDescent="0.5">
      <c r="B65" s="8"/>
      <c r="F65" s="9"/>
      <c r="H65" s="8"/>
      <c r="I65" s="38"/>
      <c r="J65" s="38"/>
      <c r="K65" s="38"/>
      <c r="L65" s="9"/>
    </row>
    <row r="66" spans="2:12" ht="14.7" customHeight="1" thickBot="1" x14ac:dyDescent="0.55000000000000004">
      <c r="B66" s="11"/>
      <c r="C66" s="12"/>
      <c r="D66" s="12"/>
      <c r="E66" s="12"/>
      <c r="F66" s="13"/>
      <c r="G66" s="12"/>
      <c r="H66" s="11"/>
      <c r="I66" s="12"/>
      <c r="J66" s="12"/>
      <c r="K66" s="12"/>
      <c r="L66" s="13"/>
    </row>
    <row r="67" spans="2:12" ht="14.7" customHeight="1" thickBot="1" x14ac:dyDescent="0.55000000000000004">
      <c r="B67" s="11"/>
      <c r="C67" s="12"/>
      <c r="L67" s="9"/>
    </row>
    <row r="68" spans="2:12" ht="14.7" customHeight="1" thickBot="1" x14ac:dyDescent="0.55000000000000004">
      <c r="B68" s="32" t="s">
        <v>41</v>
      </c>
      <c r="C68" s="33"/>
      <c r="L68" s="9"/>
    </row>
    <row r="69" spans="2:12" ht="14.7" customHeight="1" thickBot="1" x14ac:dyDescent="0.55000000000000004">
      <c r="B69" s="17" t="s">
        <v>42</v>
      </c>
      <c r="C69" s="19" t="s">
        <v>43</v>
      </c>
      <c r="L69" s="9"/>
    </row>
    <row r="70" spans="2:12" ht="14.7" customHeight="1" thickBot="1" x14ac:dyDescent="0.55000000000000004">
      <c r="B70" s="11">
        <f>C108</f>
        <v>20833339.709807917</v>
      </c>
      <c r="C70" s="13">
        <f>D108</f>
        <v>520833492.74519795</v>
      </c>
      <c r="D70" s="12"/>
      <c r="E70" s="12"/>
      <c r="F70" s="12"/>
      <c r="G70" s="12"/>
      <c r="H70" s="12"/>
      <c r="I70" s="12"/>
      <c r="J70" s="12"/>
      <c r="K70" s="12"/>
      <c r="L70" s="13"/>
    </row>
    <row r="71" spans="2:12" ht="14.7" customHeight="1" thickBot="1" x14ac:dyDescent="0.55000000000000004"/>
    <row r="72" spans="2:12" ht="14.7" customHeight="1" thickBot="1" x14ac:dyDescent="0.55000000000000004">
      <c r="B72" s="29" t="s">
        <v>44</v>
      </c>
      <c r="C72" s="30"/>
      <c r="D72" s="30"/>
      <c r="E72" s="30"/>
      <c r="F72" s="31"/>
    </row>
    <row r="73" spans="2:12" ht="14.7" customHeight="1" thickBot="1" x14ac:dyDescent="0.55000000000000004">
      <c r="B73" s="29" t="s">
        <v>45</v>
      </c>
      <c r="C73" s="30"/>
      <c r="D73" s="30"/>
      <c r="E73" s="30"/>
      <c r="F73" s="31"/>
    </row>
    <row r="74" spans="2:12" ht="14.7" customHeight="1" thickBot="1" x14ac:dyDescent="0.55000000000000004">
      <c r="B74" s="24" t="s">
        <v>46</v>
      </c>
      <c r="C74" s="18" t="s">
        <v>4</v>
      </c>
      <c r="D74" s="18" t="s">
        <v>5</v>
      </c>
      <c r="E74" s="18" t="s">
        <v>6</v>
      </c>
      <c r="F74" s="19" t="s">
        <v>7</v>
      </c>
    </row>
    <row r="75" spans="2:12" x14ac:dyDescent="0.5">
      <c r="B75" s="23" t="s">
        <v>9</v>
      </c>
      <c r="C75">
        <v>31928.605784653319</v>
      </c>
      <c r="D75">
        <v>74500</v>
      </c>
      <c r="E75">
        <f>C75+D75</f>
        <v>106428.60578465332</v>
      </c>
      <c r="F75" s="9">
        <f>E75*25</f>
        <v>2660715.1446163328</v>
      </c>
    </row>
    <row r="76" spans="2:12" x14ac:dyDescent="0.5">
      <c r="B76" s="3" t="s">
        <v>10</v>
      </c>
      <c r="C76">
        <v>0</v>
      </c>
      <c r="D76">
        <v>0</v>
      </c>
      <c r="E76">
        <f>C76+D76</f>
        <v>0</v>
      </c>
      <c r="F76" s="9">
        <f>E76*25</f>
        <v>0</v>
      </c>
    </row>
    <row r="77" spans="2:12" x14ac:dyDescent="0.5">
      <c r="B77" s="3" t="s">
        <v>14</v>
      </c>
      <c r="C77">
        <v>0</v>
      </c>
      <c r="D77">
        <v>0</v>
      </c>
      <c r="E77">
        <f>C77+D77</f>
        <v>0</v>
      </c>
      <c r="F77" s="9">
        <f>E77*25</f>
        <v>0</v>
      </c>
    </row>
    <row r="78" spans="2:12" x14ac:dyDescent="0.5">
      <c r="B78" s="3" t="s">
        <v>47</v>
      </c>
      <c r="C78">
        <v>141904.9145984592</v>
      </c>
      <c r="D78">
        <v>228000</v>
      </c>
      <c r="E78">
        <f>C78+D78</f>
        <v>369904.9145984592</v>
      </c>
      <c r="F78" s="9">
        <f>E78*25</f>
        <v>9247622.8649614807</v>
      </c>
    </row>
    <row r="79" spans="2:12" ht="14.7" customHeight="1" thickBot="1" x14ac:dyDescent="0.55000000000000004">
      <c r="B79" s="16" t="s">
        <v>48</v>
      </c>
      <c r="C79" s="12"/>
      <c r="D79" s="12"/>
      <c r="E79">
        <f>C79+D79</f>
        <v>0</v>
      </c>
      <c r="F79" s="9">
        <f>E79*25</f>
        <v>0</v>
      </c>
    </row>
    <row r="80" spans="2:12" ht="14.7" customHeight="1" thickBot="1" x14ac:dyDescent="0.55000000000000004">
      <c r="B80" s="17" t="s">
        <v>49</v>
      </c>
      <c r="C80" s="18" t="s">
        <v>4</v>
      </c>
      <c r="D80" s="18" t="s">
        <v>5</v>
      </c>
      <c r="E80" s="18" t="s">
        <v>6</v>
      </c>
      <c r="F80" s="19" t="s">
        <v>7</v>
      </c>
    </row>
    <row r="81" spans="2:6" x14ac:dyDescent="0.5">
      <c r="B81" s="23" t="s">
        <v>18</v>
      </c>
      <c r="C81">
        <v>152351.7857437341</v>
      </c>
      <c r="D81">
        <v>189864</v>
      </c>
      <c r="E81">
        <f>C81+D81</f>
        <v>342215.7857437341</v>
      </c>
      <c r="F81" s="9">
        <f>E81*25</f>
        <v>8555394.6435933523</v>
      </c>
    </row>
    <row r="82" spans="2:6" ht="14.7" customHeight="1" thickBot="1" x14ac:dyDescent="0.55000000000000004">
      <c r="B82" s="16" t="s">
        <v>50</v>
      </c>
      <c r="C82" s="12"/>
      <c r="D82" s="12"/>
      <c r="E82">
        <f>C82+D82</f>
        <v>0</v>
      </c>
      <c r="F82" s="9">
        <f>E82*25</f>
        <v>0</v>
      </c>
    </row>
    <row r="83" spans="2:6" ht="14.7" customHeight="1" thickBot="1" x14ac:dyDescent="0.55000000000000004">
      <c r="B83" s="17"/>
      <c r="C83" s="18" t="s">
        <v>4</v>
      </c>
      <c r="D83" s="18" t="s">
        <v>5</v>
      </c>
      <c r="E83" s="18" t="s">
        <v>6</v>
      </c>
      <c r="F83" s="19" t="s">
        <v>7</v>
      </c>
    </row>
    <row r="84" spans="2:6" ht="14.7" customHeight="1" thickBot="1" x14ac:dyDescent="0.55000000000000004">
      <c r="B84" s="24" t="s">
        <v>22</v>
      </c>
      <c r="C84" s="12">
        <v>326185.30612684658</v>
      </c>
      <c r="D84" s="12">
        <v>17156639.754078671</v>
      </c>
      <c r="E84" s="12">
        <v>17482825.060205519</v>
      </c>
      <c r="F84" s="13">
        <f>E84*25</f>
        <v>437070626.50513798</v>
      </c>
    </row>
    <row r="85" spans="2:6" ht="14.7" customHeight="1" thickBot="1" x14ac:dyDescent="0.55000000000000004">
      <c r="B85" s="8"/>
      <c r="F85" s="9"/>
    </row>
    <row r="86" spans="2:6" ht="14.7" customHeight="1" thickBot="1" x14ac:dyDescent="0.55000000000000004">
      <c r="B86" s="29" t="s">
        <v>46</v>
      </c>
      <c r="C86" s="30"/>
      <c r="D86" s="31"/>
      <c r="F86" s="9"/>
    </row>
    <row r="87" spans="2:6" ht="14.7" customHeight="1" thickBot="1" x14ac:dyDescent="0.55000000000000004">
      <c r="B87" s="24" t="s">
        <v>23</v>
      </c>
      <c r="C87" s="18" t="s">
        <v>24</v>
      </c>
      <c r="D87" s="19" t="s">
        <v>25</v>
      </c>
      <c r="F87" s="9"/>
    </row>
    <row r="88" spans="2:6" x14ac:dyDescent="0.5">
      <c r="B88" s="23" t="s">
        <v>9</v>
      </c>
      <c r="C88">
        <v>5</v>
      </c>
      <c r="D88" s="9">
        <v>500</v>
      </c>
      <c r="F88" s="9"/>
    </row>
    <row r="89" spans="2:6" x14ac:dyDescent="0.5">
      <c r="B89" s="3" t="s">
        <v>10</v>
      </c>
      <c r="C89">
        <v>0</v>
      </c>
      <c r="D89" s="9">
        <v>0</v>
      </c>
      <c r="F89" s="9"/>
    </row>
    <row r="90" spans="2:6" x14ac:dyDescent="0.5">
      <c r="B90" s="3" t="s">
        <v>14</v>
      </c>
      <c r="C90">
        <v>0</v>
      </c>
      <c r="D90" s="9">
        <v>0</v>
      </c>
      <c r="F90" s="9"/>
    </row>
    <row r="91" spans="2:6" x14ac:dyDescent="0.5">
      <c r="B91" s="3" t="s">
        <v>47</v>
      </c>
      <c r="C91">
        <v>1</v>
      </c>
      <c r="D91" s="9">
        <v>2000</v>
      </c>
      <c r="F91" s="9"/>
    </row>
    <row r="92" spans="2:6" ht="14.7" customHeight="1" thickBot="1" x14ac:dyDescent="0.55000000000000004">
      <c r="B92" s="16" t="s">
        <v>26</v>
      </c>
      <c r="C92" s="12">
        <v>6</v>
      </c>
      <c r="D92" s="13">
        <v>2500</v>
      </c>
      <c r="F92" s="9"/>
    </row>
    <row r="93" spans="2:6" ht="14.7" customHeight="1" thickBot="1" x14ac:dyDescent="0.55000000000000004">
      <c r="B93" s="8"/>
      <c r="F93" s="9"/>
    </row>
    <row r="94" spans="2:6" ht="14.7" customHeight="1" thickBot="1" x14ac:dyDescent="0.55000000000000004">
      <c r="B94" s="29" t="s">
        <v>51</v>
      </c>
      <c r="C94" s="30"/>
      <c r="D94" s="31"/>
      <c r="F94" s="9"/>
    </row>
    <row r="95" spans="2:6" ht="14.7" customHeight="1" thickBot="1" x14ac:dyDescent="0.55000000000000004">
      <c r="B95" s="17" t="s">
        <v>23</v>
      </c>
      <c r="C95" s="18" t="s">
        <v>24</v>
      </c>
      <c r="D95" s="19" t="s">
        <v>25</v>
      </c>
      <c r="F95" s="9"/>
    </row>
    <row r="96" spans="2:6" ht="14.7" customHeight="1" thickBot="1" x14ac:dyDescent="0.55000000000000004">
      <c r="B96" s="24" t="s">
        <v>18</v>
      </c>
      <c r="C96" s="12">
        <v>675</v>
      </c>
      <c r="D96" s="13">
        <v>11866.5</v>
      </c>
      <c r="F96" s="9"/>
    </row>
    <row r="97" spans="2:6" ht="14.7" customHeight="1" thickBot="1" x14ac:dyDescent="0.55000000000000004">
      <c r="B97" s="8"/>
      <c r="F97" s="9"/>
    </row>
    <row r="98" spans="2:6" ht="14.7" customHeight="1" thickBot="1" x14ac:dyDescent="0.55000000000000004">
      <c r="B98" s="29" t="s">
        <v>52</v>
      </c>
      <c r="C98" s="30"/>
      <c r="D98" s="31"/>
      <c r="F98" s="9"/>
    </row>
    <row r="99" spans="2:6" ht="14.7" customHeight="1" thickBot="1" x14ac:dyDescent="0.55000000000000004">
      <c r="B99" s="17" t="s">
        <v>53</v>
      </c>
      <c r="C99" s="18" t="s">
        <v>54</v>
      </c>
      <c r="D99" s="19" t="s">
        <v>55</v>
      </c>
      <c r="F99" s="9"/>
    </row>
    <row r="100" spans="2:6" x14ac:dyDescent="0.5">
      <c r="B100" s="23" t="s">
        <v>56</v>
      </c>
      <c r="C100">
        <v>3921578.9473684449</v>
      </c>
      <c r="D100" s="9">
        <f>C100*25</f>
        <v>98039473.68421112</v>
      </c>
      <c r="F100" s="9"/>
    </row>
    <row r="101" spans="2:6" x14ac:dyDescent="0.5">
      <c r="B101" s="3" t="s">
        <v>57</v>
      </c>
      <c r="C101">
        <v>4065133.611499839</v>
      </c>
      <c r="D101" s="9">
        <f>C101*25</f>
        <v>101628340.28749597</v>
      </c>
      <c r="F101" s="9"/>
    </row>
    <row r="102" spans="2:6" ht="14.7" customHeight="1" thickBot="1" x14ac:dyDescent="0.55000000000000004">
      <c r="B102" s="16" t="s">
        <v>26</v>
      </c>
      <c r="C102" s="12">
        <f>C100+C101</f>
        <v>7986712.5588682834</v>
      </c>
      <c r="D102" s="13">
        <f>C102*25</f>
        <v>199667813.97170708</v>
      </c>
      <c r="F102" s="9"/>
    </row>
    <row r="103" spans="2:6" ht="14.7" customHeight="1" thickBot="1" x14ac:dyDescent="0.55000000000000004">
      <c r="B103" s="8"/>
      <c r="F103" s="9"/>
    </row>
    <row r="104" spans="2:6" ht="14.7" customHeight="1" thickBot="1" x14ac:dyDescent="0.55000000000000004">
      <c r="B104" s="29" t="s">
        <v>58</v>
      </c>
      <c r="C104" s="30"/>
      <c r="D104" s="31"/>
      <c r="F104" s="9"/>
    </row>
    <row r="105" spans="2:6" ht="14.7" customHeight="1" thickBot="1" x14ac:dyDescent="0.55000000000000004">
      <c r="B105" s="17" t="s">
        <v>53</v>
      </c>
      <c r="C105" s="18" t="s">
        <v>59</v>
      </c>
      <c r="D105" s="22" t="s">
        <v>60</v>
      </c>
      <c r="F105" s="9"/>
    </row>
    <row r="106" spans="2:6" x14ac:dyDescent="0.5">
      <c r="B106" s="23" t="s">
        <v>56</v>
      </c>
      <c r="C106">
        <f>2.6085*C100</f>
        <v>10229438.684210587</v>
      </c>
      <c r="D106" s="9">
        <f>C106*25</f>
        <v>255735967.10526469</v>
      </c>
      <c r="F106" s="9"/>
    </row>
    <row r="107" spans="2:6" x14ac:dyDescent="0.5">
      <c r="B107" s="3" t="s">
        <v>57</v>
      </c>
      <c r="C107">
        <f>2.6085*C101</f>
        <v>10603901.02559733</v>
      </c>
      <c r="D107" s="9">
        <f>C107*25</f>
        <v>265097525.63993326</v>
      </c>
      <c r="F107" s="9"/>
    </row>
    <row r="108" spans="2:6" ht="14.7" customHeight="1" thickBot="1" x14ac:dyDescent="0.55000000000000004">
      <c r="B108" s="16" t="s">
        <v>26</v>
      </c>
      <c r="C108" s="12">
        <f>2.6085*C102</f>
        <v>20833339.709807917</v>
      </c>
      <c r="D108" s="13">
        <f>C108*25</f>
        <v>520833492.74519795</v>
      </c>
      <c r="E108" s="12"/>
      <c r="F108" s="13"/>
    </row>
  </sheetData>
  <mergeCells count="30">
    <mergeCell ref="H64:I64"/>
    <mergeCell ref="H50:J50"/>
    <mergeCell ref="H55:J55"/>
    <mergeCell ref="B86:D86"/>
    <mergeCell ref="B104:D104"/>
    <mergeCell ref="B73:F73"/>
    <mergeCell ref="B36:D36"/>
    <mergeCell ref="B94:D94"/>
    <mergeCell ref="B50:D50"/>
    <mergeCell ref="B68:C68"/>
    <mergeCell ref="B64:C64"/>
    <mergeCell ref="B47:C47"/>
    <mergeCell ref="B98:D98"/>
    <mergeCell ref="B72:F72"/>
    <mergeCell ref="H33:I33"/>
    <mergeCell ref="B5:L5"/>
    <mergeCell ref="B63:C63"/>
    <mergeCell ref="B43:D43"/>
    <mergeCell ref="H25:J25"/>
    <mergeCell ref="H6:L6"/>
    <mergeCell ref="H60:I60"/>
    <mergeCell ref="B60:C60"/>
    <mergeCell ref="B55:D55"/>
    <mergeCell ref="H47:I47"/>
    <mergeCell ref="B25:D25"/>
    <mergeCell ref="H43:J43"/>
    <mergeCell ref="B6:F6"/>
    <mergeCell ref="B33:C33"/>
    <mergeCell ref="H36:J36"/>
    <mergeCell ref="H63:I63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5"/>
  <dimension ref="B4:N108"/>
  <sheetViews>
    <sheetView tabSelected="1" topLeftCell="A15" zoomScale="70" zoomScaleNormal="70" workbookViewId="0">
      <selection activeCell="M29" sqref="M29"/>
    </sheetView>
  </sheetViews>
  <sheetFormatPr defaultColWidth="39.234375" defaultRowHeight="14.35" x14ac:dyDescent="0.5"/>
  <cols>
    <col min="1" max="1" width="13.52734375" customWidth="1"/>
    <col min="2" max="2" width="15.234375" bestFit="1" customWidth="1"/>
    <col min="3" max="3" width="17.64453125" bestFit="1" customWidth="1"/>
    <col min="4" max="4" width="18.64453125" bestFit="1" customWidth="1"/>
    <col min="5" max="5" width="12.46875" bestFit="1" customWidth="1"/>
    <col min="6" max="6" width="13.5859375" bestFit="1" customWidth="1"/>
    <col min="7" max="7" width="12.46875" customWidth="1"/>
    <col min="8" max="8" width="15.234375" bestFit="1" customWidth="1"/>
    <col min="9" max="9" width="15.703125" bestFit="1" customWidth="1"/>
    <col min="10" max="10" width="18" bestFit="1" customWidth="1"/>
    <col min="11" max="11" width="12.46875" bestFit="1" customWidth="1"/>
    <col min="12" max="12" width="14.5859375" bestFit="1" customWidth="1"/>
    <col min="13" max="14" width="13.41015625" bestFit="1" customWidth="1"/>
    <col min="15" max="15" width="11.76171875" bestFit="1" customWidth="1"/>
  </cols>
  <sheetData>
    <row r="4" spans="2:14" ht="14.7" customHeight="1" thickBot="1" x14ac:dyDescent="0.55000000000000004"/>
    <row r="5" spans="2:14" ht="14.7" customHeight="1" thickBot="1" x14ac:dyDescent="0.55000000000000004">
      <c r="B5" s="29" t="s">
        <v>0</v>
      </c>
      <c r="C5" s="30"/>
      <c r="D5" s="30"/>
      <c r="E5" s="30"/>
      <c r="F5" s="30"/>
      <c r="G5" s="30"/>
      <c r="H5" s="30"/>
      <c r="I5" s="30"/>
      <c r="J5" s="30"/>
      <c r="K5" s="30"/>
      <c r="L5" s="31"/>
    </row>
    <row r="6" spans="2:14" ht="14.7" customHeight="1" thickBot="1" x14ac:dyDescent="0.55000000000000004">
      <c r="B6" s="29" t="s">
        <v>1</v>
      </c>
      <c r="C6" s="30"/>
      <c r="D6" s="30"/>
      <c r="E6" s="30"/>
      <c r="F6" s="31"/>
      <c r="H6" s="29" t="s">
        <v>2</v>
      </c>
      <c r="I6" s="30"/>
      <c r="J6" s="30"/>
      <c r="K6" s="30"/>
      <c r="L6" s="31"/>
    </row>
    <row r="7" spans="2:14" ht="14.7" customHeight="1" thickBot="1" x14ac:dyDescent="0.55000000000000004">
      <c r="B7" s="24" t="s">
        <v>3</v>
      </c>
      <c r="C7" s="18" t="s">
        <v>4</v>
      </c>
      <c r="D7" s="18" t="s">
        <v>5</v>
      </c>
      <c r="E7" s="18" t="s">
        <v>6</v>
      </c>
      <c r="F7" s="19" t="s">
        <v>7</v>
      </c>
      <c r="H7" s="24" t="s">
        <v>3</v>
      </c>
      <c r="I7" s="18" t="s">
        <v>4</v>
      </c>
      <c r="J7" s="18" t="s">
        <v>5</v>
      </c>
      <c r="K7" s="18" t="s">
        <v>6</v>
      </c>
      <c r="L7" s="19" t="s">
        <v>7</v>
      </c>
    </row>
    <row r="8" spans="2:14" x14ac:dyDescent="0.5">
      <c r="B8" s="3" t="s">
        <v>8</v>
      </c>
      <c r="C8" s="6">
        <f>13698 * D27*((0.05*((1.05)^25))/((1.05^25)-1))</f>
        <v>3012910.9562630267</v>
      </c>
      <c r="D8" s="6">
        <f>29*D27</f>
        <v>89900</v>
      </c>
      <c r="E8" s="6">
        <f>C8+D8</f>
        <v>3102810.9562630267</v>
      </c>
      <c r="F8" s="10">
        <f>E8*25</f>
        <v>77570273.906575665</v>
      </c>
      <c r="H8" s="3" t="s">
        <v>9</v>
      </c>
      <c r="I8" s="39">
        <f>1615 * J27*((0.05*((1.05)^25))/((1.05^25)-1))</f>
        <v>469811.69600684894</v>
      </c>
      <c r="J8" s="39">
        <f>29*J27</f>
        <v>118900</v>
      </c>
      <c r="K8" s="39">
        <f>I8+J8</f>
        <v>588711.69600684894</v>
      </c>
      <c r="L8" s="10">
        <f>K8*25</f>
        <v>14717792.400171224</v>
      </c>
    </row>
    <row r="9" spans="2:14" x14ac:dyDescent="0.5">
      <c r="B9" s="3" t="s">
        <v>10</v>
      </c>
      <c r="C9" s="6">
        <f>13698 * D28*((0.05*((1.05)^25))/((1.05^25)-1))</f>
        <v>485953.38004242367</v>
      </c>
      <c r="D9" s="6">
        <f>29*D28</f>
        <v>14500</v>
      </c>
      <c r="E9" s="6">
        <f>C9+D9</f>
        <v>500453.38004242367</v>
      </c>
      <c r="F9" s="10">
        <f>E9*25</f>
        <v>12511334.501060592</v>
      </c>
      <c r="H9" s="3" t="s">
        <v>10</v>
      </c>
      <c r="I9" s="39">
        <f>1615 * J28*((0.05*((1.05)^25))/((1.05^25)-1))</f>
        <v>57294.109269127919</v>
      </c>
      <c r="J9" s="39">
        <f>29*J28</f>
        <v>14500</v>
      </c>
      <c r="K9" s="39">
        <f>I9+J9</f>
        <v>71794.109269127919</v>
      </c>
      <c r="L9" s="10">
        <f>K9*25</f>
        <v>1794852.731728198</v>
      </c>
      <c r="M9" s="7"/>
      <c r="N9" s="6"/>
    </row>
    <row r="10" spans="2:14" x14ac:dyDescent="0.5">
      <c r="B10" s="3" t="s">
        <v>11</v>
      </c>
      <c r="C10" s="6">
        <f>13698 * D29*((0.05*((1.05)^25))/((1.05^25)-1))</f>
        <v>0</v>
      </c>
      <c r="D10" s="6">
        <f>29*D29</f>
        <v>0</v>
      </c>
      <c r="E10" s="6">
        <f>C10+D10</f>
        <v>0</v>
      </c>
      <c r="F10" s="10">
        <f>E10*25</f>
        <v>0</v>
      </c>
      <c r="H10" s="3" t="s">
        <v>11</v>
      </c>
      <c r="I10" s="39">
        <f>1615 * J29*((0.05*((1.05)^25))/((1.05^25)-1))</f>
        <v>0</v>
      </c>
      <c r="J10" s="39">
        <f>29*J29</f>
        <v>0</v>
      </c>
      <c r="K10" s="39">
        <f>I10+J10</f>
        <v>0</v>
      </c>
      <c r="L10" s="10">
        <f>K10*25</f>
        <v>0</v>
      </c>
      <c r="M10" s="7"/>
    </row>
    <row r="11" spans="2:14" ht="14.7" customHeight="1" thickBot="1" x14ac:dyDescent="0.55000000000000004">
      <c r="B11" s="16" t="s">
        <v>12</v>
      </c>
      <c r="C11" s="14">
        <f>13698 * D30*((0.05*((1.05)^25))/((1.05^25)-1))</f>
        <v>0</v>
      </c>
      <c r="D11" s="14">
        <f>29*D30</f>
        <v>0</v>
      </c>
      <c r="E11" s="14">
        <f>C11+D11</f>
        <v>0</v>
      </c>
      <c r="F11" s="15">
        <f>E11*25</f>
        <v>0</v>
      </c>
      <c r="H11" s="16" t="s">
        <v>12</v>
      </c>
      <c r="I11" s="14">
        <f>1615 * J30*((0.05*((1.05)^25))/((1.05^25)-1))</f>
        <v>0</v>
      </c>
      <c r="J11" s="14">
        <f>29*J30</f>
        <v>0</v>
      </c>
      <c r="K11" s="14">
        <f>I11+J11</f>
        <v>0</v>
      </c>
      <c r="L11" s="13">
        <f>K11*25</f>
        <v>0</v>
      </c>
    </row>
    <row r="12" spans="2:14" ht="14.7" customHeight="1" thickBot="1" x14ac:dyDescent="0.55000000000000004">
      <c r="B12" s="24" t="s">
        <v>13</v>
      </c>
      <c r="C12" s="18" t="s">
        <v>4</v>
      </c>
      <c r="D12" s="18" t="s">
        <v>5</v>
      </c>
      <c r="E12" s="18" t="s">
        <v>6</v>
      </c>
      <c r="F12" s="19" t="s">
        <v>7</v>
      </c>
      <c r="H12" s="24" t="s">
        <v>13</v>
      </c>
      <c r="I12" s="18" t="s">
        <v>4</v>
      </c>
      <c r="J12" s="18" t="s">
        <v>5</v>
      </c>
      <c r="K12" s="18" t="s">
        <v>6</v>
      </c>
      <c r="L12" s="19" t="s">
        <v>7</v>
      </c>
    </row>
    <row r="13" spans="2:14" x14ac:dyDescent="0.5">
      <c r="B13" s="3" t="s">
        <v>14</v>
      </c>
      <c r="C13" s="4">
        <f>2490 * D38*((0.05*((1.05)^10))/((1.05^10)-1))</f>
        <v>967399.17499196157</v>
      </c>
      <c r="D13" s="1">
        <f>37.35*D38</f>
        <v>112050</v>
      </c>
      <c r="E13">
        <f>C13+D13</f>
        <v>1079449.1749919616</v>
      </c>
      <c r="F13" s="9">
        <f>E13*25</f>
        <v>26986229.374799039</v>
      </c>
      <c r="H13" s="3" t="s">
        <v>14</v>
      </c>
      <c r="I13" s="4">
        <f>2490 * J38*((0.05*((1.05)^10))/((1.05^10)-1))</f>
        <v>1289865.5666559488</v>
      </c>
      <c r="J13" s="1">
        <f>37.35*J38</f>
        <v>149400</v>
      </c>
      <c r="K13" s="39">
        <f>I13+J13</f>
        <v>1439265.5666559488</v>
      </c>
      <c r="L13" s="10">
        <f>K13*25</f>
        <v>35981639.166398719</v>
      </c>
    </row>
    <row r="14" spans="2:14" x14ac:dyDescent="0.5">
      <c r="B14" s="3" t="s">
        <v>15</v>
      </c>
      <c r="C14" s="4">
        <f>1570 * D39*((0.05*((1.05)^10))/((1.05^10)-1))</f>
        <v>0</v>
      </c>
      <c r="D14" s="1">
        <f>23.55*D39</f>
        <v>0</v>
      </c>
      <c r="E14">
        <f>C14+D14</f>
        <v>0</v>
      </c>
      <c r="F14" s="9">
        <f>E14*25</f>
        <v>0</v>
      </c>
      <c r="H14" s="3" t="s">
        <v>15</v>
      </c>
      <c r="I14" s="4">
        <f>1570 * J39*((0.05*((1.05)^10))/((1.05^10)-1))</f>
        <v>0</v>
      </c>
      <c r="J14" s="1">
        <f>23.55*J39</f>
        <v>0</v>
      </c>
      <c r="K14" s="38">
        <f>I14+J14</f>
        <v>0</v>
      </c>
      <c r="L14" s="10">
        <f>K14*25</f>
        <v>0</v>
      </c>
    </row>
    <row r="15" spans="2:14" ht="14.7" customHeight="1" thickBot="1" x14ac:dyDescent="0.55000000000000004">
      <c r="B15" s="16" t="s">
        <v>16</v>
      </c>
      <c r="C15" s="5">
        <f>1190 * D40*((0.05*((1.05)^10))/((1.05^10)-1))</f>
        <v>0</v>
      </c>
      <c r="D15" s="2">
        <f>17.85*D40</f>
        <v>0</v>
      </c>
      <c r="E15" s="12">
        <f>C15+D15</f>
        <v>0</v>
      </c>
      <c r="F15" s="13">
        <f>E15*25</f>
        <v>0</v>
      </c>
      <c r="H15" s="16" t="s">
        <v>16</v>
      </c>
      <c r="I15" s="5">
        <f>1190 * J40*((0.05*((1.05)^10))/((1.05^10)-1))</f>
        <v>0</v>
      </c>
      <c r="J15" s="2">
        <f>17.85*J40</f>
        <v>0</v>
      </c>
      <c r="K15" s="12">
        <f>I15+J15</f>
        <v>0</v>
      </c>
      <c r="L15" s="15">
        <f>K15*25</f>
        <v>0</v>
      </c>
    </row>
    <row r="16" spans="2:14" ht="14.7" customHeight="1" thickBot="1" x14ac:dyDescent="0.55000000000000004">
      <c r="B16" s="24" t="s">
        <v>17</v>
      </c>
      <c r="C16" s="18" t="s">
        <v>4</v>
      </c>
      <c r="D16" s="18" t="s">
        <v>5</v>
      </c>
      <c r="E16" s="18" t="s">
        <v>6</v>
      </c>
      <c r="F16" s="19" t="s">
        <v>7</v>
      </c>
      <c r="H16" s="24" t="s">
        <v>17</v>
      </c>
      <c r="I16" s="18" t="s">
        <v>4</v>
      </c>
      <c r="J16" s="18" t="s">
        <v>5</v>
      </c>
      <c r="K16" s="18" t="s">
        <v>6</v>
      </c>
      <c r="L16" s="19" t="s">
        <v>7</v>
      </c>
    </row>
    <row r="17" spans="2:14" ht="14.7" customHeight="1" thickBot="1" x14ac:dyDescent="0.55000000000000004">
      <c r="B17" s="16" t="s">
        <v>18</v>
      </c>
      <c r="C17" s="12">
        <v>58457.944455743891</v>
      </c>
      <c r="D17" s="12">
        <v>72851.51999999999</v>
      </c>
      <c r="E17" s="12">
        <f>D17+C17</f>
        <v>131309.46445574387</v>
      </c>
      <c r="F17" s="13">
        <f>E17*25</f>
        <v>3282736.611393597</v>
      </c>
      <c r="H17" s="16" t="s">
        <v>18</v>
      </c>
      <c r="I17" s="12">
        <v>58457.944455743891</v>
      </c>
      <c r="J17" s="12">
        <v>72851.51999999999</v>
      </c>
      <c r="K17" s="12">
        <f>J17+I17</f>
        <v>131309.46445574387</v>
      </c>
      <c r="L17" s="15">
        <f>K17*25</f>
        <v>3282736.611393597</v>
      </c>
    </row>
    <row r="18" spans="2:14" ht="14.7" customHeight="1" thickBot="1" x14ac:dyDescent="0.55000000000000004">
      <c r="B18" s="24" t="s">
        <v>19</v>
      </c>
      <c r="C18" s="18" t="s">
        <v>4</v>
      </c>
      <c r="D18" s="18" t="s">
        <v>5</v>
      </c>
      <c r="E18" s="18" t="s">
        <v>6</v>
      </c>
      <c r="F18" s="19" t="s">
        <v>7</v>
      </c>
      <c r="H18" s="24" t="s">
        <v>20</v>
      </c>
      <c r="I18" s="18" t="s">
        <v>4</v>
      </c>
      <c r="J18" s="18" t="s">
        <v>5</v>
      </c>
      <c r="K18" s="18" t="s">
        <v>6</v>
      </c>
      <c r="L18" s="19" t="s">
        <v>7</v>
      </c>
    </row>
    <row r="19" spans="2:14" ht="14.7" customHeight="1" thickBot="1" x14ac:dyDescent="0.55000000000000004">
      <c r="B19" s="11"/>
      <c r="C19" s="12">
        <f>C48*300*((0.05*((1.05)^20))/((1.05^20)-1))</f>
        <v>254449.24398168214</v>
      </c>
      <c r="D19" s="12">
        <v>0</v>
      </c>
      <c r="E19" s="12">
        <f>D19+C19</f>
        <v>254449.24398168214</v>
      </c>
      <c r="F19" s="13">
        <f>E19*25</f>
        <v>6361231.0995420534</v>
      </c>
      <c r="H19" s="11"/>
      <c r="I19" s="14">
        <f>(I48/10)*3000*((0.05*((1.05)^20))/((1.05^20)-1))</f>
        <v>174768.35490132569</v>
      </c>
      <c r="J19" s="12">
        <v>0</v>
      </c>
      <c r="K19" s="12">
        <f>J19+I19</f>
        <v>174768.35490132569</v>
      </c>
      <c r="L19" s="15">
        <f>K19*25</f>
        <v>4369208.8725331426</v>
      </c>
    </row>
    <row r="20" spans="2:14" ht="14.7" customHeight="1" thickBot="1" x14ac:dyDescent="0.55000000000000004">
      <c r="B20" s="24" t="s">
        <v>21</v>
      </c>
      <c r="C20" s="18" t="s">
        <v>4</v>
      </c>
      <c r="D20" s="18" t="s">
        <v>5</v>
      </c>
      <c r="E20" s="18" t="s">
        <v>6</v>
      </c>
      <c r="F20" s="19" t="s">
        <v>7</v>
      </c>
      <c r="H20" s="24" t="s">
        <v>21</v>
      </c>
      <c r="I20" s="18" t="s">
        <v>4</v>
      </c>
      <c r="J20" s="18" t="s">
        <v>5</v>
      </c>
      <c r="K20" s="18" t="s">
        <v>6</v>
      </c>
      <c r="L20" s="19" t="s">
        <v>7</v>
      </c>
    </row>
    <row r="21" spans="2:14" ht="14.7" customHeight="1" thickBot="1" x14ac:dyDescent="0.55000000000000004">
      <c r="B21" s="11"/>
      <c r="C21" s="12">
        <v>0</v>
      </c>
      <c r="D21" s="12">
        <v>0</v>
      </c>
      <c r="E21" s="12">
        <f>C21+D21</f>
        <v>0</v>
      </c>
      <c r="F21" s="13">
        <f>E21*25</f>
        <v>0</v>
      </c>
      <c r="H21" s="11"/>
      <c r="I21" s="12">
        <v>0</v>
      </c>
      <c r="J21" s="12">
        <v>0</v>
      </c>
      <c r="K21" s="12">
        <f>J21+I21</f>
        <v>0</v>
      </c>
      <c r="L21" s="13">
        <f>K21*25</f>
        <v>0</v>
      </c>
    </row>
    <row r="22" spans="2:14" ht="14.7" customHeight="1" thickBot="1" x14ac:dyDescent="0.55000000000000004">
      <c r="B22" s="17"/>
      <c r="C22" s="18" t="s">
        <v>4</v>
      </c>
      <c r="D22" s="18" t="s">
        <v>5</v>
      </c>
      <c r="E22" s="18" t="s">
        <v>6</v>
      </c>
      <c r="F22" s="19" t="s">
        <v>7</v>
      </c>
      <c r="H22" s="17"/>
      <c r="I22" s="18" t="s">
        <v>4</v>
      </c>
      <c r="J22" s="18" t="s">
        <v>5</v>
      </c>
      <c r="K22" s="18" t="s">
        <v>6</v>
      </c>
      <c r="L22" s="19" t="s">
        <v>7</v>
      </c>
    </row>
    <row r="23" spans="2:14" ht="14.7" customHeight="1" thickBot="1" x14ac:dyDescent="0.55000000000000004">
      <c r="B23" s="24" t="s">
        <v>22</v>
      </c>
      <c r="C23" s="12">
        <v>5843668.861406547</v>
      </c>
      <c r="D23" s="12">
        <v>289301.52</v>
      </c>
      <c r="E23" s="25">
        <v>6132970.3814065484</v>
      </c>
      <c r="F23" s="13">
        <f>D23*25</f>
        <v>7232538</v>
      </c>
      <c r="H23" s="24" t="s">
        <v>22</v>
      </c>
      <c r="I23" s="14">
        <v>2050197.6712889939</v>
      </c>
      <c r="J23" s="14">
        <v>355651.52</v>
      </c>
      <c r="K23" s="14">
        <v>4062917.2247025901</v>
      </c>
      <c r="L23" s="15">
        <f>K23*25</f>
        <v>101572930.61756475</v>
      </c>
      <c r="M23" s="6"/>
    </row>
    <row r="24" spans="2:14" ht="14.7" customHeight="1" thickBot="1" x14ac:dyDescent="0.55000000000000004">
      <c r="B24" s="8"/>
      <c r="F24" s="9"/>
      <c r="H24" s="8"/>
      <c r="I24" s="39"/>
      <c r="J24" s="39"/>
      <c r="K24" s="39"/>
      <c r="L24" s="10"/>
      <c r="M24" s="6"/>
      <c r="N24" s="7"/>
    </row>
    <row r="25" spans="2:14" ht="14.7" customHeight="1" thickBot="1" x14ac:dyDescent="0.55000000000000004">
      <c r="B25" s="29" t="s">
        <v>3</v>
      </c>
      <c r="C25" s="30"/>
      <c r="D25" s="31"/>
      <c r="F25" s="9"/>
      <c r="H25" s="29" t="s">
        <v>3</v>
      </c>
      <c r="I25" s="30"/>
      <c r="J25" s="31"/>
      <c r="K25" s="38"/>
      <c r="L25" s="10"/>
      <c r="M25" s="6"/>
    </row>
    <row r="26" spans="2:14" ht="14.7" customHeight="1" thickBot="1" x14ac:dyDescent="0.55000000000000004">
      <c r="B26" s="17" t="s">
        <v>23</v>
      </c>
      <c r="C26" s="18" t="s">
        <v>24</v>
      </c>
      <c r="D26" s="19" t="s">
        <v>25</v>
      </c>
      <c r="F26" s="9"/>
      <c r="H26" s="17" t="s">
        <v>23</v>
      </c>
      <c r="I26" s="18" t="s">
        <v>24</v>
      </c>
      <c r="J26" s="19" t="s">
        <v>25</v>
      </c>
      <c r="K26" s="38"/>
      <c r="L26" s="10"/>
      <c r="M26" s="6"/>
    </row>
    <row r="27" spans="2:14" x14ac:dyDescent="0.5">
      <c r="B27" s="23" t="s">
        <v>9</v>
      </c>
      <c r="C27">
        <v>31</v>
      </c>
      <c r="D27" s="9">
        <v>3100</v>
      </c>
      <c r="F27" s="9"/>
      <c r="H27" s="8" t="s">
        <v>9</v>
      </c>
      <c r="I27" s="38">
        <v>41</v>
      </c>
      <c r="J27" s="9">
        <v>4100</v>
      </c>
      <c r="K27" s="38"/>
      <c r="L27" s="9"/>
    </row>
    <row r="28" spans="2:14" x14ac:dyDescent="0.5">
      <c r="B28" s="3" t="s">
        <v>10</v>
      </c>
      <c r="C28">
        <v>1</v>
      </c>
      <c r="D28" s="9">
        <v>500</v>
      </c>
      <c r="F28" s="9"/>
      <c r="H28" s="8" t="s">
        <v>10</v>
      </c>
      <c r="I28" s="38">
        <v>1</v>
      </c>
      <c r="J28" s="9">
        <v>500</v>
      </c>
      <c r="K28" s="38"/>
      <c r="L28" s="9"/>
    </row>
    <row r="29" spans="2:14" x14ac:dyDescent="0.5">
      <c r="B29" s="3" t="s">
        <v>11</v>
      </c>
      <c r="C29">
        <v>0</v>
      </c>
      <c r="D29" s="9">
        <v>0</v>
      </c>
      <c r="F29" s="9"/>
      <c r="H29" s="8" t="s">
        <v>11</v>
      </c>
      <c r="I29" s="38">
        <v>0</v>
      </c>
      <c r="J29" s="9">
        <v>0</v>
      </c>
      <c r="K29" s="38"/>
      <c r="L29" s="9"/>
    </row>
    <row r="30" spans="2:14" x14ac:dyDescent="0.5">
      <c r="B30" s="3" t="s">
        <v>12</v>
      </c>
      <c r="C30">
        <v>0</v>
      </c>
      <c r="D30" s="9">
        <v>0</v>
      </c>
      <c r="F30" s="9"/>
      <c r="H30" s="8" t="s">
        <v>12</v>
      </c>
      <c r="I30" s="38">
        <v>0</v>
      </c>
      <c r="J30" s="9">
        <v>0</v>
      </c>
      <c r="K30" s="38"/>
      <c r="L30" s="9"/>
    </row>
    <row r="31" spans="2:14" ht="14.7" customHeight="1" thickBot="1" x14ac:dyDescent="0.55000000000000004">
      <c r="B31" s="16" t="s">
        <v>26</v>
      </c>
      <c r="C31" s="12">
        <v>32</v>
      </c>
      <c r="D31" s="13">
        <v>3600</v>
      </c>
      <c r="F31" s="9"/>
      <c r="H31" s="11" t="s">
        <v>26</v>
      </c>
      <c r="I31" s="12">
        <v>42</v>
      </c>
      <c r="J31" s="13">
        <v>4600</v>
      </c>
      <c r="K31" s="38"/>
      <c r="L31" s="9"/>
    </row>
    <row r="32" spans="2:14" ht="14.7" customHeight="1" thickBot="1" x14ac:dyDescent="0.55000000000000004">
      <c r="B32" s="8"/>
      <c r="F32" s="9"/>
      <c r="H32" s="8"/>
      <c r="I32" s="38"/>
      <c r="J32" s="38"/>
      <c r="K32" s="38"/>
      <c r="L32" s="9"/>
    </row>
    <row r="33" spans="2:12" ht="14.7" customHeight="1" thickBot="1" x14ac:dyDescent="0.55000000000000004">
      <c r="B33" s="29" t="s">
        <v>21</v>
      </c>
      <c r="C33" s="31"/>
      <c r="F33" s="9"/>
      <c r="H33" s="29" t="s">
        <v>21</v>
      </c>
      <c r="I33" s="31"/>
      <c r="J33" s="38"/>
      <c r="K33" s="38"/>
      <c r="L33" s="9"/>
    </row>
    <row r="34" spans="2:12" ht="14.7" customHeight="1" thickBot="1" x14ac:dyDescent="0.55000000000000004">
      <c r="B34" s="24" t="s">
        <v>25</v>
      </c>
      <c r="C34" s="13">
        <v>0</v>
      </c>
      <c r="F34" s="9"/>
      <c r="H34" s="24" t="s">
        <v>25</v>
      </c>
      <c r="I34" s="13">
        <v>0</v>
      </c>
      <c r="J34" s="38"/>
      <c r="K34" s="38"/>
      <c r="L34" s="9"/>
    </row>
    <row r="35" spans="2:12" ht="14.7" customHeight="1" thickBot="1" x14ac:dyDescent="0.55000000000000004">
      <c r="B35" s="8"/>
      <c r="F35" s="9"/>
      <c r="H35" s="8"/>
      <c r="I35" s="38"/>
      <c r="J35" s="38"/>
      <c r="K35" s="38"/>
      <c r="L35" s="9"/>
    </row>
    <row r="36" spans="2:12" ht="14.7" customHeight="1" thickBot="1" x14ac:dyDescent="0.55000000000000004">
      <c r="B36" s="29" t="s">
        <v>13</v>
      </c>
      <c r="C36" s="30"/>
      <c r="D36" s="31"/>
      <c r="F36" s="9"/>
      <c r="H36" s="29" t="s">
        <v>13</v>
      </c>
      <c r="I36" s="30"/>
      <c r="J36" s="31"/>
      <c r="K36" s="38"/>
      <c r="L36" s="9"/>
    </row>
    <row r="37" spans="2:12" ht="14.7" customHeight="1" thickBot="1" x14ac:dyDescent="0.55000000000000004">
      <c r="B37" s="24" t="s">
        <v>23</v>
      </c>
      <c r="C37" s="18" t="s">
        <v>24</v>
      </c>
      <c r="D37" s="19" t="s">
        <v>25</v>
      </c>
      <c r="F37" s="9"/>
      <c r="H37" s="17" t="s">
        <v>23</v>
      </c>
      <c r="I37" s="18" t="s">
        <v>24</v>
      </c>
      <c r="J37" s="19" t="s">
        <v>25</v>
      </c>
      <c r="K37" s="38"/>
      <c r="L37" s="9"/>
    </row>
    <row r="38" spans="2:12" x14ac:dyDescent="0.5">
      <c r="B38" s="23" t="s">
        <v>14</v>
      </c>
      <c r="C38">
        <v>3</v>
      </c>
      <c r="D38" s="9">
        <v>3000</v>
      </c>
      <c r="F38" s="9"/>
      <c r="H38" s="23" t="s">
        <v>14</v>
      </c>
      <c r="I38" s="38">
        <v>4</v>
      </c>
      <c r="J38" s="9">
        <v>4000</v>
      </c>
      <c r="K38" s="38"/>
      <c r="L38" s="9"/>
    </row>
    <row r="39" spans="2:12" x14ac:dyDescent="0.5">
      <c r="B39" s="3" t="s">
        <v>15</v>
      </c>
      <c r="C39">
        <v>0</v>
      </c>
      <c r="D39" s="9">
        <v>0</v>
      </c>
      <c r="F39" s="9"/>
      <c r="H39" s="3" t="s">
        <v>15</v>
      </c>
      <c r="I39" s="38">
        <v>0</v>
      </c>
      <c r="J39" s="9">
        <v>0</v>
      </c>
      <c r="K39" s="38"/>
      <c r="L39" s="9"/>
    </row>
    <row r="40" spans="2:12" x14ac:dyDescent="0.5">
      <c r="B40" s="3" t="s">
        <v>16</v>
      </c>
      <c r="C40">
        <v>0</v>
      </c>
      <c r="D40" s="9">
        <v>0</v>
      </c>
      <c r="F40" s="9"/>
      <c r="H40" s="3" t="s">
        <v>16</v>
      </c>
      <c r="I40" s="38">
        <v>0</v>
      </c>
      <c r="J40" s="9">
        <v>0</v>
      </c>
      <c r="K40" s="38"/>
      <c r="L40" s="9"/>
    </row>
    <row r="41" spans="2:12" ht="14.7" customHeight="1" thickBot="1" x14ac:dyDescent="0.55000000000000004">
      <c r="B41" s="16" t="s">
        <v>26</v>
      </c>
      <c r="C41" s="12">
        <v>3</v>
      </c>
      <c r="D41" s="13">
        <v>3000</v>
      </c>
      <c r="F41" s="9"/>
      <c r="H41" s="16" t="s">
        <v>26</v>
      </c>
      <c r="I41" s="12">
        <v>4</v>
      </c>
      <c r="J41" s="13">
        <v>4000</v>
      </c>
      <c r="K41" s="38"/>
      <c r="L41" s="9"/>
    </row>
    <row r="42" spans="2:12" ht="14.7" customHeight="1" thickBot="1" x14ac:dyDescent="0.55000000000000004">
      <c r="B42" s="8"/>
      <c r="F42" s="9"/>
      <c r="H42" s="8"/>
      <c r="I42" s="38"/>
      <c r="J42" s="38"/>
      <c r="K42" s="38"/>
      <c r="L42" s="9"/>
    </row>
    <row r="43" spans="2:12" ht="14.7" customHeight="1" thickBot="1" x14ac:dyDescent="0.55000000000000004">
      <c r="B43" s="29" t="s">
        <v>27</v>
      </c>
      <c r="C43" s="30"/>
      <c r="D43" s="31"/>
      <c r="F43" s="9"/>
      <c r="H43" s="29" t="s">
        <v>27</v>
      </c>
      <c r="I43" s="30"/>
      <c r="J43" s="31"/>
      <c r="K43" s="38"/>
      <c r="L43" s="9"/>
    </row>
    <row r="44" spans="2:12" ht="14.7" customHeight="1" thickBot="1" x14ac:dyDescent="0.55000000000000004">
      <c r="B44" s="24" t="s">
        <v>23</v>
      </c>
      <c r="C44" s="18" t="s">
        <v>24</v>
      </c>
      <c r="D44" s="19" t="s">
        <v>25</v>
      </c>
      <c r="F44" s="9"/>
      <c r="H44" s="17" t="s">
        <v>23</v>
      </c>
      <c r="I44" s="18" t="s">
        <v>24</v>
      </c>
      <c r="J44" s="19" t="s">
        <v>25</v>
      </c>
      <c r="K44" s="38"/>
      <c r="L44" s="9"/>
    </row>
    <row r="45" spans="2:12" ht="14.7" customHeight="1" thickBot="1" x14ac:dyDescent="0.55000000000000004">
      <c r="B45" s="24" t="s">
        <v>18</v>
      </c>
      <c r="C45" s="12">
        <v>259</v>
      </c>
      <c r="D45" s="13">
        <v>4553.2199999999993</v>
      </c>
      <c r="F45" s="9"/>
      <c r="H45" s="24" t="s">
        <v>18</v>
      </c>
      <c r="I45" s="12">
        <v>259</v>
      </c>
      <c r="J45" s="13">
        <v>4553.2199999999993</v>
      </c>
      <c r="K45" s="38"/>
      <c r="L45" s="9"/>
    </row>
    <row r="46" spans="2:12" ht="14.7" customHeight="1" thickBot="1" x14ac:dyDescent="0.55000000000000004">
      <c r="B46" s="8"/>
      <c r="F46" s="9"/>
      <c r="H46" s="8"/>
      <c r="I46" s="38"/>
      <c r="J46" s="38"/>
      <c r="K46" s="38"/>
      <c r="L46" s="9"/>
    </row>
    <row r="47" spans="2:12" ht="14.7" customHeight="1" thickBot="1" x14ac:dyDescent="0.55000000000000004">
      <c r="B47" s="29" t="s">
        <v>28</v>
      </c>
      <c r="C47" s="31"/>
      <c r="F47" s="9"/>
      <c r="H47" s="29" t="s">
        <v>28</v>
      </c>
      <c r="I47" s="31"/>
      <c r="J47" s="38"/>
      <c r="K47" s="38"/>
      <c r="L47" s="9"/>
    </row>
    <row r="48" spans="2:12" ht="14.7" customHeight="1" thickBot="1" x14ac:dyDescent="0.55000000000000004">
      <c r="B48" s="11" t="s">
        <v>29</v>
      </c>
      <c r="C48" s="13">
        <v>10570</v>
      </c>
      <c r="F48" s="9"/>
      <c r="H48" s="24" t="s">
        <v>29</v>
      </c>
      <c r="I48" s="13">
        <v>7260</v>
      </c>
      <c r="J48" s="38"/>
      <c r="K48" s="38"/>
      <c r="L48" s="9"/>
    </row>
    <row r="49" spans="2:12" ht="14.7" customHeight="1" thickBot="1" x14ac:dyDescent="0.55000000000000004">
      <c r="B49" s="8"/>
      <c r="F49" s="9"/>
      <c r="H49" s="8"/>
      <c r="I49" s="38"/>
      <c r="J49" s="38"/>
      <c r="K49" s="38"/>
      <c r="L49" s="9"/>
    </row>
    <row r="50" spans="2:12" ht="14.7" customHeight="1" thickBot="1" x14ac:dyDescent="0.55000000000000004">
      <c r="B50" s="29" t="s">
        <v>30</v>
      </c>
      <c r="C50" s="30"/>
      <c r="D50" s="31"/>
      <c r="F50" s="9"/>
      <c r="H50" s="35" t="s">
        <v>30</v>
      </c>
      <c r="I50" s="36"/>
      <c r="J50" s="37"/>
      <c r="K50" s="38"/>
      <c r="L50" s="9"/>
    </row>
    <row r="51" spans="2:12" ht="14.7" customHeight="1" thickBot="1" x14ac:dyDescent="0.55000000000000004">
      <c r="B51" s="11" t="s">
        <v>31</v>
      </c>
      <c r="C51" s="12" t="s">
        <v>32</v>
      </c>
      <c r="D51" s="13" t="s">
        <v>33</v>
      </c>
      <c r="F51" s="9"/>
      <c r="H51" s="24" t="s">
        <v>31</v>
      </c>
      <c r="I51" s="18" t="s">
        <v>61</v>
      </c>
      <c r="J51" s="21" t="s">
        <v>33</v>
      </c>
      <c r="K51" s="38"/>
      <c r="L51" s="9"/>
    </row>
    <row r="52" spans="2:12" ht="14.7" customHeight="1" x14ac:dyDescent="0.5">
      <c r="B52" s="23" t="s">
        <v>34</v>
      </c>
      <c r="C52" s="26">
        <v>4032308.8268276001</v>
      </c>
      <c r="D52" s="27">
        <f>C52*25</f>
        <v>100807720.67069</v>
      </c>
      <c r="F52" s="9"/>
      <c r="H52" s="3" t="s">
        <v>34</v>
      </c>
      <c r="I52" s="40">
        <v>5761857.8719528196</v>
      </c>
      <c r="J52" s="27">
        <f>I52*25</f>
        <v>144046446.7988205</v>
      </c>
      <c r="K52" s="38"/>
      <c r="L52" s="9"/>
    </row>
    <row r="53" spans="2:12" ht="14.7" customHeight="1" thickBot="1" x14ac:dyDescent="0.55000000000000004">
      <c r="B53" s="16" t="s">
        <v>35</v>
      </c>
      <c r="C53" s="25">
        <v>1842203.184192708</v>
      </c>
      <c r="D53" s="28">
        <f>C53*25</f>
        <v>46055079.604817703</v>
      </c>
      <c r="F53" s="9"/>
      <c r="H53" s="16" t="s">
        <v>35</v>
      </c>
      <c r="I53" s="25">
        <v>423387.90632441622</v>
      </c>
      <c r="J53" s="28">
        <f>I53*25</f>
        <v>10584697.658110406</v>
      </c>
      <c r="K53" s="38"/>
      <c r="L53" s="9"/>
    </row>
    <row r="54" spans="2:12" ht="14.7" customHeight="1" thickBot="1" x14ac:dyDescent="0.55000000000000004">
      <c r="B54" s="8"/>
      <c r="F54" s="9"/>
      <c r="H54" s="8"/>
      <c r="I54" s="39"/>
      <c r="J54" s="10"/>
      <c r="K54" s="38"/>
      <c r="L54" s="9"/>
    </row>
    <row r="55" spans="2:12" ht="14.7" customHeight="1" thickBot="1" x14ac:dyDescent="0.55000000000000004">
      <c r="B55" s="29" t="s">
        <v>36</v>
      </c>
      <c r="C55" s="30"/>
      <c r="D55" s="31"/>
      <c r="F55" s="9"/>
      <c r="H55" s="35" t="s">
        <v>36</v>
      </c>
      <c r="I55" s="36"/>
      <c r="J55" s="37"/>
      <c r="K55" s="38"/>
      <c r="L55" s="9"/>
    </row>
    <row r="56" spans="2:12" ht="14.7" customHeight="1" thickBot="1" x14ac:dyDescent="0.55000000000000004">
      <c r="B56" s="11" t="s">
        <v>31</v>
      </c>
      <c r="C56" s="12" t="s">
        <v>32</v>
      </c>
      <c r="D56" s="13" t="s">
        <v>33</v>
      </c>
      <c r="F56" s="9"/>
      <c r="H56" s="24" t="s">
        <v>31</v>
      </c>
      <c r="I56" s="20">
        <v>1564949.0516415101</v>
      </c>
      <c r="J56" s="21" t="s">
        <v>33</v>
      </c>
      <c r="K56" s="38"/>
      <c r="L56" s="9"/>
    </row>
    <row r="57" spans="2:12" ht="14.7" customHeight="1" thickBot="1" x14ac:dyDescent="0.55000000000000004">
      <c r="B57" s="23" t="s">
        <v>34</v>
      </c>
      <c r="C57">
        <v>1095194.99000255</v>
      </c>
      <c r="D57" s="9">
        <f>C57*25</f>
        <v>27379874.750063747</v>
      </c>
      <c r="F57" s="9"/>
      <c r="H57" s="16" t="s">
        <v>34</v>
      </c>
      <c r="I57" s="14">
        <v>162587.57949552059</v>
      </c>
      <c r="J57" s="15">
        <f>I57*25</f>
        <v>4064689.4873880148</v>
      </c>
      <c r="K57" s="38"/>
      <c r="L57" s="9"/>
    </row>
    <row r="58" spans="2:12" ht="14.7" customHeight="1" thickBot="1" x14ac:dyDescent="0.55000000000000004">
      <c r="B58" s="16" t="s">
        <v>35</v>
      </c>
      <c r="C58" s="12">
        <v>859528.19873394095</v>
      </c>
      <c r="D58" s="13">
        <f>C58*25</f>
        <v>21488204.968348525</v>
      </c>
      <c r="F58" s="9"/>
      <c r="H58" s="8" t="s">
        <v>35</v>
      </c>
      <c r="I58" s="12">
        <v>423387.90632441622</v>
      </c>
      <c r="J58" s="38">
        <f>I58*25</f>
        <v>10584697.658110406</v>
      </c>
      <c r="K58" s="38"/>
      <c r="L58" s="9"/>
    </row>
    <row r="59" spans="2:12" ht="14.7" customHeight="1" thickBot="1" x14ac:dyDescent="0.55000000000000004">
      <c r="B59" s="8"/>
      <c r="F59" s="9"/>
      <c r="H59" s="8"/>
      <c r="I59" s="38"/>
      <c r="J59" s="38"/>
      <c r="K59" s="38"/>
      <c r="L59" s="9"/>
    </row>
    <row r="60" spans="2:12" ht="14.7" customHeight="1" thickBot="1" x14ac:dyDescent="0.55000000000000004">
      <c r="B60" s="29" t="s">
        <v>37</v>
      </c>
      <c r="C60" s="31"/>
      <c r="F60" s="9"/>
      <c r="H60" s="29" t="s">
        <v>38</v>
      </c>
      <c r="I60" s="31"/>
      <c r="J60" s="38"/>
      <c r="K60" s="38"/>
      <c r="L60" s="9"/>
    </row>
    <row r="61" spans="2:12" ht="14.7" customHeight="1" thickBot="1" x14ac:dyDescent="0.55000000000000004">
      <c r="B61" s="24" t="s">
        <v>39</v>
      </c>
      <c r="C61" s="13">
        <v>493107.01771541801</v>
      </c>
      <c r="F61" s="9"/>
      <c r="H61" s="24" t="s">
        <v>39</v>
      </c>
      <c r="I61" s="13">
        <v>65340.000000000196</v>
      </c>
      <c r="J61" s="38"/>
      <c r="K61" s="38"/>
      <c r="L61" s="9"/>
    </row>
    <row r="62" spans="2:12" ht="14.7" customHeight="1" thickBot="1" x14ac:dyDescent="0.55000000000000004">
      <c r="B62" s="8"/>
      <c r="F62" s="9"/>
      <c r="H62" s="8"/>
      <c r="I62" s="38"/>
      <c r="J62" s="38"/>
      <c r="K62" s="38"/>
      <c r="L62" s="9"/>
    </row>
    <row r="63" spans="2:12" ht="14.7" customHeight="1" thickBot="1" x14ac:dyDescent="0.55000000000000004">
      <c r="B63" s="29" t="s">
        <v>40</v>
      </c>
      <c r="C63" s="31"/>
      <c r="F63" s="9"/>
      <c r="H63" s="29" t="s">
        <v>40</v>
      </c>
      <c r="I63" s="31"/>
      <c r="J63" s="38"/>
      <c r="K63" s="38"/>
      <c r="L63" s="9"/>
    </row>
    <row r="64" spans="2:12" ht="14.7" customHeight="1" thickBot="1" x14ac:dyDescent="0.55000000000000004">
      <c r="B64" s="29">
        <f>E23/B70</f>
        <v>0.88680167534784415</v>
      </c>
      <c r="C64" s="31"/>
      <c r="F64" s="9"/>
      <c r="H64" s="29">
        <f>K23/B70</f>
        <v>0.58748071123727652</v>
      </c>
      <c r="I64" s="31"/>
      <c r="J64" s="38"/>
      <c r="K64" s="38"/>
      <c r="L64" s="9"/>
    </row>
    <row r="65" spans="2:12" x14ac:dyDescent="0.5">
      <c r="B65" s="8"/>
      <c r="F65" s="9"/>
      <c r="H65" s="8"/>
      <c r="I65" s="38"/>
      <c r="J65" s="38"/>
      <c r="K65" s="38"/>
      <c r="L65" s="9"/>
    </row>
    <row r="66" spans="2:12" ht="14.7" customHeight="1" thickBot="1" x14ac:dyDescent="0.55000000000000004">
      <c r="B66" s="11"/>
      <c r="C66" s="12"/>
      <c r="D66" s="12"/>
      <c r="E66" s="12"/>
      <c r="F66" s="13"/>
      <c r="G66" s="12"/>
      <c r="H66" s="11"/>
      <c r="I66" s="12"/>
      <c r="J66" s="12"/>
      <c r="K66" s="12"/>
      <c r="L66" s="13"/>
    </row>
    <row r="67" spans="2:12" ht="14.7" customHeight="1" thickBot="1" x14ac:dyDescent="0.55000000000000004">
      <c r="B67" s="11"/>
      <c r="C67" s="12"/>
      <c r="L67" s="9"/>
    </row>
    <row r="68" spans="2:12" ht="14.7" customHeight="1" thickBot="1" x14ac:dyDescent="0.55000000000000004">
      <c r="B68" s="32" t="s">
        <v>41</v>
      </c>
      <c r="C68" s="33"/>
      <c r="L68" s="9"/>
    </row>
    <row r="69" spans="2:12" ht="14.7" customHeight="1" thickBot="1" x14ac:dyDescent="0.55000000000000004">
      <c r="B69" s="17" t="s">
        <v>42</v>
      </c>
      <c r="C69" s="19" t="s">
        <v>43</v>
      </c>
      <c r="L69" s="9"/>
    </row>
    <row r="70" spans="2:12" ht="14.7" customHeight="1" thickBot="1" x14ac:dyDescent="0.55000000000000004">
      <c r="B70" s="11">
        <f>C108</f>
        <v>6915830.8468473712</v>
      </c>
      <c r="C70" s="13">
        <f>D108</f>
        <v>172895771.17118427</v>
      </c>
      <c r="D70" s="12"/>
      <c r="E70" s="12"/>
      <c r="F70" s="12"/>
      <c r="G70" s="12"/>
      <c r="H70" s="12"/>
      <c r="I70" s="12"/>
      <c r="J70" s="12"/>
      <c r="K70" s="12"/>
      <c r="L70" s="13"/>
    </row>
    <row r="71" spans="2:12" ht="14.7" customHeight="1" thickBot="1" x14ac:dyDescent="0.55000000000000004"/>
    <row r="72" spans="2:12" ht="14.7" customHeight="1" thickBot="1" x14ac:dyDescent="0.55000000000000004">
      <c r="B72" s="29" t="s">
        <v>44</v>
      </c>
      <c r="C72" s="30"/>
      <c r="D72" s="30"/>
      <c r="E72" s="30"/>
      <c r="F72" s="31"/>
    </row>
    <row r="73" spans="2:12" ht="14.7" customHeight="1" thickBot="1" x14ac:dyDescent="0.55000000000000004">
      <c r="B73" s="29" t="s">
        <v>45</v>
      </c>
      <c r="C73" s="30"/>
      <c r="D73" s="30"/>
      <c r="E73" s="30"/>
      <c r="F73" s="31"/>
    </row>
    <row r="74" spans="2:12" ht="14.7" customHeight="1" thickBot="1" x14ac:dyDescent="0.55000000000000004">
      <c r="B74" s="24" t="s">
        <v>46</v>
      </c>
      <c r="C74" s="18" t="s">
        <v>4</v>
      </c>
      <c r="D74" s="18" t="s">
        <v>5</v>
      </c>
      <c r="E74" s="18" t="s">
        <v>6</v>
      </c>
      <c r="F74" s="19" t="s">
        <v>7</v>
      </c>
    </row>
    <row r="75" spans="2:12" x14ac:dyDescent="0.5">
      <c r="B75" s="23" t="s">
        <v>9</v>
      </c>
      <c r="C75">
        <v>19157.163470791991</v>
      </c>
      <c r="D75">
        <v>44700</v>
      </c>
      <c r="E75">
        <f>C75+D75</f>
        <v>63857.163470791987</v>
      </c>
      <c r="F75" s="9">
        <f>E75*25</f>
        <v>1596429.0867697997</v>
      </c>
    </row>
    <row r="76" spans="2:12" x14ac:dyDescent="0.5">
      <c r="B76" s="3" t="s">
        <v>10</v>
      </c>
      <c r="C76">
        <v>31928.605784653319</v>
      </c>
      <c r="D76">
        <v>74500</v>
      </c>
      <c r="E76">
        <f>C76+D76</f>
        <v>106428.60578465332</v>
      </c>
      <c r="F76" s="9">
        <f>E76*25</f>
        <v>2660715.1446163328</v>
      </c>
    </row>
    <row r="77" spans="2:12" x14ac:dyDescent="0.5">
      <c r="B77" s="3" t="s">
        <v>14</v>
      </c>
      <c r="C77">
        <v>0</v>
      </c>
      <c r="D77">
        <v>0</v>
      </c>
      <c r="E77">
        <f>C77+D77</f>
        <v>0</v>
      </c>
      <c r="F77" s="9">
        <f>E77*25</f>
        <v>0</v>
      </c>
    </row>
    <row r="78" spans="2:12" x14ac:dyDescent="0.5">
      <c r="B78" s="3" t="s">
        <v>47</v>
      </c>
      <c r="C78">
        <v>0</v>
      </c>
      <c r="D78">
        <v>0</v>
      </c>
      <c r="E78">
        <f>C78+D78</f>
        <v>0</v>
      </c>
      <c r="F78" s="9">
        <f>E78*25</f>
        <v>0</v>
      </c>
    </row>
    <row r="79" spans="2:12" ht="14.7" customHeight="1" thickBot="1" x14ac:dyDescent="0.55000000000000004">
      <c r="B79" s="16" t="s">
        <v>48</v>
      </c>
      <c r="C79" s="12"/>
      <c r="D79" s="12"/>
      <c r="E79">
        <f>C79+D79</f>
        <v>0</v>
      </c>
      <c r="F79" s="9">
        <f>E79*25</f>
        <v>0</v>
      </c>
    </row>
    <row r="80" spans="2:12" ht="14.7" customHeight="1" thickBot="1" x14ac:dyDescent="0.55000000000000004">
      <c r="B80" s="17" t="s">
        <v>49</v>
      </c>
      <c r="C80" s="18" t="s">
        <v>4</v>
      </c>
      <c r="D80" s="18" t="s">
        <v>5</v>
      </c>
      <c r="E80" s="18" t="s">
        <v>6</v>
      </c>
      <c r="F80" s="19" t="s">
        <v>7</v>
      </c>
    </row>
    <row r="81" spans="2:6" x14ac:dyDescent="0.5">
      <c r="B81" s="23" t="s">
        <v>18</v>
      </c>
      <c r="C81">
        <v>58457.944455743891</v>
      </c>
      <c r="D81">
        <v>72851.51999999999</v>
      </c>
      <c r="E81">
        <f>C81+D81</f>
        <v>131309.46445574387</v>
      </c>
      <c r="F81" s="9">
        <f>E81*25</f>
        <v>3282736.611393597</v>
      </c>
    </row>
    <row r="82" spans="2:6" ht="14.7" customHeight="1" thickBot="1" x14ac:dyDescent="0.55000000000000004">
      <c r="B82" s="16" t="s">
        <v>50</v>
      </c>
      <c r="C82" s="12"/>
      <c r="D82" s="12"/>
      <c r="E82">
        <f>C82+D82</f>
        <v>0</v>
      </c>
      <c r="F82" s="9">
        <f>E82*25</f>
        <v>0</v>
      </c>
    </row>
    <row r="83" spans="2:6" ht="14.7" customHeight="1" thickBot="1" x14ac:dyDescent="0.55000000000000004">
      <c r="B83" s="17"/>
      <c r="C83" s="18" t="s">
        <v>4</v>
      </c>
      <c r="D83" s="18" t="s">
        <v>5</v>
      </c>
      <c r="E83" s="18" t="s">
        <v>6</v>
      </c>
      <c r="F83" s="19" t="s">
        <v>7</v>
      </c>
    </row>
    <row r="84" spans="2:6" ht="14.7" customHeight="1" thickBot="1" x14ac:dyDescent="0.55000000000000004">
      <c r="B84" s="24" t="s">
        <v>22</v>
      </c>
      <c r="C84" s="12">
        <v>109543.71371118919</v>
      </c>
      <c r="D84" s="12">
        <v>5723920.8172769956</v>
      </c>
      <c r="E84" s="12">
        <v>5833464.5309881847</v>
      </c>
      <c r="F84" s="13">
        <f>E84*25</f>
        <v>145836613.27470461</v>
      </c>
    </row>
    <row r="85" spans="2:6" ht="14.7" customHeight="1" thickBot="1" x14ac:dyDescent="0.55000000000000004">
      <c r="B85" s="8"/>
      <c r="F85" s="9"/>
    </row>
    <row r="86" spans="2:6" ht="14.7" customHeight="1" thickBot="1" x14ac:dyDescent="0.55000000000000004">
      <c r="B86" s="29" t="s">
        <v>46</v>
      </c>
      <c r="C86" s="30"/>
      <c r="D86" s="31"/>
      <c r="F86" s="9"/>
    </row>
    <row r="87" spans="2:6" ht="14.7" customHeight="1" thickBot="1" x14ac:dyDescent="0.55000000000000004">
      <c r="B87" s="24" t="s">
        <v>23</v>
      </c>
      <c r="C87" s="18" t="s">
        <v>24</v>
      </c>
      <c r="D87" s="19" t="s">
        <v>25</v>
      </c>
      <c r="F87" s="9"/>
    </row>
    <row r="88" spans="2:6" x14ac:dyDescent="0.5">
      <c r="B88" s="23" t="s">
        <v>9</v>
      </c>
      <c r="C88">
        <v>3</v>
      </c>
      <c r="D88" s="9">
        <v>300</v>
      </c>
      <c r="F88" s="9"/>
    </row>
    <row r="89" spans="2:6" x14ac:dyDescent="0.5">
      <c r="B89" s="3" t="s">
        <v>10</v>
      </c>
      <c r="C89">
        <v>1</v>
      </c>
      <c r="D89" s="9">
        <v>500</v>
      </c>
      <c r="F89" s="9"/>
    </row>
    <row r="90" spans="2:6" x14ac:dyDescent="0.5">
      <c r="B90" s="3" t="s">
        <v>14</v>
      </c>
      <c r="C90">
        <v>0</v>
      </c>
      <c r="D90" s="9">
        <v>0</v>
      </c>
      <c r="F90" s="9"/>
    </row>
    <row r="91" spans="2:6" x14ac:dyDescent="0.5">
      <c r="B91" s="3" t="s">
        <v>47</v>
      </c>
      <c r="C91">
        <v>0</v>
      </c>
      <c r="D91" s="9">
        <v>0</v>
      </c>
      <c r="F91" s="9"/>
    </row>
    <row r="92" spans="2:6" ht="14.7" customHeight="1" thickBot="1" x14ac:dyDescent="0.55000000000000004">
      <c r="B92" s="16" t="s">
        <v>26</v>
      </c>
      <c r="C92" s="12">
        <v>4</v>
      </c>
      <c r="D92" s="13">
        <v>800</v>
      </c>
      <c r="F92" s="9"/>
    </row>
    <row r="93" spans="2:6" ht="14.7" customHeight="1" thickBot="1" x14ac:dyDescent="0.55000000000000004">
      <c r="B93" s="8"/>
      <c r="F93" s="9"/>
    </row>
    <row r="94" spans="2:6" ht="14.7" customHeight="1" thickBot="1" x14ac:dyDescent="0.55000000000000004">
      <c r="B94" s="29" t="s">
        <v>51</v>
      </c>
      <c r="C94" s="30"/>
      <c r="D94" s="31"/>
      <c r="F94" s="9"/>
    </row>
    <row r="95" spans="2:6" ht="14.7" customHeight="1" thickBot="1" x14ac:dyDescent="0.55000000000000004">
      <c r="B95" s="17" t="s">
        <v>23</v>
      </c>
      <c r="C95" s="18" t="s">
        <v>24</v>
      </c>
      <c r="D95" s="19" t="s">
        <v>25</v>
      </c>
      <c r="F95" s="9"/>
    </row>
    <row r="96" spans="2:6" ht="14.7" customHeight="1" thickBot="1" x14ac:dyDescent="0.55000000000000004">
      <c r="B96" s="24" t="s">
        <v>18</v>
      </c>
      <c r="C96" s="12">
        <v>259</v>
      </c>
      <c r="D96" s="13">
        <v>4553.2199999999993</v>
      </c>
      <c r="F96" s="9"/>
    </row>
    <row r="97" spans="2:6" ht="14.7" customHeight="1" thickBot="1" x14ac:dyDescent="0.55000000000000004">
      <c r="B97" s="8"/>
      <c r="F97" s="9"/>
    </row>
    <row r="98" spans="2:6" ht="14.7" customHeight="1" thickBot="1" x14ac:dyDescent="0.55000000000000004">
      <c r="B98" s="29" t="s">
        <v>52</v>
      </c>
      <c r="C98" s="30"/>
      <c r="D98" s="31"/>
      <c r="F98" s="9"/>
    </row>
    <row r="99" spans="2:6" ht="14.7" customHeight="1" thickBot="1" x14ac:dyDescent="0.55000000000000004">
      <c r="B99" s="17" t="s">
        <v>53</v>
      </c>
      <c r="C99" s="18" t="s">
        <v>54</v>
      </c>
      <c r="D99" s="19" t="s">
        <v>55</v>
      </c>
      <c r="F99" s="9"/>
    </row>
    <row r="100" spans="2:6" x14ac:dyDescent="0.5">
      <c r="B100" s="23" t="s">
        <v>56</v>
      </c>
      <c r="C100">
        <v>1239896.578947356</v>
      </c>
      <c r="D100" s="9">
        <f>C100*25</f>
        <v>30997414.473683901</v>
      </c>
      <c r="F100" s="9"/>
    </row>
    <row r="101" spans="2:6" x14ac:dyDescent="0.5">
      <c r="B101" s="3" t="s">
        <v>57</v>
      </c>
      <c r="C101">
        <v>1411370.757394362</v>
      </c>
      <c r="D101" s="9">
        <f>C101*25</f>
        <v>35284268.934859052</v>
      </c>
      <c r="F101" s="9"/>
    </row>
    <row r="102" spans="2:6" ht="14.7" customHeight="1" thickBot="1" x14ac:dyDescent="0.55000000000000004">
      <c r="B102" s="16" t="s">
        <v>26</v>
      </c>
      <c r="C102" s="12">
        <f>C100+C101</f>
        <v>2651267.3363417182</v>
      </c>
      <c r="D102" s="13">
        <f>C102*25</f>
        <v>66281683.408542953</v>
      </c>
      <c r="F102" s="9"/>
    </row>
    <row r="103" spans="2:6" ht="14.7" customHeight="1" thickBot="1" x14ac:dyDescent="0.55000000000000004">
      <c r="B103" s="8"/>
      <c r="F103" s="9"/>
    </row>
    <row r="104" spans="2:6" ht="14.7" customHeight="1" thickBot="1" x14ac:dyDescent="0.55000000000000004">
      <c r="B104" s="29" t="s">
        <v>58</v>
      </c>
      <c r="C104" s="30"/>
      <c r="D104" s="31"/>
      <c r="F104" s="9"/>
    </row>
    <row r="105" spans="2:6" ht="14.7" customHeight="1" thickBot="1" x14ac:dyDescent="0.55000000000000004">
      <c r="B105" s="17" t="s">
        <v>53</v>
      </c>
      <c r="C105" s="18" t="s">
        <v>59</v>
      </c>
      <c r="D105" s="22" t="s">
        <v>60</v>
      </c>
      <c r="F105" s="9"/>
    </row>
    <row r="106" spans="2:6" x14ac:dyDescent="0.5">
      <c r="B106" s="23" t="s">
        <v>56</v>
      </c>
      <c r="C106">
        <f>2.6085*C100</f>
        <v>3234270.2261841777</v>
      </c>
      <c r="D106" s="9">
        <f>C106*25</f>
        <v>80856755.654604435</v>
      </c>
      <c r="F106" s="9"/>
    </row>
    <row r="107" spans="2:6" x14ac:dyDescent="0.5">
      <c r="B107" s="3" t="s">
        <v>57</v>
      </c>
      <c r="C107">
        <f>2.6085*C101</f>
        <v>3681560.6206631931</v>
      </c>
      <c r="D107" s="9">
        <f>C107*25</f>
        <v>92039015.516579822</v>
      </c>
      <c r="F107" s="9"/>
    </row>
    <row r="108" spans="2:6" ht="14.7" customHeight="1" thickBot="1" x14ac:dyDescent="0.55000000000000004">
      <c r="B108" s="16" t="s">
        <v>26</v>
      </c>
      <c r="C108" s="12">
        <f>2.6085*C102</f>
        <v>6915830.8468473712</v>
      </c>
      <c r="D108" s="13">
        <f>C108*25</f>
        <v>172895771.17118427</v>
      </c>
      <c r="E108" s="12"/>
      <c r="F108" s="13"/>
    </row>
  </sheetData>
  <mergeCells count="30">
    <mergeCell ref="H64:I64"/>
    <mergeCell ref="H50:J50"/>
    <mergeCell ref="H55:J55"/>
    <mergeCell ref="B86:D86"/>
    <mergeCell ref="B104:D104"/>
    <mergeCell ref="B73:F73"/>
    <mergeCell ref="B36:D36"/>
    <mergeCell ref="B94:D94"/>
    <mergeCell ref="B50:D50"/>
    <mergeCell ref="B68:C68"/>
    <mergeCell ref="B64:C64"/>
    <mergeCell ref="B47:C47"/>
    <mergeCell ref="B98:D98"/>
    <mergeCell ref="B72:F72"/>
    <mergeCell ref="H33:I33"/>
    <mergeCell ref="B5:L5"/>
    <mergeCell ref="B63:C63"/>
    <mergeCell ref="B43:D43"/>
    <mergeCell ref="H25:J25"/>
    <mergeCell ref="H6:L6"/>
    <mergeCell ref="H60:I60"/>
    <mergeCell ref="B60:C60"/>
    <mergeCell ref="B55:D55"/>
    <mergeCell ref="H47:I47"/>
    <mergeCell ref="B25:D25"/>
    <mergeCell ref="H43:J43"/>
    <mergeCell ref="B6:F6"/>
    <mergeCell ref="B33:C33"/>
    <mergeCell ref="H36:J36"/>
    <mergeCell ref="H63:I63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6"/>
  <dimension ref="B4:N108"/>
  <sheetViews>
    <sheetView tabSelected="1" topLeftCell="A15" zoomScale="70" zoomScaleNormal="70" workbookViewId="0">
      <selection activeCell="M29" sqref="M29"/>
    </sheetView>
  </sheetViews>
  <sheetFormatPr defaultColWidth="39.234375" defaultRowHeight="14.35" x14ac:dyDescent="0.5"/>
  <cols>
    <col min="1" max="1" width="13.52734375" customWidth="1"/>
    <col min="2" max="2" width="15.234375" bestFit="1" customWidth="1"/>
    <col min="3" max="3" width="17.64453125" bestFit="1" customWidth="1"/>
    <col min="4" max="4" width="18.64453125" bestFit="1" customWidth="1"/>
    <col min="5" max="5" width="12.46875" bestFit="1" customWidth="1"/>
    <col min="6" max="6" width="13.5859375" bestFit="1" customWidth="1"/>
    <col min="7" max="7" width="12.46875" customWidth="1"/>
    <col min="8" max="8" width="15.234375" bestFit="1" customWidth="1"/>
    <col min="9" max="9" width="15.703125" bestFit="1" customWidth="1"/>
    <col min="10" max="10" width="13.5859375" bestFit="1" customWidth="1"/>
    <col min="11" max="11" width="12.46875" bestFit="1" customWidth="1"/>
    <col min="12" max="12" width="14.5859375" bestFit="1" customWidth="1"/>
    <col min="13" max="14" width="13.41015625" bestFit="1" customWidth="1"/>
    <col min="15" max="15" width="11.76171875" bestFit="1" customWidth="1"/>
  </cols>
  <sheetData>
    <row r="4" spans="2:14" ht="14.7" customHeight="1" thickBot="1" x14ac:dyDescent="0.55000000000000004"/>
    <row r="5" spans="2:14" ht="14.7" customHeight="1" thickBot="1" x14ac:dyDescent="0.55000000000000004">
      <c r="B5" s="29" t="s">
        <v>0</v>
      </c>
      <c r="C5" s="30"/>
      <c r="D5" s="30"/>
      <c r="E5" s="30"/>
      <c r="F5" s="30"/>
      <c r="G5" s="30"/>
      <c r="H5" s="30"/>
      <c r="I5" s="30"/>
      <c r="J5" s="30"/>
      <c r="K5" s="30"/>
      <c r="L5" s="31"/>
    </row>
    <row r="6" spans="2:14" ht="14.7" customHeight="1" thickBot="1" x14ac:dyDescent="0.55000000000000004">
      <c r="B6" s="29" t="s">
        <v>1</v>
      </c>
      <c r="C6" s="30"/>
      <c r="D6" s="30"/>
      <c r="E6" s="30"/>
      <c r="F6" s="31"/>
      <c r="H6" s="29" t="s">
        <v>2</v>
      </c>
      <c r="I6" s="30"/>
      <c r="J6" s="30"/>
      <c r="K6" s="30"/>
      <c r="L6" s="31"/>
    </row>
    <row r="7" spans="2:14" ht="14.7" customHeight="1" thickBot="1" x14ac:dyDescent="0.55000000000000004">
      <c r="B7" s="24" t="s">
        <v>3</v>
      </c>
      <c r="C7" s="18" t="s">
        <v>4</v>
      </c>
      <c r="D7" s="18" t="s">
        <v>5</v>
      </c>
      <c r="E7" s="18" t="s">
        <v>6</v>
      </c>
      <c r="F7" s="19" t="s">
        <v>7</v>
      </c>
      <c r="H7" s="24" t="s">
        <v>3</v>
      </c>
      <c r="I7" s="18" t="s">
        <v>4</v>
      </c>
      <c r="J7" s="18" t="s">
        <v>5</v>
      </c>
      <c r="K7" s="18" t="s">
        <v>6</v>
      </c>
      <c r="L7" s="19" t="s">
        <v>7</v>
      </c>
    </row>
    <row r="8" spans="2:14" x14ac:dyDescent="0.5">
      <c r="B8" s="3" t="s">
        <v>8</v>
      </c>
      <c r="C8" s="6">
        <f>13698 * D27*((0.05*((1.05)^25))/((1.05^25)-1))</f>
        <v>1457860.1401272712</v>
      </c>
      <c r="D8" s="6">
        <f>29*D27</f>
        <v>43500</v>
      </c>
      <c r="E8" s="6">
        <f>C8+D8</f>
        <v>1501360.1401272712</v>
      </c>
      <c r="F8" s="10">
        <f>E8*25</f>
        <v>37534003.503181778</v>
      </c>
      <c r="H8" s="3" t="s">
        <v>9</v>
      </c>
      <c r="I8" s="39">
        <f>1615 * J27*((0.05*((1.05)^25))/((1.05^25)-1))</f>
        <v>297929.36819946521</v>
      </c>
      <c r="J8" s="39">
        <f>29*J27</f>
        <v>75400</v>
      </c>
      <c r="K8" s="39">
        <f>I8+J8</f>
        <v>373329.36819946521</v>
      </c>
      <c r="L8" s="10">
        <f>K8*25</f>
        <v>9333234.20498663</v>
      </c>
    </row>
    <row r="9" spans="2:14" x14ac:dyDescent="0.5">
      <c r="B9" s="3" t="s">
        <v>10</v>
      </c>
      <c r="C9" s="6">
        <f>13698 * D28*((0.05*((1.05)^25))/((1.05^25)-1))</f>
        <v>1457860.1401272712</v>
      </c>
      <c r="D9" s="6">
        <f>29*D28</f>
        <v>43500</v>
      </c>
      <c r="E9" s="6">
        <f>C9+D9</f>
        <v>1501360.1401272712</v>
      </c>
      <c r="F9" s="10">
        <f>E9*25</f>
        <v>37534003.503181778</v>
      </c>
      <c r="H9" s="3" t="s">
        <v>10</v>
      </c>
      <c r="I9" s="39">
        <f>1615 * J28*((0.05*((1.05)^25))/((1.05^25)-1))</f>
        <v>57294.109269127919</v>
      </c>
      <c r="J9" s="39">
        <f>29*J28</f>
        <v>14500</v>
      </c>
      <c r="K9" s="39">
        <f>I9+J9</f>
        <v>71794.109269127919</v>
      </c>
      <c r="L9" s="10">
        <f>K9*25</f>
        <v>1794852.731728198</v>
      </c>
      <c r="M9" s="7"/>
      <c r="N9" s="6"/>
    </row>
    <row r="10" spans="2:14" x14ac:dyDescent="0.5">
      <c r="B10" s="3" t="s">
        <v>11</v>
      </c>
      <c r="C10" s="6">
        <f>13698 * D29*((0.05*((1.05)^25))/((1.05^25)-1))</f>
        <v>0</v>
      </c>
      <c r="D10" s="6">
        <f>29*D29</f>
        <v>0</v>
      </c>
      <c r="E10" s="6">
        <f>C10+D10</f>
        <v>0</v>
      </c>
      <c r="F10" s="10">
        <f>E10*25</f>
        <v>0</v>
      </c>
      <c r="H10" s="3" t="s">
        <v>11</v>
      </c>
      <c r="I10" s="39">
        <f>1615 * J29*((0.05*((1.05)^25))/((1.05^25)-1))</f>
        <v>0</v>
      </c>
      <c r="J10" s="39">
        <f>29*J29</f>
        <v>0</v>
      </c>
      <c r="K10" s="39">
        <f>I10+J10</f>
        <v>0</v>
      </c>
      <c r="L10" s="10">
        <f>K10*25</f>
        <v>0</v>
      </c>
      <c r="M10" s="7"/>
    </row>
    <row r="11" spans="2:14" ht="14.7" customHeight="1" thickBot="1" x14ac:dyDescent="0.55000000000000004">
      <c r="B11" s="16" t="s">
        <v>12</v>
      </c>
      <c r="C11" s="14">
        <f>13698 * D30*((0.05*((1.05)^25))/((1.05^25)-1))</f>
        <v>0</v>
      </c>
      <c r="D11" s="14">
        <f>29*D30</f>
        <v>0</v>
      </c>
      <c r="E11" s="14">
        <f>C11+D11</f>
        <v>0</v>
      </c>
      <c r="F11" s="15">
        <f>E11*25</f>
        <v>0</v>
      </c>
      <c r="H11" s="16" t="s">
        <v>12</v>
      </c>
      <c r="I11" s="14">
        <f>1615 * J30*((0.05*((1.05)^25))/((1.05^25)-1))</f>
        <v>0</v>
      </c>
      <c r="J11" s="14">
        <f>29*J30</f>
        <v>0</v>
      </c>
      <c r="K11" s="14">
        <f>I11+J11</f>
        <v>0</v>
      </c>
      <c r="L11" s="13">
        <f>K11*25</f>
        <v>0</v>
      </c>
    </row>
    <row r="12" spans="2:14" ht="14.7" customHeight="1" thickBot="1" x14ac:dyDescent="0.55000000000000004">
      <c r="B12" s="24" t="s">
        <v>13</v>
      </c>
      <c r="C12" s="18" t="s">
        <v>4</v>
      </c>
      <c r="D12" s="18" t="s">
        <v>5</v>
      </c>
      <c r="E12" s="18" t="s">
        <v>6</v>
      </c>
      <c r="F12" s="19" t="s">
        <v>7</v>
      </c>
      <c r="H12" s="24" t="s">
        <v>13</v>
      </c>
      <c r="I12" s="18" t="s">
        <v>4</v>
      </c>
      <c r="J12" s="18" t="s">
        <v>5</v>
      </c>
      <c r="K12" s="18" t="s">
        <v>6</v>
      </c>
      <c r="L12" s="19" t="s">
        <v>7</v>
      </c>
    </row>
    <row r="13" spans="2:14" x14ac:dyDescent="0.5">
      <c r="B13" s="3" t="s">
        <v>14</v>
      </c>
      <c r="C13" s="4">
        <f>2490 * D38*((0.05*((1.05)^10))/((1.05^10)-1))</f>
        <v>967399.17499196157</v>
      </c>
      <c r="D13" s="1">
        <f>37.35*D38</f>
        <v>112050</v>
      </c>
      <c r="E13">
        <f>C13+D13</f>
        <v>1079449.1749919616</v>
      </c>
      <c r="F13" s="9">
        <f>E13*25</f>
        <v>26986229.374799039</v>
      </c>
      <c r="H13" s="3" t="s">
        <v>14</v>
      </c>
      <c r="I13" s="4">
        <f>2490 * J38*((0.05*((1.05)^10))/((1.05^10)-1))</f>
        <v>967399.17499196157</v>
      </c>
      <c r="J13" s="1">
        <f>37.35*J38</f>
        <v>112050</v>
      </c>
      <c r="K13" s="39">
        <f>I13+J13</f>
        <v>1079449.1749919616</v>
      </c>
      <c r="L13" s="10">
        <f>K13*25</f>
        <v>26986229.374799039</v>
      </c>
    </row>
    <row r="14" spans="2:14" x14ac:dyDescent="0.5">
      <c r="B14" s="3" t="s">
        <v>15</v>
      </c>
      <c r="C14" s="4">
        <f>1570 * D39*((0.05*((1.05)^10))/((1.05^10)-1))</f>
        <v>0</v>
      </c>
      <c r="D14" s="1">
        <f>23.55*D39</f>
        <v>0</v>
      </c>
      <c r="E14">
        <f>C14+D14</f>
        <v>0</v>
      </c>
      <c r="F14" s="9">
        <f>E14*25</f>
        <v>0</v>
      </c>
      <c r="H14" s="3" t="s">
        <v>15</v>
      </c>
      <c r="I14" s="4">
        <f>1570 * J39*((0.05*((1.05)^10))/((1.05^10)-1))</f>
        <v>0</v>
      </c>
      <c r="J14" s="1">
        <f>23.55*J39</f>
        <v>0</v>
      </c>
      <c r="K14" s="38">
        <f>I14+J14</f>
        <v>0</v>
      </c>
      <c r="L14" s="10">
        <f>K14*25</f>
        <v>0</v>
      </c>
    </row>
    <row r="15" spans="2:14" ht="14.7" customHeight="1" thickBot="1" x14ac:dyDescent="0.55000000000000004">
      <c r="B15" s="16" t="s">
        <v>16</v>
      </c>
      <c r="C15" s="5">
        <f>1190 * D40*((0.05*((1.05)^10))/((1.05^10)-1))</f>
        <v>0</v>
      </c>
      <c r="D15" s="2">
        <f>17.85*D40</f>
        <v>0</v>
      </c>
      <c r="E15" s="12">
        <f>C15+D15</f>
        <v>0</v>
      </c>
      <c r="F15" s="13">
        <f>E15*25</f>
        <v>0</v>
      </c>
      <c r="H15" s="16" t="s">
        <v>16</v>
      </c>
      <c r="I15" s="5">
        <f>1190 * J40*((0.05*((1.05)^10))/((1.05^10)-1))</f>
        <v>0</v>
      </c>
      <c r="J15" s="2">
        <f>17.85*J40</f>
        <v>0</v>
      </c>
      <c r="K15" s="12">
        <f>I15+J15</f>
        <v>0</v>
      </c>
      <c r="L15" s="15">
        <f>K15*25</f>
        <v>0</v>
      </c>
    </row>
    <row r="16" spans="2:14" ht="14.7" customHeight="1" thickBot="1" x14ac:dyDescent="0.55000000000000004">
      <c r="B16" s="24" t="s">
        <v>17</v>
      </c>
      <c r="C16" s="18" t="s">
        <v>4</v>
      </c>
      <c r="D16" s="18" t="s">
        <v>5</v>
      </c>
      <c r="E16" s="18" t="s">
        <v>6</v>
      </c>
      <c r="F16" s="19" t="s">
        <v>7</v>
      </c>
      <c r="H16" s="24" t="s">
        <v>17</v>
      </c>
      <c r="I16" s="18" t="s">
        <v>4</v>
      </c>
      <c r="J16" s="18" t="s">
        <v>5</v>
      </c>
      <c r="K16" s="18" t="s">
        <v>6</v>
      </c>
      <c r="L16" s="19" t="s">
        <v>7</v>
      </c>
    </row>
    <row r="17" spans="2:14" ht="14.7" customHeight="1" thickBot="1" x14ac:dyDescent="0.55000000000000004">
      <c r="B17" s="16" t="s">
        <v>18</v>
      </c>
      <c r="C17" s="12">
        <v>35661.603181496277</v>
      </c>
      <c r="D17" s="12">
        <v>44442.239999999998</v>
      </c>
      <c r="E17" s="12">
        <f>D17+C17</f>
        <v>80103.843181496282</v>
      </c>
      <c r="F17" s="13">
        <f>E17*25</f>
        <v>2002596.079537407</v>
      </c>
      <c r="H17" s="16" t="s">
        <v>18</v>
      </c>
      <c r="I17" s="12">
        <v>35661.603181496277</v>
      </c>
      <c r="J17" s="12">
        <v>44442.239999999998</v>
      </c>
      <c r="K17" s="12">
        <f>J17+I17</f>
        <v>80103.843181496282</v>
      </c>
      <c r="L17" s="15">
        <f>K17*25</f>
        <v>2002596.079537407</v>
      </c>
    </row>
    <row r="18" spans="2:14" ht="14.7" customHeight="1" thickBot="1" x14ac:dyDescent="0.55000000000000004">
      <c r="B18" s="24" t="s">
        <v>19</v>
      </c>
      <c r="C18" s="18" t="s">
        <v>4</v>
      </c>
      <c r="D18" s="18" t="s">
        <v>5</v>
      </c>
      <c r="E18" s="18" t="s">
        <v>6</v>
      </c>
      <c r="F18" s="19" t="s">
        <v>7</v>
      </c>
      <c r="H18" s="24" t="s">
        <v>20</v>
      </c>
      <c r="I18" s="18" t="s">
        <v>4</v>
      </c>
      <c r="J18" s="18" t="s">
        <v>5</v>
      </c>
      <c r="K18" s="18" t="s">
        <v>6</v>
      </c>
      <c r="L18" s="19" t="s">
        <v>7</v>
      </c>
    </row>
    <row r="19" spans="2:14" ht="14.7" customHeight="1" thickBot="1" x14ac:dyDescent="0.55000000000000004">
      <c r="B19" s="11"/>
      <c r="C19" s="12">
        <f>C48*300*((0.05*((1.05)^20))/((1.05^20)-1))</f>
        <v>322334.47274500702</v>
      </c>
      <c r="D19" s="12">
        <v>0</v>
      </c>
      <c r="E19" s="12">
        <f>D19+C19</f>
        <v>322334.47274500702</v>
      </c>
      <c r="F19" s="13">
        <f>E19*25</f>
        <v>8058361.8186251754</v>
      </c>
      <c r="H19" s="11"/>
      <c r="I19" s="14">
        <f>(I48/10)*3000*((0.05*((1.05)^20))/((1.05^20)-1))</f>
        <v>154547.22292927146</v>
      </c>
      <c r="J19" s="12">
        <v>0</v>
      </c>
      <c r="K19" s="12">
        <f>J19+I19</f>
        <v>154547.22292927146</v>
      </c>
      <c r="L19" s="15">
        <f>K19*25</f>
        <v>3863680.5732317865</v>
      </c>
    </row>
    <row r="20" spans="2:14" ht="14.7" customHeight="1" thickBot="1" x14ac:dyDescent="0.55000000000000004">
      <c r="B20" s="24" t="s">
        <v>21</v>
      </c>
      <c r="C20" s="18" t="s">
        <v>4</v>
      </c>
      <c r="D20" s="18" t="s">
        <v>5</v>
      </c>
      <c r="E20" s="18" t="s">
        <v>6</v>
      </c>
      <c r="F20" s="19" t="s">
        <v>7</v>
      </c>
      <c r="H20" s="24" t="s">
        <v>21</v>
      </c>
      <c r="I20" s="18" t="s">
        <v>4</v>
      </c>
      <c r="J20" s="18" t="s">
        <v>5</v>
      </c>
      <c r="K20" s="18" t="s">
        <v>6</v>
      </c>
      <c r="L20" s="19" t="s">
        <v>7</v>
      </c>
    </row>
    <row r="21" spans="2:14" ht="14.7" customHeight="1" thickBot="1" x14ac:dyDescent="0.55000000000000004">
      <c r="B21" s="11"/>
      <c r="C21" s="12">
        <v>0</v>
      </c>
      <c r="D21" s="12">
        <v>0</v>
      </c>
      <c r="E21" s="12">
        <f>C21+D21</f>
        <v>0</v>
      </c>
      <c r="F21" s="13">
        <f>E21*25</f>
        <v>0</v>
      </c>
      <c r="H21" s="11"/>
      <c r="I21" s="12">
        <v>0</v>
      </c>
      <c r="J21" s="12">
        <v>0</v>
      </c>
      <c r="K21" s="12">
        <f>J21+I21</f>
        <v>0</v>
      </c>
      <c r="L21" s="13">
        <f>K21*25</f>
        <v>0</v>
      </c>
    </row>
    <row r="22" spans="2:14" ht="14.7" customHeight="1" thickBot="1" x14ac:dyDescent="0.55000000000000004">
      <c r="B22" s="17"/>
      <c r="C22" s="18" t="s">
        <v>4</v>
      </c>
      <c r="D22" s="18" t="s">
        <v>5</v>
      </c>
      <c r="E22" s="18" t="s">
        <v>6</v>
      </c>
      <c r="F22" s="19" t="s">
        <v>7</v>
      </c>
      <c r="H22" s="17"/>
      <c r="I22" s="18" t="s">
        <v>4</v>
      </c>
      <c r="J22" s="18" t="s">
        <v>5</v>
      </c>
      <c r="K22" s="18" t="s">
        <v>6</v>
      </c>
      <c r="L22" s="19" t="s">
        <v>7</v>
      </c>
    </row>
    <row r="23" spans="2:14" ht="14.7" customHeight="1" thickBot="1" x14ac:dyDescent="0.55000000000000004">
      <c r="B23" s="24" t="s">
        <v>22</v>
      </c>
      <c r="C23" s="12">
        <v>4152046.2593913381</v>
      </c>
      <c r="D23" s="12">
        <v>243492.24</v>
      </c>
      <c r="E23" s="25">
        <v>4395538.4993913379</v>
      </c>
      <c r="F23" s="13">
        <f>D23*25</f>
        <v>6087306</v>
      </c>
      <c r="H23" s="24" t="s">
        <v>22</v>
      </c>
      <c r="I23" s="14">
        <v>1512831.478571322</v>
      </c>
      <c r="J23" s="14">
        <v>246392.24</v>
      </c>
      <c r="K23" s="14">
        <v>4062917.2247025901</v>
      </c>
      <c r="L23" s="15">
        <f>K23*25</f>
        <v>101572930.61756475</v>
      </c>
      <c r="M23" s="6"/>
    </row>
    <row r="24" spans="2:14" ht="14.7" customHeight="1" thickBot="1" x14ac:dyDescent="0.55000000000000004">
      <c r="B24" s="8"/>
      <c r="F24" s="9"/>
      <c r="H24" s="8"/>
      <c r="I24" s="39"/>
      <c r="J24" s="39"/>
      <c r="K24" s="39"/>
      <c r="L24" s="10"/>
      <c r="M24" s="6"/>
      <c r="N24" s="7"/>
    </row>
    <row r="25" spans="2:14" ht="14.7" customHeight="1" thickBot="1" x14ac:dyDescent="0.55000000000000004">
      <c r="B25" s="29" t="s">
        <v>3</v>
      </c>
      <c r="C25" s="30"/>
      <c r="D25" s="31"/>
      <c r="F25" s="9"/>
      <c r="H25" s="29" t="s">
        <v>3</v>
      </c>
      <c r="I25" s="30"/>
      <c r="J25" s="31"/>
      <c r="K25" s="38"/>
      <c r="L25" s="10"/>
      <c r="M25" s="6"/>
    </row>
    <row r="26" spans="2:14" ht="14.7" customHeight="1" thickBot="1" x14ac:dyDescent="0.55000000000000004">
      <c r="B26" s="17" t="s">
        <v>23</v>
      </c>
      <c r="C26" s="18" t="s">
        <v>24</v>
      </c>
      <c r="D26" s="19" t="s">
        <v>25</v>
      </c>
      <c r="F26" s="9"/>
      <c r="H26" s="17" t="s">
        <v>23</v>
      </c>
      <c r="I26" s="18" t="s">
        <v>24</v>
      </c>
      <c r="J26" s="19" t="s">
        <v>25</v>
      </c>
      <c r="K26" s="38"/>
      <c r="L26" s="10"/>
      <c r="M26" s="6"/>
    </row>
    <row r="27" spans="2:14" x14ac:dyDescent="0.5">
      <c r="B27" s="23" t="s">
        <v>9</v>
      </c>
      <c r="C27">
        <v>15</v>
      </c>
      <c r="D27" s="9">
        <v>1500</v>
      </c>
      <c r="F27" s="9"/>
      <c r="H27" s="8" t="s">
        <v>9</v>
      </c>
      <c r="I27" s="38">
        <v>26</v>
      </c>
      <c r="J27" s="9">
        <v>2600</v>
      </c>
      <c r="K27" s="38"/>
      <c r="L27" s="9"/>
    </row>
    <row r="28" spans="2:14" x14ac:dyDescent="0.5">
      <c r="B28" s="3" t="s">
        <v>10</v>
      </c>
      <c r="C28">
        <v>3</v>
      </c>
      <c r="D28" s="9">
        <v>1500</v>
      </c>
      <c r="F28" s="9"/>
      <c r="H28" s="8" t="s">
        <v>10</v>
      </c>
      <c r="I28" s="38">
        <v>1</v>
      </c>
      <c r="J28" s="9">
        <v>500</v>
      </c>
      <c r="K28" s="38"/>
      <c r="L28" s="9"/>
    </row>
    <row r="29" spans="2:14" x14ac:dyDescent="0.5">
      <c r="B29" s="3" t="s">
        <v>11</v>
      </c>
      <c r="C29">
        <v>0</v>
      </c>
      <c r="D29" s="9">
        <v>0</v>
      </c>
      <c r="F29" s="9"/>
      <c r="H29" s="8" t="s">
        <v>11</v>
      </c>
      <c r="I29" s="38">
        <v>0</v>
      </c>
      <c r="J29" s="9">
        <v>0</v>
      </c>
      <c r="K29" s="38"/>
      <c r="L29" s="9"/>
    </row>
    <row r="30" spans="2:14" x14ac:dyDescent="0.5">
      <c r="B30" s="3" t="s">
        <v>12</v>
      </c>
      <c r="C30">
        <v>0</v>
      </c>
      <c r="D30" s="9">
        <v>0</v>
      </c>
      <c r="F30" s="9"/>
      <c r="H30" s="8" t="s">
        <v>12</v>
      </c>
      <c r="I30" s="38">
        <v>0</v>
      </c>
      <c r="J30" s="9">
        <v>0</v>
      </c>
      <c r="K30" s="38"/>
      <c r="L30" s="9"/>
    </row>
    <row r="31" spans="2:14" ht="14.7" customHeight="1" thickBot="1" x14ac:dyDescent="0.55000000000000004">
      <c r="B31" s="16" t="s">
        <v>26</v>
      </c>
      <c r="C31" s="12">
        <v>18</v>
      </c>
      <c r="D31" s="13">
        <v>3000</v>
      </c>
      <c r="F31" s="9"/>
      <c r="H31" s="11" t="s">
        <v>26</v>
      </c>
      <c r="I31" s="12">
        <v>27</v>
      </c>
      <c r="J31" s="13">
        <v>3100</v>
      </c>
      <c r="K31" s="38"/>
      <c r="L31" s="9"/>
    </row>
    <row r="32" spans="2:14" ht="14.7" customHeight="1" thickBot="1" x14ac:dyDescent="0.55000000000000004">
      <c r="B32" s="8"/>
      <c r="F32" s="9"/>
      <c r="H32" s="8"/>
      <c r="I32" s="38"/>
      <c r="J32" s="38"/>
      <c r="K32" s="38"/>
      <c r="L32" s="9"/>
    </row>
    <row r="33" spans="2:12" ht="14.7" customHeight="1" thickBot="1" x14ac:dyDescent="0.55000000000000004">
      <c r="B33" s="29" t="s">
        <v>21</v>
      </c>
      <c r="C33" s="31"/>
      <c r="F33" s="9"/>
      <c r="H33" s="29" t="s">
        <v>21</v>
      </c>
      <c r="I33" s="31"/>
      <c r="J33" s="38"/>
      <c r="K33" s="38"/>
      <c r="L33" s="9"/>
    </row>
    <row r="34" spans="2:12" ht="14.7" customHeight="1" thickBot="1" x14ac:dyDescent="0.55000000000000004">
      <c r="B34" s="24" t="s">
        <v>25</v>
      </c>
      <c r="C34" s="13">
        <v>0</v>
      </c>
      <c r="F34" s="9"/>
      <c r="H34" s="24" t="s">
        <v>25</v>
      </c>
      <c r="I34" s="13">
        <v>0</v>
      </c>
      <c r="J34" s="38"/>
      <c r="K34" s="38"/>
      <c r="L34" s="9"/>
    </row>
    <row r="35" spans="2:12" ht="14.7" customHeight="1" thickBot="1" x14ac:dyDescent="0.55000000000000004">
      <c r="B35" s="8"/>
      <c r="F35" s="9"/>
      <c r="H35" s="8"/>
      <c r="I35" s="38"/>
      <c r="J35" s="38"/>
      <c r="K35" s="38"/>
      <c r="L35" s="9"/>
    </row>
    <row r="36" spans="2:12" ht="14.7" customHeight="1" thickBot="1" x14ac:dyDescent="0.55000000000000004">
      <c r="B36" s="29" t="s">
        <v>13</v>
      </c>
      <c r="C36" s="30"/>
      <c r="D36" s="31"/>
      <c r="F36" s="9"/>
      <c r="H36" s="29" t="s">
        <v>13</v>
      </c>
      <c r="I36" s="30"/>
      <c r="J36" s="31"/>
      <c r="K36" s="38"/>
      <c r="L36" s="9"/>
    </row>
    <row r="37" spans="2:12" ht="14.7" customHeight="1" thickBot="1" x14ac:dyDescent="0.55000000000000004">
      <c r="B37" s="24" t="s">
        <v>23</v>
      </c>
      <c r="C37" s="18" t="s">
        <v>24</v>
      </c>
      <c r="D37" s="19" t="s">
        <v>25</v>
      </c>
      <c r="F37" s="9"/>
      <c r="H37" s="17" t="s">
        <v>23</v>
      </c>
      <c r="I37" s="18" t="s">
        <v>24</v>
      </c>
      <c r="J37" s="19" t="s">
        <v>25</v>
      </c>
      <c r="K37" s="38"/>
      <c r="L37" s="9"/>
    </row>
    <row r="38" spans="2:12" x14ac:dyDescent="0.5">
      <c r="B38" s="23" t="s">
        <v>14</v>
      </c>
      <c r="C38">
        <v>3</v>
      </c>
      <c r="D38" s="9">
        <v>3000</v>
      </c>
      <c r="F38" s="9"/>
      <c r="H38" s="23" t="s">
        <v>14</v>
      </c>
      <c r="I38" s="38">
        <v>3</v>
      </c>
      <c r="J38" s="9">
        <v>3000</v>
      </c>
      <c r="K38" s="38"/>
      <c r="L38" s="9"/>
    </row>
    <row r="39" spans="2:12" x14ac:dyDescent="0.5">
      <c r="B39" s="3" t="s">
        <v>15</v>
      </c>
      <c r="C39">
        <v>0</v>
      </c>
      <c r="D39" s="9">
        <v>0</v>
      </c>
      <c r="F39" s="9"/>
      <c r="H39" s="3" t="s">
        <v>15</v>
      </c>
      <c r="I39" s="38">
        <v>0</v>
      </c>
      <c r="J39" s="9">
        <v>0</v>
      </c>
      <c r="K39" s="38"/>
      <c r="L39" s="9"/>
    </row>
    <row r="40" spans="2:12" x14ac:dyDescent="0.5">
      <c r="B40" s="3" t="s">
        <v>16</v>
      </c>
      <c r="C40">
        <v>0</v>
      </c>
      <c r="D40" s="9">
        <v>0</v>
      </c>
      <c r="F40" s="9"/>
      <c r="H40" s="3" t="s">
        <v>16</v>
      </c>
      <c r="I40" s="38">
        <v>0</v>
      </c>
      <c r="J40" s="9">
        <v>0</v>
      </c>
      <c r="K40" s="38"/>
      <c r="L40" s="9"/>
    </row>
    <row r="41" spans="2:12" ht="14.7" customHeight="1" thickBot="1" x14ac:dyDescent="0.55000000000000004">
      <c r="B41" s="16" t="s">
        <v>26</v>
      </c>
      <c r="C41" s="12">
        <v>3</v>
      </c>
      <c r="D41" s="13">
        <v>3000</v>
      </c>
      <c r="F41" s="9"/>
      <c r="H41" s="16" t="s">
        <v>26</v>
      </c>
      <c r="I41" s="12">
        <v>3</v>
      </c>
      <c r="J41" s="13">
        <v>3000</v>
      </c>
      <c r="K41" s="38"/>
      <c r="L41" s="9"/>
    </row>
    <row r="42" spans="2:12" ht="14.7" customHeight="1" thickBot="1" x14ac:dyDescent="0.55000000000000004">
      <c r="B42" s="8"/>
      <c r="F42" s="9"/>
      <c r="H42" s="8"/>
      <c r="I42" s="38"/>
      <c r="J42" s="38"/>
      <c r="K42" s="38"/>
      <c r="L42" s="9"/>
    </row>
    <row r="43" spans="2:12" ht="14.7" customHeight="1" thickBot="1" x14ac:dyDescent="0.55000000000000004">
      <c r="B43" s="29" t="s">
        <v>27</v>
      </c>
      <c r="C43" s="30"/>
      <c r="D43" s="31"/>
      <c r="F43" s="9"/>
      <c r="H43" s="29" t="s">
        <v>27</v>
      </c>
      <c r="I43" s="30"/>
      <c r="J43" s="31"/>
      <c r="K43" s="38"/>
      <c r="L43" s="9"/>
    </row>
    <row r="44" spans="2:12" ht="14.7" customHeight="1" thickBot="1" x14ac:dyDescent="0.55000000000000004">
      <c r="B44" s="24" t="s">
        <v>23</v>
      </c>
      <c r="C44" s="18" t="s">
        <v>24</v>
      </c>
      <c r="D44" s="19" t="s">
        <v>25</v>
      </c>
      <c r="F44" s="9"/>
      <c r="H44" s="17" t="s">
        <v>23</v>
      </c>
      <c r="I44" s="18" t="s">
        <v>24</v>
      </c>
      <c r="J44" s="19" t="s">
        <v>25</v>
      </c>
      <c r="K44" s="38"/>
      <c r="L44" s="9"/>
    </row>
    <row r="45" spans="2:12" ht="14.7" customHeight="1" thickBot="1" x14ac:dyDescent="0.55000000000000004">
      <c r="B45" s="24" t="s">
        <v>18</v>
      </c>
      <c r="C45" s="12">
        <v>158</v>
      </c>
      <c r="D45" s="13">
        <v>2777.64</v>
      </c>
      <c r="F45" s="9"/>
      <c r="H45" s="24" t="s">
        <v>18</v>
      </c>
      <c r="I45" s="12">
        <v>158</v>
      </c>
      <c r="J45" s="13">
        <v>2777.64</v>
      </c>
      <c r="K45" s="38"/>
      <c r="L45" s="9"/>
    </row>
    <row r="46" spans="2:12" ht="14.7" customHeight="1" thickBot="1" x14ac:dyDescent="0.55000000000000004">
      <c r="B46" s="8"/>
      <c r="F46" s="9"/>
      <c r="H46" s="8"/>
      <c r="I46" s="38"/>
      <c r="J46" s="38"/>
      <c r="K46" s="38"/>
      <c r="L46" s="9"/>
    </row>
    <row r="47" spans="2:12" ht="14.7" customHeight="1" thickBot="1" x14ac:dyDescent="0.55000000000000004">
      <c r="B47" s="29" t="s">
        <v>28</v>
      </c>
      <c r="C47" s="31"/>
      <c r="F47" s="9"/>
      <c r="H47" s="29" t="s">
        <v>28</v>
      </c>
      <c r="I47" s="31"/>
      <c r="J47" s="38"/>
      <c r="K47" s="38"/>
      <c r="L47" s="9"/>
    </row>
    <row r="48" spans="2:12" ht="14.7" customHeight="1" thickBot="1" x14ac:dyDescent="0.55000000000000004">
      <c r="B48" s="11" t="s">
        <v>29</v>
      </c>
      <c r="C48" s="13">
        <v>13390</v>
      </c>
      <c r="F48" s="9"/>
      <c r="H48" s="24" t="s">
        <v>29</v>
      </c>
      <c r="I48" s="13">
        <v>6420</v>
      </c>
      <c r="J48" s="38"/>
      <c r="K48" s="38"/>
      <c r="L48" s="9"/>
    </row>
    <row r="49" spans="2:12" ht="14.7" customHeight="1" thickBot="1" x14ac:dyDescent="0.55000000000000004">
      <c r="B49" s="8"/>
      <c r="F49" s="9"/>
      <c r="H49" s="8"/>
      <c r="I49" s="38"/>
      <c r="J49" s="38"/>
      <c r="K49" s="38"/>
      <c r="L49" s="9"/>
    </row>
    <row r="50" spans="2:12" ht="14.7" customHeight="1" thickBot="1" x14ac:dyDescent="0.55000000000000004">
      <c r="B50" s="29" t="s">
        <v>30</v>
      </c>
      <c r="C50" s="30"/>
      <c r="D50" s="31"/>
      <c r="F50" s="9"/>
      <c r="H50" s="35" t="s">
        <v>30</v>
      </c>
      <c r="I50" s="36"/>
      <c r="J50" s="37"/>
      <c r="K50" s="38"/>
      <c r="L50" s="9"/>
    </row>
    <row r="51" spans="2:12" ht="14.7" customHeight="1" thickBot="1" x14ac:dyDescent="0.55000000000000004">
      <c r="B51" s="11" t="s">
        <v>31</v>
      </c>
      <c r="C51" s="12" t="s">
        <v>32</v>
      </c>
      <c r="D51" s="13" t="s">
        <v>33</v>
      </c>
      <c r="F51" s="9"/>
      <c r="H51" s="24" t="s">
        <v>34</v>
      </c>
      <c r="I51" s="18" t="s">
        <v>61</v>
      </c>
      <c r="J51" s="21">
        <f>I52*25</f>
        <v>96690424.446718261</v>
      </c>
      <c r="K51" s="38"/>
      <c r="L51" s="9"/>
    </row>
    <row r="52" spans="2:12" ht="14.7" thickBot="1" x14ac:dyDescent="0.55000000000000004">
      <c r="B52" s="23" t="s">
        <v>34</v>
      </c>
      <c r="C52" s="26">
        <v>2675825.9903827999</v>
      </c>
      <c r="D52" s="27">
        <f>C52*25</f>
        <v>66895649.759569995</v>
      </c>
      <c r="F52" s="9"/>
      <c r="H52" s="16" t="s">
        <v>35</v>
      </c>
      <c r="I52" s="40">
        <v>3867616.9778687302</v>
      </c>
      <c r="J52" s="27">
        <f>I52*25</f>
        <v>96690424.446718261</v>
      </c>
      <c r="K52" s="38"/>
      <c r="L52" s="9"/>
    </row>
    <row r="53" spans="2:12" ht="14.7" customHeight="1" thickBot="1" x14ac:dyDescent="0.55000000000000004">
      <c r="B53" s="16" t="s">
        <v>35</v>
      </c>
      <c r="C53" s="25">
        <v>305254.83274155401</v>
      </c>
      <c r="D53" s="28">
        <f>C53*25</f>
        <v>7631370.8185388502</v>
      </c>
      <c r="F53" s="9"/>
      <c r="H53" s="16" t="s">
        <v>35</v>
      </c>
      <c r="I53" s="25">
        <v>326811.46774532122</v>
      </c>
      <c r="J53" s="28">
        <f>I53*25</f>
        <v>8170286.6936330302</v>
      </c>
      <c r="K53" s="38"/>
      <c r="L53" s="9"/>
    </row>
    <row r="54" spans="2:12" ht="14.7" customHeight="1" thickBot="1" x14ac:dyDescent="0.55000000000000004">
      <c r="B54" s="8"/>
      <c r="F54" s="9"/>
      <c r="H54" s="8"/>
      <c r="I54" s="39"/>
      <c r="J54" s="39"/>
      <c r="K54" s="38"/>
      <c r="L54" s="9"/>
    </row>
    <row r="55" spans="2:12" ht="14.7" customHeight="1" thickBot="1" x14ac:dyDescent="0.55000000000000004">
      <c r="B55" s="29" t="s">
        <v>36</v>
      </c>
      <c r="C55" s="30"/>
      <c r="D55" s="31"/>
      <c r="F55" s="9"/>
      <c r="H55" s="35" t="s">
        <v>31</v>
      </c>
      <c r="I55" s="36"/>
      <c r="J55" s="37"/>
      <c r="K55" s="38"/>
      <c r="L55" s="9"/>
    </row>
    <row r="56" spans="2:12" ht="14.7" customHeight="1" thickBot="1" x14ac:dyDescent="0.55000000000000004">
      <c r="B56" s="11" t="s">
        <v>31</v>
      </c>
      <c r="C56" s="12" t="s">
        <v>32</v>
      </c>
      <c r="D56" s="13" t="s">
        <v>33</v>
      </c>
      <c r="F56" s="9"/>
      <c r="H56" s="23" t="s">
        <v>34</v>
      </c>
      <c r="I56" s="39">
        <v>1050463.87053225</v>
      </c>
      <c r="J56" s="10">
        <f>I56*25</f>
        <v>26261596.763306253</v>
      </c>
      <c r="K56" s="38"/>
      <c r="L56" s="9"/>
    </row>
    <row r="57" spans="2:12" ht="14.7" thickBot="1" x14ac:dyDescent="0.55000000000000004">
      <c r="B57" s="23" t="s">
        <v>34</v>
      </c>
      <c r="C57">
        <v>726767.55294347601</v>
      </c>
      <c r="D57" s="9">
        <f>C57*25</f>
        <v>18169188.8235869</v>
      </c>
      <c r="F57" s="9"/>
      <c r="H57" s="16" t="s">
        <v>35</v>
      </c>
      <c r="I57" s="14">
        <v>130797.8068698276</v>
      </c>
      <c r="J57" s="15">
        <f>I57*25</f>
        <v>3269945.1717456901</v>
      </c>
      <c r="K57" s="38"/>
      <c r="L57" s="9"/>
    </row>
    <row r="58" spans="2:12" ht="14.7" customHeight="1" thickBot="1" x14ac:dyDescent="0.55000000000000004">
      <c r="B58" s="16" t="s">
        <v>35</v>
      </c>
      <c r="C58" s="12">
        <v>146431.1817501942</v>
      </c>
      <c r="D58" s="13">
        <f>C58*25</f>
        <v>3660779.5437548552</v>
      </c>
      <c r="F58" s="9"/>
      <c r="H58" s="8"/>
      <c r="I58" s="12"/>
      <c r="J58" s="38"/>
      <c r="K58" s="38"/>
      <c r="L58" s="9"/>
    </row>
    <row r="59" spans="2:12" ht="14.7" customHeight="1" thickBot="1" x14ac:dyDescent="0.55000000000000004">
      <c r="B59" s="8"/>
      <c r="F59" s="9"/>
      <c r="H59" s="8"/>
      <c r="I59" s="38"/>
      <c r="J59" s="38"/>
      <c r="K59" s="38"/>
      <c r="L59" s="9"/>
    </row>
    <row r="60" spans="2:12" ht="14.7" customHeight="1" thickBot="1" x14ac:dyDescent="0.55000000000000004">
      <c r="B60" s="29" t="s">
        <v>37</v>
      </c>
      <c r="C60" s="31"/>
      <c r="F60" s="9"/>
      <c r="H60" s="29" t="s">
        <v>38</v>
      </c>
      <c r="I60" s="31"/>
      <c r="J60" s="38"/>
      <c r="K60" s="38"/>
      <c r="L60" s="9"/>
    </row>
    <row r="61" spans="2:12" ht="14.7" customHeight="1" thickBot="1" x14ac:dyDescent="0.55000000000000004">
      <c r="B61" s="24" t="s">
        <v>39</v>
      </c>
      <c r="C61" s="13">
        <v>87208.803414433001</v>
      </c>
      <c r="F61" s="9"/>
      <c r="H61" s="24" t="s">
        <v>39</v>
      </c>
      <c r="I61" s="13">
        <v>57707.9672213382</v>
      </c>
      <c r="J61" s="38"/>
      <c r="K61" s="38"/>
      <c r="L61" s="9"/>
    </row>
    <row r="62" spans="2:12" ht="14.7" customHeight="1" thickBot="1" x14ac:dyDescent="0.55000000000000004">
      <c r="B62" s="8"/>
      <c r="F62" s="9"/>
      <c r="H62" s="8"/>
      <c r="I62" s="38"/>
      <c r="J62" s="38"/>
      <c r="K62" s="38"/>
      <c r="L62" s="9"/>
    </row>
    <row r="63" spans="2:12" ht="14.7" customHeight="1" thickBot="1" x14ac:dyDescent="0.55000000000000004">
      <c r="B63" s="29" t="s">
        <v>40</v>
      </c>
      <c r="C63" s="31"/>
      <c r="F63" s="9"/>
      <c r="H63" s="29" t="s">
        <v>40</v>
      </c>
      <c r="I63" s="31"/>
      <c r="J63" s="38"/>
      <c r="K63" s="38"/>
      <c r="L63" s="9"/>
    </row>
    <row r="64" spans="2:12" ht="14.7" customHeight="1" thickBot="1" x14ac:dyDescent="0.55000000000000004">
      <c r="B64" s="29">
        <f>E23/B70</f>
        <v>1.1330138144888069</v>
      </c>
      <c r="C64" s="31"/>
      <c r="F64" s="9"/>
      <c r="H64" s="29">
        <f>K23/B70</f>
        <v>1.0472758555862942</v>
      </c>
      <c r="I64" s="31"/>
      <c r="J64" s="38"/>
      <c r="K64" s="38"/>
      <c r="L64" s="9"/>
    </row>
    <row r="65" spans="2:12" x14ac:dyDescent="0.5">
      <c r="B65" s="8"/>
      <c r="F65" s="9"/>
      <c r="H65" s="8"/>
      <c r="I65" s="38"/>
      <c r="J65" s="38"/>
      <c r="K65" s="38"/>
      <c r="L65" s="9"/>
    </row>
    <row r="66" spans="2:12" ht="14.7" customHeight="1" thickBot="1" x14ac:dyDescent="0.55000000000000004">
      <c r="B66" s="11"/>
      <c r="C66" s="12"/>
      <c r="D66" s="12"/>
      <c r="E66" s="12"/>
      <c r="F66" s="13"/>
      <c r="G66" s="12"/>
      <c r="H66" s="11"/>
      <c r="I66" s="12"/>
      <c r="J66" s="12"/>
      <c r="K66" s="12"/>
      <c r="L66" s="13"/>
    </row>
    <row r="67" spans="2:12" ht="14.7" customHeight="1" thickBot="1" x14ac:dyDescent="0.55000000000000004">
      <c r="B67" s="11"/>
      <c r="C67" s="12"/>
      <c r="L67" s="9"/>
    </row>
    <row r="68" spans="2:12" ht="14.7" customHeight="1" thickBot="1" x14ac:dyDescent="0.55000000000000004">
      <c r="B68" s="32" t="s">
        <v>41</v>
      </c>
      <c r="C68" s="33"/>
      <c r="L68" s="9"/>
    </row>
    <row r="69" spans="2:12" ht="14.7" customHeight="1" thickBot="1" x14ac:dyDescent="0.55000000000000004">
      <c r="B69" s="17" t="s">
        <v>42</v>
      </c>
      <c r="C69" s="19" t="s">
        <v>43</v>
      </c>
      <c r="L69" s="9"/>
    </row>
    <row r="70" spans="2:12" ht="14.7" customHeight="1" thickBot="1" x14ac:dyDescent="0.55000000000000004">
      <c r="B70" s="11">
        <f>C108</f>
        <v>3879510.0670281909</v>
      </c>
      <c r="C70" s="13">
        <f>D108</f>
        <v>96987751.675704777</v>
      </c>
      <c r="D70" s="12"/>
      <c r="E70" s="12"/>
      <c r="F70" s="12"/>
      <c r="G70" s="12"/>
      <c r="H70" s="12"/>
      <c r="I70" s="12"/>
      <c r="J70" s="12"/>
      <c r="K70" s="12"/>
      <c r="L70" s="13"/>
    </row>
    <row r="71" spans="2:12" ht="14.7" customHeight="1" thickBot="1" x14ac:dyDescent="0.55000000000000004"/>
    <row r="72" spans="2:12" ht="14.7" customHeight="1" thickBot="1" x14ac:dyDescent="0.55000000000000004">
      <c r="B72" s="29" t="s">
        <v>44</v>
      </c>
      <c r="C72" s="30"/>
      <c r="D72" s="30"/>
      <c r="E72" s="30"/>
      <c r="F72" s="31"/>
    </row>
    <row r="73" spans="2:12" ht="14.7" customHeight="1" thickBot="1" x14ac:dyDescent="0.55000000000000004">
      <c r="B73" s="29" t="s">
        <v>45</v>
      </c>
      <c r="C73" s="30"/>
      <c r="D73" s="30"/>
      <c r="E73" s="30"/>
      <c r="F73" s="31"/>
    </row>
    <row r="74" spans="2:12" ht="14.7" customHeight="1" thickBot="1" x14ac:dyDescent="0.55000000000000004">
      <c r="B74" s="24" t="s">
        <v>46</v>
      </c>
      <c r="C74" s="18" t="s">
        <v>4</v>
      </c>
      <c r="D74" s="18" t="s">
        <v>5</v>
      </c>
      <c r="E74" s="18" t="s">
        <v>6</v>
      </c>
      <c r="F74" s="19" t="s">
        <v>7</v>
      </c>
    </row>
    <row r="75" spans="2:12" x14ac:dyDescent="0.5">
      <c r="B75" s="23" t="s">
        <v>9</v>
      </c>
      <c r="C75">
        <v>19157.163470791991</v>
      </c>
      <c r="D75">
        <v>44700</v>
      </c>
      <c r="E75">
        <f>C75+D75</f>
        <v>63857.163470791987</v>
      </c>
      <c r="F75" s="9">
        <f>E75*25</f>
        <v>1596429.0867697997</v>
      </c>
    </row>
    <row r="76" spans="2:12" x14ac:dyDescent="0.5">
      <c r="B76" s="3" t="s">
        <v>10</v>
      </c>
      <c r="C76">
        <v>0</v>
      </c>
      <c r="D76">
        <v>0</v>
      </c>
      <c r="E76">
        <f>C76+D76</f>
        <v>0</v>
      </c>
      <c r="F76" s="9">
        <f>E76*25</f>
        <v>0</v>
      </c>
    </row>
    <row r="77" spans="2:12" x14ac:dyDescent="0.5">
      <c r="B77" s="3" t="s">
        <v>14</v>
      </c>
      <c r="C77">
        <v>0</v>
      </c>
      <c r="D77">
        <v>0</v>
      </c>
      <c r="E77">
        <f>C77+D77</f>
        <v>0</v>
      </c>
      <c r="F77" s="9">
        <f>E77*25</f>
        <v>0</v>
      </c>
    </row>
    <row r="78" spans="2:12" x14ac:dyDescent="0.5">
      <c r="B78" s="3" t="s">
        <v>47</v>
      </c>
      <c r="C78">
        <v>0</v>
      </c>
      <c r="D78">
        <v>0</v>
      </c>
      <c r="E78">
        <f>C78+D78</f>
        <v>0</v>
      </c>
      <c r="F78" s="9">
        <f>E78*25</f>
        <v>0</v>
      </c>
    </row>
    <row r="79" spans="2:12" ht="14.7" customHeight="1" thickBot="1" x14ac:dyDescent="0.55000000000000004">
      <c r="B79" s="16" t="s">
        <v>48</v>
      </c>
      <c r="C79" s="12"/>
      <c r="D79" s="12"/>
      <c r="E79">
        <f>C79+D79</f>
        <v>0</v>
      </c>
      <c r="F79" s="9">
        <f>E79*25</f>
        <v>0</v>
      </c>
    </row>
    <row r="80" spans="2:12" ht="14.7" customHeight="1" thickBot="1" x14ac:dyDescent="0.55000000000000004">
      <c r="B80" s="17" t="s">
        <v>49</v>
      </c>
      <c r="C80" s="18" t="s">
        <v>4</v>
      </c>
      <c r="D80" s="18" t="s">
        <v>5</v>
      </c>
      <c r="E80" s="18" t="s">
        <v>6</v>
      </c>
      <c r="F80" s="19" t="s">
        <v>7</v>
      </c>
    </row>
    <row r="81" spans="2:6" x14ac:dyDescent="0.5">
      <c r="B81" s="23" t="s">
        <v>18</v>
      </c>
      <c r="C81">
        <v>35661.603181496277</v>
      </c>
      <c r="D81">
        <v>44442.239999999998</v>
      </c>
      <c r="E81">
        <f>C81+D81</f>
        <v>80103.843181496282</v>
      </c>
      <c r="F81" s="9">
        <f>E81*25</f>
        <v>2002596.079537407</v>
      </c>
    </row>
    <row r="82" spans="2:6" ht="14.7" customHeight="1" thickBot="1" x14ac:dyDescent="0.55000000000000004">
      <c r="B82" s="16" t="s">
        <v>50</v>
      </c>
      <c r="C82" s="12"/>
      <c r="D82" s="12"/>
      <c r="E82">
        <f>C82+D82</f>
        <v>0</v>
      </c>
      <c r="F82" s="9">
        <f>E82*25</f>
        <v>0</v>
      </c>
    </row>
    <row r="83" spans="2:6" ht="14.7" customHeight="1" thickBot="1" x14ac:dyDescent="0.55000000000000004">
      <c r="B83" s="17"/>
      <c r="C83" s="18" t="s">
        <v>4</v>
      </c>
      <c r="D83" s="18" t="s">
        <v>5</v>
      </c>
      <c r="E83" s="18" t="s">
        <v>6</v>
      </c>
      <c r="F83" s="19" t="s">
        <v>7</v>
      </c>
    </row>
    <row r="84" spans="2:6" ht="14.7" customHeight="1" thickBot="1" x14ac:dyDescent="0.55000000000000004">
      <c r="B84" s="24" t="s">
        <v>22</v>
      </c>
      <c r="C84" s="12">
        <v>54818.766652288257</v>
      </c>
      <c r="D84" s="12">
        <v>3192304.1165015609</v>
      </c>
      <c r="E84" s="12">
        <v>3247122.8831538502</v>
      </c>
      <c r="F84" s="13">
        <f>E84*25</f>
        <v>81178072.078846261</v>
      </c>
    </row>
    <row r="85" spans="2:6" ht="14.7" customHeight="1" thickBot="1" x14ac:dyDescent="0.55000000000000004">
      <c r="B85" s="8"/>
      <c r="F85" s="9"/>
    </row>
    <row r="86" spans="2:6" ht="14.7" customHeight="1" thickBot="1" x14ac:dyDescent="0.55000000000000004">
      <c r="B86" s="29" t="s">
        <v>46</v>
      </c>
      <c r="C86" s="30"/>
      <c r="D86" s="31"/>
      <c r="F86" s="9"/>
    </row>
    <row r="87" spans="2:6" ht="14.7" customHeight="1" thickBot="1" x14ac:dyDescent="0.55000000000000004">
      <c r="B87" s="24" t="s">
        <v>23</v>
      </c>
      <c r="C87" s="18" t="s">
        <v>24</v>
      </c>
      <c r="D87" s="19" t="s">
        <v>25</v>
      </c>
      <c r="F87" s="9"/>
    </row>
    <row r="88" spans="2:6" x14ac:dyDescent="0.5">
      <c r="B88" s="23" t="s">
        <v>9</v>
      </c>
      <c r="C88">
        <v>3</v>
      </c>
      <c r="D88" s="9">
        <v>300</v>
      </c>
      <c r="F88" s="9"/>
    </row>
    <row r="89" spans="2:6" x14ac:dyDescent="0.5">
      <c r="B89" s="3" t="s">
        <v>10</v>
      </c>
      <c r="C89">
        <v>0</v>
      </c>
      <c r="D89" s="9">
        <v>0</v>
      </c>
      <c r="F89" s="9"/>
    </row>
    <row r="90" spans="2:6" x14ac:dyDescent="0.5">
      <c r="B90" s="3" t="s">
        <v>14</v>
      </c>
      <c r="C90">
        <v>0</v>
      </c>
      <c r="D90" s="9">
        <v>0</v>
      </c>
      <c r="F90" s="9"/>
    </row>
    <row r="91" spans="2:6" x14ac:dyDescent="0.5">
      <c r="B91" s="3" t="s">
        <v>47</v>
      </c>
      <c r="C91">
        <v>0</v>
      </c>
      <c r="D91" s="9">
        <v>0</v>
      </c>
      <c r="F91" s="9"/>
    </row>
    <row r="92" spans="2:6" ht="14.7" customHeight="1" thickBot="1" x14ac:dyDescent="0.55000000000000004">
      <c r="B92" s="16" t="s">
        <v>26</v>
      </c>
      <c r="C92" s="12">
        <v>3</v>
      </c>
      <c r="D92" s="13">
        <v>300</v>
      </c>
      <c r="F92" s="9"/>
    </row>
    <row r="93" spans="2:6" ht="14.7" customHeight="1" thickBot="1" x14ac:dyDescent="0.55000000000000004">
      <c r="B93" s="8"/>
      <c r="F93" s="9"/>
    </row>
    <row r="94" spans="2:6" ht="14.7" customHeight="1" thickBot="1" x14ac:dyDescent="0.55000000000000004">
      <c r="B94" s="29" t="s">
        <v>51</v>
      </c>
      <c r="C94" s="30"/>
      <c r="D94" s="31"/>
      <c r="F94" s="9"/>
    </row>
    <row r="95" spans="2:6" ht="14.7" customHeight="1" thickBot="1" x14ac:dyDescent="0.55000000000000004">
      <c r="B95" s="17" t="s">
        <v>23</v>
      </c>
      <c r="C95" s="18" t="s">
        <v>24</v>
      </c>
      <c r="D95" s="19" t="s">
        <v>25</v>
      </c>
      <c r="F95" s="9"/>
    </row>
    <row r="96" spans="2:6" ht="14.7" customHeight="1" thickBot="1" x14ac:dyDescent="0.55000000000000004">
      <c r="B96" s="24" t="s">
        <v>18</v>
      </c>
      <c r="C96" s="12">
        <v>158</v>
      </c>
      <c r="D96" s="13">
        <v>2777.64</v>
      </c>
      <c r="F96" s="9"/>
    </row>
    <row r="97" spans="2:6" ht="14.7" customHeight="1" thickBot="1" x14ac:dyDescent="0.55000000000000004">
      <c r="B97" s="8"/>
      <c r="F97" s="9"/>
    </row>
    <row r="98" spans="2:6" ht="14.7" customHeight="1" thickBot="1" x14ac:dyDescent="0.55000000000000004">
      <c r="B98" s="29" t="s">
        <v>52</v>
      </c>
      <c r="C98" s="30"/>
      <c r="D98" s="31"/>
      <c r="F98" s="9"/>
    </row>
    <row r="99" spans="2:6" ht="14.7" customHeight="1" thickBot="1" x14ac:dyDescent="0.55000000000000004">
      <c r="B99" s="17" t="s">
        <v>53</v>
      </c>
      <c r="C99" s="18" t="s">
        <v>54</v>
      </c>
      <c r="D99" s="19" t="s">
        <v>55</v>
      </c>
      <c r="F99" s="9"/>
    </row>
    <row r="100" spans="2:6" x14ac:dyDescent="0.5">
      <c r="B100" s="23" t="s">
        <v>56</v>
      </c>
      <c r="C100">
        <v>465526.31578947289</v>
      </c>
      <c r="D100" s="9">
        <f>C100*25</f>
        <v>11638157.894736823</v>
      </c>
      <c r="F100" s="9"/>
    </row>
    <row r="101" spans="2:6" x14ac:dyDescent="0.5">
      <c r="B101" s="3" t="s">
        <v>57</v>
      </c>
      <c r="C101">
        <v>1021730.754184915</v>
      </c>
      <c r="D101" s="9">
        <f>C101*25</f>
        <v>25543268.854622874</v>
      </c>
      <c r="F101" s="9"/>
    </row>
    <row r="102" spans="2:6" ht="14.7" customHeight="1" thickBot="1" x14ac:dyDescent="0.55000000000000004">
      <c r="B102" s="16" t="s">
        <v>26</v>
      </c>
      <c r="C102" s="12">
        <f>C100+C101</f>
        <v>1487257.069974388</v>
      </c>
      <c r="D102" s="13">
        <f>C102*25</f>
        <v>37181426.749359697</v>
      </c>
      <c r="F102" s="9"/>
    </row>
    <row r="103" spans="2:6" ht="14.7" customHeight="1" thickBot="1" x14ac:dyDescent="0.55000000000000004">
      <c r="B103" s="8"/>
      <c r="F103" s="9"/>
    </row>
    <row r="104" spans="2:6" ht="14.7" customHeight="1" thickBot="1" x14ac:dyDescent="0.55000000000000004">
      <c r="B104" s="29" t="s">
        <v>58</v>
      </c>
      <c r="C104" s="30"/>
      <c r="D104" s="31"/>
      <c r="F104" s="9"/>
    </row>
    <row r="105" spans="2:6" ht="14.7" customHeight="1" thickBot="1" x14ac:dyDescent="0.55000000000000004">
      <c r="B105" s="17" t="s">
        <v>53</v>
      </c>
      <c r="C105" s="18" t="s">
        <v>59</v>
      </c>
      <c r="D105" s="22" t="s">
        <v>60</v>
      </c>
      <c r="F105" s="9"/>
    </row>
    <row r="106" spans="2:6" x14ac:dyDescent="0.5">
      <c r="B106" s="23" t="s">
        <v>56</v>
      </c>
      <c r="C106">
        <f>2.6085*C100</f>
        <v>1214325.3947368399</v>
      </c>
      <c r="D106" s="9">
        <f>C106*25</f>
        <v>30358134.868420999</v>
      </c>
      <c r="F106" s="9"/>
    </row>
    <row r="107" spans="2:6" x14ac:dyDescent="0.5">
      <c r="B107" s="3" t="s">
        <v>57</v>
      </c>
      <c r="C107">
        <f>2.6085*C101</f>
        <v>2665184.6722913506</v>
      </c>
      <c r="D107" s="9">
        <f>C107*25</f>
        <v>66629616.807283767</v>
      </c>
      <c r="F107" s="9"/>
    </row>
    <row r="108" spans="2:6" ht="14.7" customHeight="1" thickBot="1" x14ac:dyDescent="0.55000000000000004">
      <c r="B108" s="16" t="s">
        <v>26</v>
      </c>
      <c r="C108" s="12">
        <f>2.6085*C102</f>
        <v>3879510.0670281909</v>
      </c>
      <c r="D108" s="13">
        <f>C108*25</f>
        <v>96987751.675704777</v>
      </c>
      <c r="E108" s="12"/>
      <c r="F108" s="13"/>
    </row>
  </sheetData>
  <mergeCells count="30">
    <mergeCell ref="H36:J36"/>
    <mergeCell ref="B72:F72"/>
    <mergeCell ref="H63:I63"/>
    <mergeCell ref="B104:D104"/>
    <mergeCell ref="B73:F73"/>
    <mergeCell ref="B36:D36"/>
    <mergeCell ref="B94:D94"/>
    <mergeCell ref="B50:D50"/>
    <mergeCell ref="B68:C68"/>
    <mergeCell ref="B64:C64"/>
    <mergeCell ref="B60:C60"/>
    <mergeCell ref="B55:D55"/>
    <mergeCell ref="B47:C47"/>
    <mergeCell ref="B98:D98"/>
    <mergeCell ref="B5:L5"/>
    <mergeCell ref="B63:C63"/>
    <mergeCell ref="B43:D43"/>
    <mergeCell ref="H25:J25"/>
    <mergeCell ref="B86:D86"/>
    <mergeCell ref="H6:L6"/>
    <mergeCell ref="H64:I64"/>
    <mergeCell ref="H60:I60"/>
    <mergeCell ref="H47:I47"/>
    <mergeCell ref="B25:D25"/>
    <mergeCell ref="H43:J43"/>
    <mergeCell ref="B6:F6"/>
    <mergeCell ref="B33:C33"/>
    <mergeCell ref="H50:J50"/>
    <mergeCell ref="H55:J55"/>
    <mergeCell ref="H33:I33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37"/>
  <dimension ref="B4:N108"/>
  <sheetViews>
    <sheetView tabSelected="1" topLeftCell="A15" zoomScale="70" zoomScaleNormal="70" workbookViewId="0">
      <selection activeCell="M29" sqref="M29"/>
    </sheetView>
  </sheetViews>
  <sheetFormatPr defaultColWidth="39.234375" defaultRowHeight="14.35" x14ac:dyDescent="0.5"/>
  <cols>
    <col min="1" max="1" width="13.52734375" customWidth="1"/>
    <col min="2" max="2" width="15.234375" bestFit="1" customWidth="1"/>
    <col min="3" max="3" width="17.64453125" bestFit="1" customWidth="1"/>
    <col min="4" max="4" width="18.64453125" bestFit="1" customWidth="1"/>
    <col min="5" max="5" width="12.46875" bestFit="1" customWidth="1"/>
    <col min="6" max="6" width="13.5859375" bestFit="1" customWidth="1"/>
    <col min="7" max="7" width="12.46875" customWidth="1"/>
    <col min="8" max="8" width="15.234375" bestFit="1" customWidth="1"/>
    <col min="9" max="9" width="15.703125" bestFit="1" customWidth="1"/>
    <col min="10" max="10" width="13.5859375" bestFit="1" customWidth="1"/>
    <col min="11" max="11" width="12.46875" bestFit="1" customWidth="1"/>
    <col min="12" max="12" width="14.5859375" bestFit="1" customWidth="1"/>
    <col min="13" max="14" width="13.41015625" bestFit="1" customWidth="1"/>
    <col min="15" max="15" width="11.76171875" bestFit="1" customWidth="1"/>
  </cols>
  <sheetData>
    <row r="4" spans="2:14" ht="14.7" customHeight="1" thickBot="1" x14ac:dyDescent="0.55000000000000004"/>
    <row r="5" spans="2:14" ht="14.7" customHeight="1" thickBot="1" x14ac:dyDescent="0.55000000000000004">
      <c r="B5" s="29" t="s">
        <v>0</v>
      </c>
      <c r="C5" s="30"/>
      <c r="D5" s="30"/>
      <c r="E5" s="30"/>
      <c r="F5" s="30"/>
      <c r="G5" s="30"/>
      <c r="H5" s="30"/>
      <c r="I5" s="30"/>
      <c r="J5" s="30"/>
      <c r="K5" s="30"/>
      <c r="L5" s="31"/>
    </row>
    <row r="6" spans="2:14" ht="14.7" customHeight="1" thickBot="1" x14ac:dyDescent="0.55000000000000004">
      <c r="B6" s="29" t="s">
        <v>1</v>
      </c>
      <c r="C6" s="30"/>
      <c r="D6" s="30"/>
      <c r="E6" s="30"/>
      <c r="F6" s="31"/>
      <c r="H6" s="29" t="s">
        <v>2</v>
      </c>
      <c r="I6" s="30"/>
      <c r="J6" s="30"/>
      <c r="K6" s="30"/>
      <c r="L6" s="31"/>
    </row>
    <row r="7" spans="2:14" ht="14.7" customHeight="1" thickBot="1" x14ac:dyDescent="0.55000000000000004">
      <c r="B7" s="24" t="s">
        <v>3</v>
      </c>
      <c r="C7" s="18" t="s">
        <v>4</v>
      </c>
      <c r="D7" s="18" t="s">
        <v>5</v>
      </c>
      <c r="E7" s="18" t="s">
        <v>6</v>
      </c>
      <c r="F7" s="19" t="s">
        <v>7</v>
      </c>
      <c r="H7" s="24" t="s">
        <v>3</v>
      </c>
      <c r="I7" s="18" t="s">
        <v>4</v>
      </c>
      <c r="J7" s="18" t="s">
        <v>5</v>
      </c>
      <c r="K7" s="18" t="s">
        <v>6</v>
      </c>
      <c r="L7" s="19" t="s">
        <v>7</v>
      </c>
    </row>
    <row r="8" spans="2:14" x14ac:dyDescent="0.5">
      <c r="B8" s="3" t="s">
        <v>8</v>
      </c>
      <c r="C8" s="6">
        <f>13698 * D27*((0.05*((1.05)^25))/((1.05^25)-1))</f>
        <v>97190.676008484734</v>
      </c>
      <c r="D8" s="6">
        <f>29*D27</f>
        <v>2900</v>
      </c>
      <c r="E8" s="6">
        <f>C8+D8</f>
        <v>100090.67600848473</v>
      </c>
      <c r="F8" s="10">
        <f>E8*25</f>
        <v>2502266.9002121184</v>
      </c>
      <c r="H8" s="3" t="s">
        <v>9</v>
      </c>
      <c r="I8" s="39">
        <f>1615 * J27*((0.05*((1.05)^25))/((1.05^25)-1))</f>
        <v>126047.04039208143</v>
      </c>
      <c r="J8" s="39">
        <f>29*J27</f>
        <v>31900</v>
      </c>
      <c r="K8" s="39">
        <f>I8+J8</f>
        <v>157947.04039208143</v>
      </c>
      <c r="L8" s="10">
        <f>K8*25</f>
        <v>3948676.0098020355</v>
      </c>
    </row>
    <row r="9" spans="2:14" x14ac:dyDescent="0.5">
      <c r="B9" s="3" t="s">
        <v>10</v>
      </c>
      <c r="C9" s="6">
        <f>13698 * D28*((0.05*((1.05)^25))/((1.05^25)-1))</f>
        <v>971906.76008484734</v>
      </c>
      <c r="D9" s="6">
        <f>29*D28</f>
        <v>29000</v>
      </c>
      <c r="E9" s="6">
        <f>C9+D9</f>
        <v>1000906.7600848473</v>
      </c>
      <c r="F9" s="10">
        <f>E9*25</f>
        <v>25022669.002121184</v>
      </c>
      <c r="H9" s="3" t="s">
        <v>10</v>
      </c>
      <c r="I9" s="39">
        <f>1615 * J28*((0.05*((1.05)^25))/((1.05^25)-1))</f>
        <v>0</v>
      </c>
      <c r="J9" s="39">
        <f>29*J28</f>
        <v>0</v>
      </c>
      <c r="K9" s="39">
        <f>I9+J9</f>
        <v>0</v>
      </c>
      <c r="L9" s="10">
        <f>K9*25</f>
        <v>0</v>
      </c>
      <c r="M9" s="7"/>
      <c r="N9" s="6"/>
    </row>
    <row r="10" spans="2:14" x14ac:dyDescent="0.5">
      <c r="B10" s="3" t="s">
        <v>11</v>
      </c>
      <c r="C10" s="6">
        <f>13698 * D29*((0.05*((1.05)^25))/((1.05^25)-1))</f>
        <v>0</v>
      </c>
      <c r="D10" s="6">
        <f>29*D29</f>
        <v>0</v>
      </c>
      <c r="E10" s="6">
        <f>C10+D10</f>
        <v>0</v>
      </c>
      <c r="F10" s="10">
        <f>E10*25</f>
        <v>0</v>
      </c>
      <c r="H10" s="3" t="s">
        <v>11</v>
      </c>
      <c r="I10" s="39">
        <f>1615 * J29*((0.05*((1.05)^25))/((1.05^25)-1))</f>
        <v>0</v>
      </c>
      <c r="J10" s="39">
        <f>29*J29</f>
        <v>0</v>
      </c>
      <c r="K10" s="39">
        <f>I10+J10</f>
        <v>0</v>
      </c>
      <c r="L10" s="10">
        <f>K10*25</f>
        <v>0</v>
      </c>
      <c r="M10" s="7"/>
    </row>
    <row r="11" spans="2:14" ht="14.7" customHeight="1" thickBot="1" x14ac:dyDescent="0.55000000000000004">
      <c r="B11" s="16" t="s">
        <v>12</v>
      </c>
      <c r="C11" s="14">
        <f>13698 * D30*((0.05*((1.05)^25))/((1.05^25)-1))</f>
        <v>0</v>
      </c>
      <c r="D11" s="14">
        <f>29*D30</f>
        <v>0</v>
      </c>
      <c r="E11" s="14">
        <f>C11+D11</f>
        <v>0</v>
      </c>
      <c r="F11" s="15">
        <f>E11*25</f>
        <v>0</v>
      </c>
      <c r="H11" s="16" t="s">
        <v>12</v>
      </c>
      <c r="I11" s="14">
        <f>1615 * J30*((0.05*((1.05)^25))/((1.05^25)-1))</f>
        <v>0</v>
      </c>
      <c r="J11" s="14">
        <f>29*J30</f>
        <v>0</v>
      </c>
      <c r="K11" s="14">
        <f>I11+J11</f>
        <v>0</v>
      </c>
      <c r="L11" s="13">
        <f>K11*25</f>
        <v>0</v>
      </c>
    </row>
    <row r="12" spans="2:14" ht="14.7" customHeight="1" thickBot="1" x14ac:dyDescent="0.55000000000000004">
      <c r="B12" s="24" t="s">
        <v>13</v>
      </c>
      <c r="C12" s="18" t="s">
        <v>4</v>
      </c>
      <c r="D12" s="18" t="s">
        <v>5</v>
      </c>
      <c r="E12" s="18" t="s">
        <v>6</v>
      </c>
      <c r="F12" s="19" t="s">
        <v>7</v>
      </c>
      <c r="H12" s="24" t="s">
        <v>13</v>
      </c>
      <c r="I12" s="18" t="s">
        <v>4</v>
      </c>
      <c r="J12" s="18" t="s">
        <v>5</v>
      </c>
      <c r="K12" s="18" t="s">
        <v>6</v>
      </c>
      <c r="L12" s="19" t="s">
        <v>7</v>
      </c>
    </row>
    <row r="13" spans="2:14" x14ac:dyDescent="0.5">
      <c r="B13" s="3" t="s">
        <v>14</v>
      </c>
      <c r="C13" s="4">
        <f>2490 * D38*((0.05*((1.05)^10))/((1.05^10)-1))</f>
        <v>322466.39166398719</v>
      </c>
      <c r="D13" s="1">
        <f>37.35*D38</f>
        <v>37350</v>
      </c>
      <c r="E13">
        <f>C13+D13</f>
        <v>359816.39166398719</v>
      </c>
      <c r="F13" s="9">
        <f>E13*25</f>
        <v>8995409.7915996797</v>
      </c>
      <c r="H13" s="3" t="s">
        <v>14</v>
      </c>
      <c r="I13" s="4">
        <f>2490 * J38*((0.05*((1.05)^10))/((1.05^10)-1))</f>
        <v>322466.39166398719</v>
      </c>
      <c r="J13" s="1">
        <f>37.35*J38</f>
        <v>37350</v>
      </c>
      <c r="K13" s="39">
        <f>I13+J13</f>
        <v>359816.39166398719</v>
      </c>
      <c r="L13" s="10">
        <f>K13*25</f>
        <v>8995409.7915996797</v>
      </c>
    </row>
    <row r="14" spans="2:14" x14ac:dyDescent="0.5">
      <c r="B14" s="3" t="s">
        <v>15</v>
      </c>
      <c r="C14" s="4">
        <f>1570 * D39*((0.05*((1.05)^10))/((1.05^10)-1))</f>
        <v>0</v>
      </c>
      <c r="D14" s="1">
        <f>23.55*D39</f>
        <v>0</v>
      </c>
      <c r="E14">
        <f>C14+D14</f>
        <v>0</v>
      </c>
      <c r="F14" s="9">
        <f>E14*25</f>
        <v>0</v>
      </c>
      <c r="H14" s="3" t="s">
        <v>15</v>
      </c>
      <c r="I14" s="4">
        <f>1570 * J39*((0.05*((1.05)^10))/((1.05^10)-1))</f>
        <v>0</v>
      </c>
      <c r="J14" s="1">
        <f>23.55*J39</f>
        <v>0</v>
      </c>
      <c r="K14" s="38">
        <f>I14+J14</f>
        <v>0</v>
      </c>
      <c r="L14" s="10">
        <f>K14*25</f>
        <v>0</v>
      </c>
    </row>
    <row r="15" spans="2:14" ht="14.7" customHeight="1" thickBot="1" x14ac:dyDescent="0.55000000000000004">
      <c r="B15" s="16" t="s">
        <v>16</v>
      </c>
      <c r="C15" s="5">
        <f>1190 * D40*((0.05*((1.05)^10))/((1.05^10)-1))</f>
        <v>0</v>
      </c>
      <c r="D15" s="2">
        <f>17.85*D40</f>
        <v>0</v>
      </c>
      <c r="E15" s="12">
        <f>C15+D15</f>
        <v>0</v>
      </c>
      <c r="F15" s="13">
        <f>E15*25</f>
        <v>0</v>
      </c>
      <c r="H15" s="16" t="s">
        <v>16</v>
      </c>
      <c r="I15" s="5">
        <f>1190 * J40*((0.05*((1.05)^10))/((1.05^10)-1))</f>
        <v>0</v>
      </c>
      <c r="J15" s="2">
        <f>17.85*J40</f>
        <v>0</v>
      </c>
      <c r="K15" s="12">
        <f>I15+J15</f>
        <v>0</v>
      </c>
      <c r="L15" s="15">
        <f>K15*25</f>
        <v>0</v>
      </c>
    </row>
    <row r="16" spans="2:14" ht="14.7" customHeight="1" thickBot="1" x14ac:dyDescent="0.55000000000000004">
      <c r="B16" s="24" t="s">
        <v>17</v>
      </c>
      <c r="C16" s="18" t="s">
        <v>4</v>
      </c>
      <c r="D16" s="18" t="s">
        <v>5</v>
      </c>
      <c r="E16" s="18" t="s">
        <v>6</v>
      </c>
      <c r="F16" s="19" t="s">
        <v>7</v>
      </c>
      <c r="H16" s="24" t="s">
        <v>17</v>
      </c>
      <c r="I16" s="18" t="s">
        <v>4</v>
      </c>
      <c r="J16" s="18" t="s">
        <v>5</v>
      </c>
      <c r="K16" s="18" t="s">
        <v>6</v>
      </c>
      <c r="L16" s="19" t="s">
        <v>7</v>
      </c>
    </row>
    <row r="17" spans="2:14" ht="14.7" customHeight="1" thickBot="1" x14ac:dyDescent="0.55000000000000004">
      <c r="B17" s="16" t="s">
        <v>18</v>
      </c>
      <c r="C17" s="12">
        <v>14896.619050498441</v>
      </c>
      <c r="D17" s="12">
        <v>18564.48</v>
      </c>
      <c r="E17" s="12">
        <f>D17+C17</f>
        <v>33461.099050498437</v>
      </c>
      <c r="F17" s="13">
        <f>E17*25</f>
        <v>836527.47626246093</v>
      </c>
      <c r="H17" s="16" t="s">
        <v>18</v>
      </c>
      <c r="I17" s="12">
        <v>14896.619050498441</v>
      </c>
      <c r="J17" s="12">
        <v>18564.48</v>
      </c>
      <c r="K17" s="12">
        <f>J17+I17</f>
        <v>33461.099050498437</v>
      </c>
      <c r="L17" s="15">
        <f>K17*25</f>
        <v>836527.47626246093</v>
      </c>
    </row>
    <row r="18" spans="2:14" ht="14.7" customHeight="1" thickBot="1" x14ac:dyDescent="0.55000000000000004">
      <c r="B18" s="24" t="s">
        <v>19</v>
      </c>
      <c r="C18" s="18" t="s">
        <v>4</v>
      </c>
      <c r="D18" s="18" t="s">
        <v>5</v>
      </c>
      <c r="E18" s="18" t="s">
        <v>6</v>
      </c>
      <c r="F18" s="19" t="s">
        <v>7</v>
      </c>
      <c r="H18" s="24" t="s">
        <v>20</v>
      </c>
      <c r="I18" s="18" t="s">
        <v>4</v>
      </c>
      <c r="J18" s="18" t="s">
        <v>5</v>
      </c>
      <c r="K18" s="18" t="s">
        <v>6</v>
      </c>
      <c r="L18" s="19" t="s">
        <v>7</v>
      </c>
    </row>
    <row r="19" spans="2:14" ht="14.7" customHeight="1" thickBot="1" x14ac:dyDescent="0.55000000000000004">
      <c r="B19" s="11"/>
      <c r="C19" s="12">
        <f>C48*300*((0.05*((1.05)^20))/((1.05^20)-1))</f>
        <v>339666.87157819635</v>
      </c>
      <c r="D19" s="12">
        <v>0</v>
      </c>
      <c r="E19" s="12">
        <f>D19+C19</f>
        <v>339666.87157819635</v>
      </c>
      <c r="F19" s="13">
        <f>E19*25</f>
        <v>8491671.789454909</v>
      </c>
      <c r="H19" s="11"/>
      <c r="I19" s="14">
        <f>(I48/10)*3000*((0.05*((1.05)^20))/((1.05^20)-1))</f>
        <v>343277.78800177743</v>
      </c>
      <c r="J19" s="12">
        <v>0</v>
      </c>
      <c r="K19" s="12">
        <f>J19+I19</f>
        <v>343277.78800177743</v>
      </c>
      <c r="L19" s="15">
        <f>K19*25</f>
        <v>8581944.7000444364</v>
      </c>
    </row>
    <row r="20" spans="2:14" ht="14.7" customHeight="1" thickBot="1" x14ac:dyDescent="0.55000000000000004">
      <c r="B20" s="24" t="s">
        <v>21</v>
      </c>
      <c r="C20" s="18" t="s">
        <v>4</v>
      </c>
      <c r="D20" s="18" t="s">
        <v>5</v>
      </c>
      <c r="E20" s="18" t="s">
        <v>6</v>
      </c>
      <c r="F20" s="19" t="s">
        <v>7</v>
      </c>
      <c r="H20" s="24" t="s">
        <v>21</v>
      </c>
      <c r="I20" s="18" t="s">
        <v>4</v>
      </c>
      <c r="J20" s="18" t="s">
        <v>5</v>
      </c>
      <c r="K20" s="18" t="s">
        <v>6</v>
      </c>
      <c r="L20" s="19" t="s">
        <v>7</v>
      </c>
    </row>
    <row r="21" spans="2:14" ht="14.7" customHeight="1" thickBot="1" x14ac:dyDescent="0.55000000000000004">
      <c r="B21" s="11"/>
      <c r="C21" s="12">
        <v>0</v>
      </c>
      <c r="D21" s="12">
        <v>0</v>
      </c>
      <c r="E21" s="12">
        <f>C21+D21</f>
        <v>0</v>
      </c>
      <c r="F21" s="13">
        <f>E21*25</f>
        <v>0</v>
      </c>
      <c r="H21" s="11"/>
      <c r="I21" s="12">
        <v>271.70140022768072</v>
      </c>
      <c r="J21" s="12">
        <v>38</v>
      </c>
      <c r="K21" s="12">
        <f>J21+I21</f>
        <v>309.70140022768072</v>
      </c>
      <c r="L21" s="13">
        <f>K21*25</f>
        <v>7742.5350056920179</v>
      </c>
    </row>
    <row r="22" spans="2:14" ht="14.7" customHeight="1" thickBot="1" x14ac:dyDescent="0.55000000000000004">
      <c r="B22" s="17"/>
      <c r="C22" s="18" t="s">
        <v>4</v>
      </c>
      <c r="D22" s="18" t="s">
        <v>5</v>
      </c>
      <c r="E22" s="18" t="s">
        <v>6</v>
      </c>
      <c r="F22" s="19" t="s">
        <v>7</v>
      </c>
      <c r="H22" s="17"/>
      <c r="I22" s="18" t="s">
        <v>4</v>
      </c>
      <c r="J22" s="18" t="s">
        <v>5</v>
      </c>
      <c r="K22" s="18" t="s">
        <v>6</v>
      </c>
      <c r="L22" s="19" t="s">
        <v>7</v>
      </c>
    </row>
    <row r="23" spans="2:14" ht="14.7" customHeight="1" thickBot="1" x14ac:dyDescent="0.55000000000000004">
      <c r="B23" s="24" t="s">
        <v>22</v>
      </c>
      <c r="C23" s="12">
        <v>1747090.2294323021</v>
      </c>
      <c r="D23" s="12">
        <v>87814.48</v>
      </c>
      <c r="E23" s="25">
        <v>1834904.709432302</v>
      </c>
      <c r="F23" s="13">
        <f>D23*25</f>
        <v>2195362</v>
      </c>
      <c r="H23" s="24" t="s">
        <v>22</v>
      </c>
      <c r="I23" s="14">
        <v>806959.54050857178</v>
      </c>
      <c r="J23" s="14">
        <v>87852.479999999996</v>
      </c>
      <c r="K23" s="14">
        <v>4062917.2247025901</v>
      </c>
      <c r="L23" s="15">
        <f>K23*25</f>
        <v>101572930.61756475</v>
      </c>
      <c r="M23" s="6"/>
    </row>
    <row r="24" spans="2:14" ht="14.7" customHeight="1" thickBot="1" x14ac:dyDescent="0.55000000000000004">
      <c r="B24" s="8"/>
      <c r="F24" s="9"/>
      <c r="H24" s="8"/>
      <c r="I24" s="39"/>
      <c r="J24" s="39"/>
      <c r="K24" s="39"/>
      <c r="L24" s="10"/>
      <c r="M24" s="6"/>
      <c r="N24" s="7"/>
    </row>
    <row r="25" spans="2:14" ht="14.7" customHeight="1" thickBot="1" x14ac:dyDescent="0.55000000000000004">
      <c r="B25" s="29" t="s">
        <v>3</v>
      </c>
      <c r="C25" s="30"/>
      <c r="D25" s="31"/>
      <c r="F25" s="9"/>
      <c r="H25" s="29" t="s">
        <v>3</v>
      </c>
      <c r="I25" s="30"/>
      <c r="J25" s="31"/>
      <c r="K25" s="38"/>
      <c r="L25" s="10"/>
      <c r="M25" s="6"/>
    </row>
    <row r="26" spans="2:14" ht="14.7" customHeight="1" thickBot="1" x14ac:dyDescent="0.55000000000000004">
      <c r="B26" s="17" t="s">
        <v>23</v>
      </c>
      <c r="C26" s="18" t="s">
        <v>24</v>
      </c>
      <c r="D26" s="19" t="s">
        <v>25</v>
      </c>
      <c r="F26" s="9"/>
      <c r="H26" s="17" t="s">
        <v>23</v>
      </c>
      <c r="I26" s="18" t="s">
        <v>24</v>
      </c>
      <c r="J26" s="19" t="s">
        <v>25</v>
      </c>
      <c r="K26" s="38"/>
      <c r="L26" s="10"/>
      <c r="M26" s="6"/>
    </row>
    <row r="27" spans="2:14" x14ac:dyDescent="0.5">
      <c r="B27" s="23" t="s">
        <v>9</v>
      </c>
      <c r="C27">
        <v>1</v>
      </c>
      <c r="D27" s="9">
        <v>100</v>
      </c>
      <c r="F27" s="9"/>
      <c r="H27" s="8" t="s">
        <v>9</v>
      </c>
      <c r="I27" s="38">
        <v>11</v>
      </c>
      <c r="J27" s="9">
        <v>1100</v>
      </c>
      <c r="K27" s="38"/>
      <c r="L27" s="9"/>
    </row>
    <row r="28" spans="2:14" x14ac:dyDescent="0.5">
      <c r="B28" s="3" t="s">
        <v>10</v>
      </c>
      <c r="C28">
        <v>2</v>
      </c>
      <c r="D28" s="9">
        <v>1000</v>
      </c>
      <c r="F28" s="9"/>
      <c r="H28" s="8" t="s">
        <v>10</v>
      </c>
      <c r="I28" s="38">
        <v>0</v>
      </c>
      <c r="J28" s="9">
        <v>0</v>
      </c>
      <c r="K28" s="38"/>
      <c r="L28" s="9"/>
    </row>
    <row r="29" spans="2:14" x14ac:dyDescent="0.5">
      <c r="B29" s="3" t="s">
        <v>11</v>
      </c>
      <c r="C29">
        <v>0</v>
      </c>
      <c r="D29" s="9">
        <v>0</v>
      </c>
      <c r="F29" s="9"/>
      <c r="H29" s="8" t="s">
        <v>11</v>
      </c>
      <c r="I29" s="38">
        <v>0</v>
      </c>
      <c r="J29" s="9">
        <v>0</v>
      </c>
      <c r="K29" s="38"/>
      <c r="L29" s="9"/>
    </row>
    <row r="30" spans="2:14" x14ac:dyDescent="0.5">
      <c r="B30" s="3" t="s">
        <v>12</v>
      </c>
      <c r="C30">
        <v>0</v>
      </c>
      <c r="D30" s="9">
        <v>0</v>
      </c>
      <c r="F30" s="9"/>
      <c r="H30" s="8" t="s">
        <v>12</v>
      </c>
      <c r="I30" s="38">
        <v>0</v>
      </c>
      <c r="J30" s="9">
        <v>0</v>
      </c>
      <c r="K30" s="38"/>
      <c r="L30" s="9"/>
    </row>
    <row r="31" spans="2:14" ht="14.7" customHeight="1" thickBot="1" x14ac:dyDescent="0.55000000000000004">
      <c r="B31" s="16" t="s">
        <v>26</v>
      </c>
      <c r="C31" s="12">
        <v>3</v>
      </c>
      <c r="D31" s="13">
        <v>1100</v>
      </c>
      <c r="F31" s="9"/>
      <c r="H31" s="11" t="s">
        <v>26</v>
      </c>
      <c r="I31" s="12">
        <v>11</v>
      </c>
      <c r="J31" s="13">
        <v>1100</v>
      </c>
      <c r="K31" s="38"/>
      <c r="L31" s="9"/>
    </row>
    <row r="32" spans="2:14" ht="14.7" customHeight="1" thickBot="1" x14ac:dyDescent="0.55000000000000004">
      <c r="B32" s="8"/>
      <c r="F32" s="9"/>
      <c r="H32" s="8"/>
      <c r="I32" s="38"/>
      <c r="J32" s="38"/>
      <c r="K32" s="38"/>
      <c r="L32" s="9"/>
    </row>
    <row r="33" spans="2:12" ht="14.7" customHeight="1" thickBot="1" x14ac:dyDescent="0.55000000000000004">
      <c r="B33" s="29" t="s">
        <v>21</v>
      </c>
      <c r="C33" s="31"/>
      <c r="F33" s="9"/>
      <c r="H33" s="29" t="s">
        <v>21</v>
      </c>
      <c r="I33" s="31"/>
      <c r="J33" s="38"/>
      <c r="K33" s="38"/>
      <c r="L33" s="9"/>
    </row>
    <row r="34" spans="2:12" ht="14.7" customHeight="1" thickBot="1" x14ac:dyDescent="0.55000000000000004">
      <c r="B34" s="24" t="s">
        <v>25</v>
      </c>
      <c r="C34" s="13">
        <v>0</v>
      </c>
      <c r="F34" s="9"/>
      <c r="H34" s="24" t="s">
        <v>25</v>
      </c>
      <c r="I34" s="13">
        <v>2</v>
      </c>
      <c r="J34" s="38"/>
      <c r="K34" s="38"/>
      <c r="L34" s="9"/>
    </row>
    <row r="35" spans="2:12" ht="14.7" customHeight="1" thickBot="1" x14ac:dyDescent="0.55000000000000004">
      <c r="B35" s="8"/>
      <c r="F35" s="9"/>
      <c r="H35" s="8"/>
      <c r="I35" s="38"/>
      <c r="J35" s="38"/>
      <c r="K35" s="38"/>
      <c r="L35" s="9"/>
    </row>
    <row r="36" spans="2:12" ht="14.7" customHeight="1" thickBot="1" x14ac:dyDescent="0.55000000000000004">
      <c r="B36" s="29" t="s">
        <v>13</v>
      </c>
      <c r="C36" s="30"/>
      <c r="D36" s="31"/>
      <c r="F36" s="9"/>
      <c r="H36" s="29" t="s">
        <v>13</v>
      </c>
      <c r="I36" s="30"/>
      <c r="J36" s="31"/>
      <c r="K36" s="38"/>
      <c r="L36" s="9"/>
    </row>
    <row r="37" spans="2:12" ht="14.7" customHeight="1" thickBot="1" x14ac:dyDescent="0.55000000000000004">
      <c r="B37" s="24" t="s">
        <v>23</v>
      </c>
      <c r="C37" s="18" t="s">
        <v>24</v>
      </c>
      <c r="D37" s="19" t="s">
        <v>25</v>
      </c>
      <c r="F37" s="9"/>
      <c r="H37" s="17" t="s">
        <v>23</v>
      </c>
      <c r="I37" s="18" t="s">
        <v>24</v>
      </c>
      <c r="J37" s="19" t="s">
        <v>25</v>
      </c>
      <c r="K37" s="38"/>
      <c r="L37" s="9"/>
    </row>
    <row r="38" spans="2:12" x14ac:dyDescent="0.5">
      <c r="B38" s="23" t="s">
        <v>14</v>
      </c>
      <c r="C38">
        <v>1</v>
      </c>
      <c r="D38" s="9">
        <v>1000</v>
      </c>
      <c r="F38" s="9"/>
      <c r="H38" s="23" t="s">
        <v>14</v>
      </c>
      <c r="I38" s="38">
        <v>1</v>
      </c>
      <c r="J38" s="9">
        <v>1000</v>
      </c>
      <c r="K38" s="38"/>
      <c r="L38" s="9"/>
    </row>
    <row r="39" spans="2:12" x14ac:dyDescent="0.5">
      <c r="B39" s="3" t="s">
        <v>15</v>
      </c>
      <c r="C39">
        <v>0</v>
      </c>
      <c r="D39" s="9">
        <v>0</v>
      </c>
      <c r="F39" s="9"/>
      <c r="H39" s="3" t="s">
        <v>15</v>
      </c>
      <c r="I39" s="38">
        <v>0</v>
      </c>
      <c r="J39" s="9">
        <v>0</v>
      </c>
      <c r="K39" s="38"/>
      <c r="L39" s="9"/>
    </row>
    <row r="40" spans="2:12" x14ac:dyDescent="0.5">
      <c r="B40" s="3" t="s">
        <v>16</v>
      </c>
      <c r="C40">
        <v>0</v>
      </c>
      <c r="D40" s="9">
        <v>0</v>
      </c>
      <c r="F40" s="9"/>
      <c r="H40" s="3" t="s">
        <v>16</v>
      </c>
      <c r="I40" s="38">
        <v>0</v>
      </c>
      <c r="J40" s="9">
        <v>0</v>
      </c>
      <c r="K40" s="38"/>
      <c r="L40" s="9"/>
    </row>
    <row r="41" spans="2:12" ht="14.7" customHeight="1" thickBot="1" x14ac:dyDescent="0.55000000000000004">
      <c r="B41" s="16" t="s">
        <v>26</v>
      </c>
      <c r="C41" s="12">
        <v>1</v>
      </c>
      <c r="D41" s="13">
        <v>1000</v>
      </c>
      <c r="F41" s="9"/>
      <c r="H41" s="16" t="s">
        <v>26</v>
      </c>
      <c r="I41" s="12">
        <v>1</v>
      </c>
      <c r="J41" s="13">
        <v>1000</v>
      </c>
      <c r="K41" s="38"/>
      <c r="L41" s="9"/>
    </row>
    <row r="42" spans="2:12" ht="14.7" customHeight="1" thickBot="1" x14ac:dyDescent="0.55000000000000004">
      <c r="B42" s="8"/>
      <c r="F42" s="9"/>
      <c r="H42" s="8"/>
      <c r="I42" s="38"/>
      <c r="J42" s="38"/>
      <c r="K42" s="38"/>
      <c r="L42" s="9"/>
    </row>
    <row r="43" spans="2:12" ht="14.7" customHeight="1" thickBot="1" x14ac:dyDescent="0.55000000000000004">
      <c r="B43" s="29" t="s">
        <v>27</v>
      </c>
      <c r="C43" s="30"/>
      <c r="D43" s="31"/>
      <c r="F43" s="9"/>
      <c r="H43" s="29" t="s">
        <v>27</v>
      </c>
      <c r="I43" s="30"/>
      <c r="J43" s="31"/>
      <c r="K43" s="38"/>
      <c r="L43" s="9"/>
    </row>
    <row r="44" spans="2:12" ht="14.7" customHeight="1" thickBot="1" x14ac:dyDescent="0.55000000000000004">
      <c r="B44" s="24" t="s">
        <v>23</v>
      </c>
      <c r="C44" s="18" t="s">
        <v>24</v>
      </c>
      <c r="D44" s="19" t="s">
        <v>25</v>
      </c>
      <c r="F44" s="9"/>
      <c r="H44" s="17" t="s">
        <v>23</v>
      </c>
      <c r="I44" s="18" t="s">
        <v>24</v>
      </c>
      <c r="J44" s="19" t="s">
        <v>25</v>
      </c>
      <c r="K44" s="38"/>
      <c r="L44" s="9"/>
    </row>
    <row r="45" spans="2:12" ht="14.7" customHeight="1" thickBot="1" x14ac:dyDescent="0.55000000000000004">
      <c r="B45" s="24" t="s">
        <v>18</v>
      </c>
      <c r="C45" s="12">
        <v>66</v>
      </c>
      <c r="D45" s="13">
        <v>1160.28</v>
      </c>
      <c r="F45" s="9"/>
      <c r="H45" s="24" t="s">
        <v>18</v>
      </c>
      <c r="I45" s="12">
        <v>66</v>
      </c>
      <c r="J45" s="13">
        <v>1160.28</v>
      </c>
      <c r="K45" s="38"/>
      <c r="L45" s="9"/>
    </row>
    <row r="46" spans="2:12" ht="14.7" customHeight="1" thickBot="1" x14ac:dyDescent="0.55000000000000004">
      <c r="B46" s="8"/>
      <c r="F46" s="9"/>
      <c r="H46" s="8"/>
      <c r="I46" s="38"/>
      <c r="J46" s="38"/>
      <c r="K46" s="38"/>
      <c r="L46" s="9"/>
    </row>
    <row r="47" spans="2:12" ht="14.7" customHeight="1" thickBot="1" x14ac:dyDescent="0.55000000000000004">
      <c r="B47" s="29" t="s">
        <v>28</v>
      </c>
      <c r="C47" s="31"/>
      <c r="F47" s="9"/>
      <c r="H47" s="29" t="s">
        <v>28</v>
      </c>
      <c r="I47" s="31"/>
      <c r="J47" s="38"/>
      <c r="K47" s="38"/>
      <c r="L47" s="9"/>
    </row>
    <row r="48" spans="2:12" ht="14.7" customHeight="1" thickBot="1" x14ac:dyDescent="0.55000000000000004">
      <c r="B48" s="11" t="s">
        <v>29</v>
      </c>
      <c r="C48" s="13">
        <v>14110</v>
      </c>
      <c r="F48" s="9"/>
      <c r="H48" s="24" t="s">
        <v>29</v>
      </c>
      <c r="I48" s="13">
        <v>14260</v>
      </c>
      <c r="J48" s="38"/>
      <c r="K48" s="38"/>
      <c r="L48" s="9"/>
    </row>
    <row r="49" spans="2:12" ht="14.7" customHeight="1" thickBot="1" x14ac:dyDescent="0.55000000000000004">
      <c r="B49" s="8"/>
      <c r="F49" s="9"/>
      <c r="H49" s="8"/>
      <c r="I49" s="38"/>
      <c r="J49" s="38"/>
      <c r="K49" s="38"/>
      <c r="L49" s="9"/>
    </row>
    <row r="50" spans="2:12" ht="14.7" customHeight="1" thickBot="1" x14ac:dyDescent="0.55000000000000004">
      <c r="B50" s="29" t="s">
        <v>30</v>
      </c>
      <c r="C50" s="30"/>
      <c r="D50" s="31"/>
      <c r="F50" s="9"/>
      <c r="H50" s="35" t="s">
        <v>30</v>
      </c>
      <c r="I50" s="36"/>
      <c r="J50" s="37"/>
      <c r="K50" s="38"/>
      <c r="L50" s="9"/>
    </row>
    <row r="51" spans="2:12" ht="14.7" customHeight="1" thickBot="1" x14ac:dyDescent="0.55000000000000004">
      <c r="B51" s="11" t="s">
        <v>31</v>
      </c>
      <c r="C51" s="12" t="s">
        <v>32</v>
      </c>
      <c r="D51" s="13" t="s">
        <v>33</v>
      </c>
      <c r="F51" s="9"/>
      <c r="H51" s="24" t="s">
        <v>34</v>
      </c>
      <c r="I51" s="18" t="s">
        <v>61</v>
      </c>
      <c r="J51" s="21">
        <f>I52*25</f>
        <v>34516990.860438496</v>
      </c>
      <c r="K51" s="38"/>
      <c r="L51" s="9"/>
    </row>
    <row r="52" spans="2:12" ht="14.7" thickBot="1" x14ac:dyDescent="0.55000000000000004">
      <c r="B52" s="23" t="s">
        <v>34</v>
      </c>
      <c r="C52" s="26">
        <v>1549025.96184279</v>
      </c>
      <c r="D52" s="27">
        <f>C52*25</f>
        <v>38725649.046069749</v>
      </c>
      <c r="F52" s="9"/>
      <c r="H52" s="16" t="s">
        <v>35</v>
      </c>
      <c r="I52" s="40">
        <v>1380679.6344175399</v>
      </c>
      <c r="J52" s="27">
        <f>I52*25</f>
        <v>34516990.860438496</v>
      </c>
      <c r="K52" s="38"/>
      <c r="L52" s="9"/>
    </row>
    <row r="53" spans="2:12" ht="14.7" customHeight="1" thickBot="1" x14ac:dyDescent="0.55000000000000004">
      <c r="B53" s="16" t="s">
        <v>35</v>
      </c>
      <c r="C53" s="25">
        <v>796702.63368733507</v>
      </c>
      <c r="D53" s="28">
        <f>C53*25</f>
        <v>19917565.842183378</v>
      </c>
      <c r="F53" s="9"/>
      <c r="H53" s="16" t="s">
        <v>35</v>
      </c>
      <c r="I53" s="25">
        <v>776874.00108603004</v>
      </c>
      <c r="J53" s="28">
        <f>I53*25</f>
        <v>19421850.02715075</v>
      </c>
      <c r="K53" s="38"/>
      <c r="L53" s="9"/>
    </row>
    <row r="54" spans="2:12" ht="14.7" customHeight="1" thickBot="1" x14ac:dyDescent="0.55000000000000004">
      <c r="B54" s="8"/>
      <c r="F54" s="9"/>
      <c r="H54" s="8"/>
      <c r="I54" s="39"/>
      <c r="J54" s="39"/>
      <c r="K54" s="38"/>
      <c r="L54" s="9"/>
    </row>
    <row r="55" spans="2:12" ht="14.7" customHeight="1" thickBot="1" x14ac:dyDescent="0.55000000000000004">
      <c r="B55" s="29" t="s">
        <v>36</v>
      </c>
      <c r="C55" s="30"/>
      <c r="D55" s="31"/>
      <c r="F55" s="9"/>
      <c r="H55" s="35" t="s">
        <v>31</v>
      </c>
      <c r="I55" s="36"/>
      <c r="J55" s="37"/>
      <c r="K55" s="38"/>
      <c r="L55" s="9"/>
    </row>
    <row r="56" spans="2:12" ht="14.7" customHeight="1" thickBot="1" x14ac:dyDescent="0.55000000000000004">
      <c r="B56" s="11" t="s">
        <v>31</v>
      </c>
      <c r="C56" s="12" t="s">
        <v>32</v>
      </c>
      <c r="D56" s="13" t="s">
        <v>33</v>
      </c>
      <c r="F56" s="9"/>
      <c r="H56" s="23" t="s">
        <v>34</v>
      </c>
      <c r="I56" s="39">
        <v>374999.40687883802</v>
      </c>
      <c r="J56" s="10">
        <f>I56*25</f>
        <v>9374985.1719709504</v>
      </c>
      <c r="K56" s="38"/>
      <c r="L56" s="9"/>
    </row>
    <row r="57" spans="2:12" ht="14.7" thickBot="1" x14ac:dyDescent="0.55000000000000004">
      <c r="B57" s="23" t="s">
        <v>34</v>
      </c>
      <c r="C57">
        <v>420723.100747424</v>
      </c>
      <c r="D57" s="9">
        <f>C57*25</f>
        <v>10518077.5186856</v>
      </c>
      <c r="F57" s="9"/>
      <c r="H57" s="16" t="s">
        <v>35</v>
      </c>
      <c r="I57" s="14">
        <v>304481.46734298102</v>
      </c>
      <c r="J57" s="15">
        <f>I57*25</f>
        <v>7612036.6835745256</v>
      </c>
      <c r="K57" s="38"/>
      <c r="L57" s="9"/>
    </row>
    <row r="58" spans="2:12" ht="14.7" customHeight="1" thickBot="1" x14ac:dyDescent="0.55000000000000004">
      <c r="B58" s="16" t="s">
        <v>35</v>
      </c>
      <c r="C58" s="12">
        <v>309098.281392153</v>
      </c>
      <c r="D58" s="13">
        <f>C58*25</f>
        <v>7727457.0348038254</v>
      </c>
      <c r="F58" s="9"/>
      <c r="H58" s="8"/>
      <c r="I58" s="12"/>
      <c r="J58" s="38"/>
      <c r="K58" s="38"/>
      <c r="L58" s="9"/>
    </row>
    <row r="59" spans="2:12" ht="14.7" customHeight="1" thickBot="1" x14ac:dyDescent="0.55000000000000004">
      <c r="B59" s="8"/>
      <c r="F59" s="9"/>
      <c r="H59" s="8"/>
      <c r="I59" s="38"/>
      <c r="J59" s="38"/>
      <c r="K59" s="38"/>
      <c r="L59" s="9"/>
    </row>
    <row r="60" spans="2:12" ht="14.7" customHeight="1" thickBot="1" x14ac:dyDescent="0.55000000000000004">
      <c r="B60" s="29" t="s">
        <v>37</v>
      </c>
      <c r="C60" s="31"/>
      <c r="F60" s="9"/>
      <c r="H60" s="29" t="s">
        <v>38</v>
      </c>
      <c r="I60" s="31"/>
      <c r="J60" s="38"/>
      <c r="K60" s="38"/>
      <c r="L60" s="9"/>
    </row>
    <row r="61" spans="2:12" ht="14.7" customHeight="1" thickBot="1" x14ac:dyDescent="0.55000000000000004">
      <c r="B61" s="24" t="s">
        <v>39</v>
      </c>
      <c r="C61" s="13">
        <v>127279.70934988301</v>
      </c>
      <c r="F61" s="9"/>
      <c r="H61" s="24" t="s">
        <v>39</v>
      </c>
      <c r="I61" s="13">
        <v>128335.098828624</v>
      </c>
      <c r="J61" s="38"/>
      <c r="K61" s="38"/>
      <c r="L61" s="9"/>
    </row>
    <row r="62" spans="2:12" ht="14.7" customHeight="1" thickBot="1" x14ac:dyDescent="0.55000000000000004">
      <c r="B62" s="8"/>
      <c r="F62" s="9"/>
      <c r="H62" s="8"/>
      <c r="I62" s="38"/>
      <c r="J62" s="38"/>
      <c r="K62" s="38"/>
      <c r="L62" s="9"/>
    </row>
    <row r="63" spans="2:12" ht="14.7" customHeight="1" thickBot="1" x14ac:dyDescent="0.55000000000000004">
      <c r="B63" s="29" t="s">
        <v>40</v>
      </c>
      <c r="C63" s="31"/>
      <c r="F63" s="9"/>
      <c r="H63" s="29" t="s">
        <v>40</v>
      </c>
      <c r="I63" s="31"/>
      <c r="J63" s="38"/>
      <c r="K63" s="38"/>
      <c r="L63" s="9"/>
    </row>
    <row r="64" spans="2:12" ht="14.7" customHeight="1" thickBot="1" x14ac:dyDescent="0.55000000000000004">
      <c r="B64" s="29">
        <f>E23/B70</f>
        <v>1.1298740511709782</v>
      </c>
      <c r="C64" s="31"/>
      <c r="F64" s="9"/>
      <c r="H64" s="29">
        <f>K23/B70</f>
        <v>2.5018109772399768</v>
      </c>
      <c r="I64" s="31"/>
      <c r="J64" s="38"/>
      <c r="K64" s="38"/>
      <c r="L64" s="9"/>
    </row>
    <row r="65" spans="2:12" x14ac:dyDescent="0.5">
      <c r="B65" s="8"/>
      <c r="F65" s="9"/>
      <c r="H65" s="8"/>
      <c r="I65" s="38"/>
      <c r="J65" s="38"/>
      <c r="K65" s="38"/>
      <c r="L65" s="9"/>
    </row>
    <row r="66" spans="2:12" ht="14.7" customHeight="1" thickBot="1" x14ac:dyDescent="0.55000000000000004">
      <c r="B66" s="11"/>
      <c r="C66" s="12"/>
      <c r="D66" s="12"/>
      <c r="E66" s="12"/>
      <c r="F66" s="13"/>
      <c r="G66" s="12"/>
      <c r="H66" s="11"/>
      <c r="I66" s="12"/>
      <c r="J66" s="12"/>
      <c r="K66" s="12"/>
      <c r="L66" s="13"/>
    </row>
    <row r="67" spans="2:12" ht="14.7" customHeight="1" thickBot="1" x14ac:dyDescent="0.55000000000000004">
      <c r="B67" s="11"/>
      <c r="C67" s="12"/>
      <c r="L67" s="9"/>
    </row>
    <row r="68" spans="2:12" ht="14.7" customHeight="1" thickBot="1" x14ac:dyDescent="0.55000000000000004">
      <c r="B68" s="32" t="s">
        <v>41</v>
      </c>
      <c r="C68" s="33"/>
      <c r="L68" s="9"/>
    </row>
    <row r="69" spans="2:12" ht="14.7" customHeight="1" thickBot="1" x14ac:dyDescent="0.55000000000000004">
      <c r="B69" s="17" t="s">
        <v>42</v>
      </c>
      <c r="C69" s="19" t="s">
        <v>43</v>
      </c>
      <c r="L69" s="9"/>
    </row>
    <row r="70" spans="2:12" ht="14.7" customHeight="1" thickBot="1" x14ac:dyDescent="0.55000000000000004">
      <c r="B70" s="11">
        <f>C108</f>
        <v>1623990.4859578328</v>
      </c>
      <c r="C70" s="13">
        <f>D108</f>
        <v>40599762.148945816</v>
      </c>
      <c r="D70" s="12"/>
      <c r="E70" s="12"/>
      <c r="F70" s="12"/>
      <c r="G70" s="12"/>
      <c r="H70" s="12"/>
      <c r="I70" s="12"/>
      <c r="J70" s="12"/>
      <c r="K70" s="12"/>
      <c r="L70" s="13"/>
    </row>
    <row r="71" spans="2:12" ht="14.7" customHeight="1" thickBot="1" x14ac:dyDescent="0.55000000000000004"/>
    <row r="72" spans="2:12" ht="14.7" customHeight="1" thickBot="1" x14ac:dyDescent="0.55000000000000004">
      <c r="B72" s="29" t="s">
        <v>44</v>
      </c>
      <c r="C72" s="30"/>
      <c r="D72" s="30"/>
      <c r="E72" s="30"/>
      <c r="F72" s="31"/>
    </row>
    <row r="73" spans="2:12" ht="14.7" customHeight="1" thickBot="1" x14ac:dyDescent="0.55000000000000004">
      <c r="B73" s="29" t="s">
        <v>45</v>
      </c>
      <c r="C73" s="30"/>
      <c r="D73" s="30"/>
      <c r="E73" s="30"/>
      <c r="F73" s="31"/>
    </row>
    <row r="74" spans="2:12" ht="14.7" customHeight="1" thickBot="1" x14ac:dyDescent="0.55000000000000004">
      <c r="B74" s="24" t="s">
        <v>46</v>
      </c>
      <c r="C74" s="18" t="s">
        <v>4</v>
      </c>
      <c r="D74" s="18" t="s">
        <v>5</v>
      </c>
      <c r="E74" s="18" t="s">
        <v>6</v>
      </c>
      <c r="F74" s="19" t="s">
        <v>7</v>
      </c>
    </row>
    <row r="75" spans="2:12" x14ac:dyDescent="0.5">
      <c r="B75" s="23" t="s">
        <v>9</v>
      </c>
      <c r="C75">
        <v>12771.442313861329</v>
      </c>
      <c r="D75">
        <v>29800</v>
      </c>
      <c r="E75">
        <f>C75+D75</f>
        <v>42571.442313861327</v>
      </c>
      <c r="F75" s="9">
        <f>E75*25</f>
        <v>1064286.0578465331</v>
      </c>
    </row>
    <row r="76" spans="2:12" x14ac:dyDescent="0.5">
      <c r="B76" s="3" t="s">
        <v>10</v>
      </c>
      <c r="C76">
        <v>0</v>
      </c>
      <c r="D76">
        <v>0</v>
      </c>
      <c r="E76">
        <f>C76+D76</f>
        <v>0</v>
      </c>
      <c r="F76" s="9">
        <f>E76*25</f>
        <v>0</v>
      </c>
    </row>
    <row r="77" spans="2:12" x14ac:dyDescent="0.5">
      <c r="B77" s="3" t="s">
        <v>14</v>
      </c>
      <c r="C77">
        <v>0</v>
      </c>
      <c r="D77">
        <v>0</v>
      </c>
      <c r="E77">
        <f>C77+D77</f>
        <v>0</v>
      </c>
      <c r="F77" s="9">
        <f>E77*25</f>
        <v>0</v>
      </c>
    </row>
    <row r="78" spans="2:12" x14ac:dyDescent="0.5">
      <c r="B78" s="3" t="s">
        <v>47</v>
      </c>
      <c r="C78">
        <v>0</v>
      </c>
      <c r="D78">
        <v>0</v>
      </c>
      <c r="E78">
        <f>C78+D78</f>
        <v>0</v>
      </c>
      <c r="F78" s="9">
        <f>E78*25</f>
        <v>0</v>
      </c>
    </row>
    <row r="79" spans="2:12" ht="14.7" customHeight="1" thickBot="1" x14ac:dyDescent="0.55000000000000004">
      <c r="B79" s="16" t="s">
        <v>48</v>
      </c>
      <c r="C79" s="12"/>
      <c r="D79" s="12"/>
      <c r="E79">
        <f>C79+D79</f>
        <v>0</v>
      </c>
      <c r="F79" s="9">
        <f>E79*25</f>
        <v>0</v>
      </c>
    </row>
    <row r="80" spans="2:12" ht="14.7" customHeight="1" thickBot="1" x14ac:dyDescent="0.55000000000000004">
      <c r="B80" s="17" t="s">
        <v>49</v>
      </c>
      <c r="C80" s="18" t="s">
        <v>4</v>
      </c>
      <c r="D80" s="18" t="s">
        <v>5</v>
      </c>
      <c r="E80" s="18" t="s">
        <v>6</v>
      </c>
      <c r="F80" s="19" t="s">
        <v>7</v>
      </c>
    </row>
    <row r="81" spans="2:6" x14ac:dyDescent="0.5">
      <c r="B81" s="23" t="s">
        <v>18</v>
      </c>
      <c r="C81">
        <v>14896.619050498441</v>
      </c>
      <c r="D81">
        <v>18564.48</v>
      </c>
      <c r="E81">
        <f>C81+D81</f>
        <v>33461.099050498437</v>
      </c>
      <c r="F81" s="9">
        <f>E81*25</f>
        <v>836527.47626246093</v>
      </c>
    </row>
    <row r="82" spans="2:6" ht="14.7" customHeight="1" thickBot="1" x14ac:dyDescent="0.55000000000000004">
      <c r="B82" s="16" t="s">
        <v>50</v>
      </c>
      <c r="C82" s="12"/>
      <c r="D82" s="12"/>
      <c r="E82">
        <f>C82+D82</f>
        <v>0</v>
      </c>
      <c r="F82" s="9">
        <f>E82*25</f>
        <v>0</v>
      </c>
    </row>
    <row r="83" spans="2:6" ht="14.7" customHeight="1" thickBot="1" x14ac:dyDescent="0.55000000000000004">
      <c r="B83" s="17"/>
      <c r="C83" s="18" t="s">
        <v>4</v>
      </c>
      <c r="D83" s="18" t="s">
        <v>5</v>
      </c>
      <c r="E83" s="18" t="s">
        <v>6</v>
      </c>
      <c r="F83" s="19" t="s">
        <v>7</v>
      </c>
    </row>
    <row r="84" spans="2:6" ht="14.7" customHeight="1" thickBot="1" x14ac:dyDescent="0.55000000000000004">
      <c r="B84" s="24" t="s">
        <v>22</v>
      </c>
      <c r="C84" s="12">
        <v>27668.061364359772</v>
      </c>
      <c r="D84" s="12">
        <v>1347370.095852413</v>
      </c>
      <c r="E84" s="12">
        <v>1375038.157216772</v>
      </c>
      <c r="F84" s="13">
        <f>E84*25</f>
        <v>34375953.930419296</v>
      </c>
    </row>
    <row r="85" spans="2:6" ht="14.7" customHeight="1" thickBot="1" x14ac:dyDescent="0.55000000000000004">
      <c r="B85" s="8"/>
      <c r="F85" s="9"/>
    </row>
    <row r="86" spans="2:6" ht="14.7" customHeight="1" thickBot="1" x14ac:dyDescent="0.55000000000000004">
      <c r="B86" s="29" t="s">
        <v>46</v>
      </c>
      <c r="C86" s="30"/>
      <c r="D86" s="31"/>
      <c r="F86" s="9"/>
    </row>
    <row r="87" spans="2:6" ht="14.7" customHeight="1" thickBot="1" x14ac:dyDescent="0.55000000000000004">
      <c r="B87" s="24" t="s">
        <v>23</v>
      </c>
      <c r="C87" s="18" t="s">
        <v>24</v>
      </c>
      <c r="D87" s="19" t="s">
        <v>25</v>
      </c>
      <c r="F87" s="9"/>
    </row>
    <row r="88" spans="2:6" x14ac:dyDescent="0.5">
      <c r="B88" s="23" t="s">
        <v>9</v>
      </c>
      <c r="C88">
        <v>2</v>
      </c>
      <c r="D88" s="9">
        <v>200</v>
      </c>
      <c r="F88" s="9"/>
    </row>
    <row r="89" spans="2:6" x14ac:dyDescent="0.5">
      <c r="B89" s="3" t="s">
        <v>10</v>
      </c>
      <c r="C89">
        <v>0</v>
      </c>
      <c r="D89" s="9">
        <v>0</v>
      </c>
      <c r="F89" s="9"/>
    </row>
    <row r="90" spans="2:6" x14ac:dyDescent="0.5">
      <c r="B90" s="3" t="s">
        <v>14</v>
      </c>
      <c r="C90">
        <v>0</v>
      </c>
      <c r="D90" s="9">
        <v>0</v>
      </c>
      <c r="F90" s="9"/>
    </row>
    <row r="91" spans="2:6" x14ac:dyDescent="0.5">
      <c r="B91" s="3" t="s">
        <v>47</v>
      </c>
      <c r="C91">
        <v>0</v>
      </c>
      <c r="D91" s="9">
        <v>0</v>
      </c>
      <c r="F91" s="9"/>
    </row>
    <row r="92" spans="2:6" ht="14.7" customHeight="1" thickBot="1" x14ac:dyDescent="0.55000000000000004">
      <c r="B92" s="16" t="s">
        <v>26</v>
      </c>
      <c r="C92" s="12">
        <v>2</v>
      </c>
      <c r="D92" s="13">
        <v>200</v>
      </c>
      <c r="F92" s="9"/>
    </row>
    <row r="93" spans="2:6" ht="14.7" customHeight="1" thickBot="1" x14ac:dyDescent="0.55000000000000004">
      <c r="B93" s="8"/>
      <c r="F93" s="9"/>
    </row>
    <row r="94" spans="2:6" ht="14.7" customHeight="1" thickBot="1" x14ac:dyDescent="0.55000000000000004">
      <c r="B94" s="29" t="s">
        <v>51</v>
      </c>
      <c r="C94" s="30"/>
      <c r="D94" s="31"/>
      <c r="F94" s="9"/>
    </row>
    <row r="95" spans="2:6" ht="14.7" customHeight="1" thickBot="1" x14ac:dyDescent="0.55000000000000004">
      <c r="B95" s="17" t="s">
        <v>23</v>
      </c>
      <c r="C95" s="18" t="s">
        <v>24</v>
      </c>
      <c r="D95" s="19" t="s">
        <v>25</v>
      </c>
      <c r="F95" s="9"/>
    </row>
    <row r="96" spans="2:6" ht="14.7" customHeight="1" thickBot="1" x14ac:dyDescent="0.55000000000000004">
      <c r="B96" s="24" t="s">
        <v>18</v>
      </c>
      <c r="C96" s="12">
        <v>66</v>
      </c>
      <c r="D96" s="13">
        <v>1160.28</v>
      </c>
      <c r="F96" s="9"/>
    </row>
    <row r="97" spans="2:6" ht="14.7" customHeight="1" thickBot="1" x14ac:dyDescent="0.55000000000000004">
      <c r="B97" s="8"/>
      <c r="F97" s="9"/>
    </row>
    <row r="98" spans="2:6" ht="14.7" customHeight="1" thickBot="1" x14ac:dyDescent="0.55000000000000004">
      <c r="B98" s="29" t="s">
        <v>52</v>
      </c>
      <c r="C98" s="30"/>
      <c r="D98" s="31"/>
      <c r="F98" s="9"/>
    </row>
    <row r="99" spans="2:6" ht="14.7" customHeight="1" thickBot="1" x14ac:dyDescent="0.55000000000000004">
      <c r="B99" s="17" t="s">
        <v>53</v>
      </c>
      <c r="C99" s="18" t="s">
        <v>54</v>
      </c>
      <c r="D99" s="19" t="s">
        <v>55</v>
      </c>
      <c r="F99" s="9"/>
    </row>
    <row r="100" spans="2:6" x14ac:dyDescent="0.5">
      <c r="B100" s="23" t="s">
        <v>56</v>
      </c>
      <c r="C100">
        <v>193947.36842105229</v>
      </c>
      <c r="D100" s="9">
        <f>C100*25</f>
        <v>4848684.2105263071</v>
      </c>
      <c r="F100" s="9"/>
    </row>
    <row r="101" spans="2:6" x14ac:dyDescent="0.5">
      <c r="B101" s="3" t="s">
        <v>57</v>
      </c>
      <c r="C101">
        <v>428629.01109124703</v>
      </c>
      <c r="D101" s="9">
        <f>C101*25</f>
        <v>10715725.277281176</v>
      </c>
      <c r="F101" s="9"/>
    </row>
    <row r="102" spans="2:6" ht="14.7" customHeight="1" thickBot="1" x14ac:dyDescent="0.55000000000000004">
      <c r="B102" s="16" t="s">
        <v>26</v>
      </c>
      <c r="C102" s="12">
        <f>C100+C101</f>
        <v>622576.37951229932</v>
      </c>
      <c r="D102" s="13">
        <f>C102*25</f>
        <v>15564409.487807482</v>
      </c>
      <c r="F102" s="9"/>
    </row>
    <row r="103" spans="2:6" ht="14.7" customHeight="1" thickBot="1" x14ac:dyDescent="0.55000000000000004">
      <c r="B103" s="8"/>
      <c r="F103" s="9"/>
    </row>
    <row r="104" spans="2:6" ht="14.7" customHeight="1" thickBot="1" x14ac:dyDescent="0.55000000000000004">
      <c r="B104" s="29" t="s">
        <v>58</v>
      </c>
      <c r="C104" s="30"/>
      <c r="D104" s="31"/>
      <c r="F104" s="9"/>
    </row>
    <row r="105" spans="2:6" ht="14.7" customHeight="1" thickBot="1" x14ac:dyDescent="0.55000000000000004">
      <c r="B105" s="17" t="s">
        <v>53</v>
      </c>
      <c r="C105" s="18" t="s">
        <v>59</v>
      </c>
      <c r="D105" s="22" t="s">
        <v>60</v>
      </c>
      <c r="F105" s="9"/>
    </row>
    <row r="106" spans="2:6" x14ac:dyDescent="0.5">
      <c r="B106" s="23" t="s">
        <v>56</v>
      </c>
      <c r="C106">
        <f>2.6085*C100</f>
        <v>505911.71052631486</v>
      </c>
      <c r="D106" s="9">
        <f>C106*25</f>
        <v>12647792.763157871</v>
      </c>
      <c r="F106" s="9"/>
    </row>
    <row r="107" spans="2:6" x14ac:dyDescent="0.5">
      <c r="B107" s="3" t="s">
        <v>57</v>
      </c>
      <c r="C107">
        <f>2.6085*C101</f>
        <v>1118078.7754315177</v>
      </c>
      <c r="D107" s="9">
        <f>C107*25</f>
        <v>27951969.385787945</v>
      </c>
      <c r="F107" s="9"/>
    </row>
    <row r="108" spans="2:6" ht="14.7" customHeight="1" thickBot="1" x14ac:dyDescent="0.55000000000000004">
      <c r="B108" s="16" t="s">
        <v>26</v>
      </c>
      <c r="C108" s="12">
        <f>2.6085*C102</f>
        <v>1623990.4859578328</v>
      </c>
      <c r="D108" s="13">
        <f>C108*25</f>
        <v>40599762.148945816</v>
      </c>
      <c r="E108" s="12"/>
      <c r="F108" s="13"/>
    </row>
  </sheetData>
  <mergeCells count="30">
    <mergeCell ref="H36:J36"/>
    <mergeCell ref="B72:F72"/>
    <mergeCell ref="H63:I63"/>
    <mergeCell ref="B104:D104"/>
    <mergeCell ref="B73:F73"/>
    <mergeCell ref="B36:D36"/>
    <mergeCell ref="B94:D94"/>
    <mergeCell ref="B50:D50"/>
    <mergeCell ref="B68:C68"/>
    <mergeCell ref="B64:C64"/>
    <mergeCell ref="B60:C60"/>
    <mergeCell ref="B55:D55"/>
    <mergeCell ref="B47:C47"/>
    <mergeCell ref="B98:D98"/>
    <mergeCell ref="B5:L5"/>
    <mergeCell ref="B63:C63"/>
    <mergeCell ref="B43:D43"/>
    <mergeCell ref="H25:J25"/>
    <mergeCell ref="B86:D86"/>
    <mergeCell ref="H6:L6"/>
    <mergeCell ref="H64:I64"/>
    <mergeCell ref="H60:I60"/>
    <mergeCell ref="H47:I47"/>
    <mergeCell ref="B25:D25"/>
    <mergeCell ref="H43:J43"/>
    <mergeCell ref="B6:F6"/>
    <mergeCell ref="B33:C33"/>
    <mergeCell ref="H50:J50"/>
    <mergeCell ref="H55:J55"/>
    <mergeCell ref="H33:I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37</vt:i4>
      </vt:variant>
    </vt:vector>
  </HeadingPairs>
  <TitlesOfParts>
    <vt:vector size="37" baseType="lpstr">
      <vt:lpstr>Arctic Bay</vt:lpstr>
      <vt:lpstr>Aupaluk</vt:lpstr>
      <vt:lpstr>Beaver Creek</vt:lpstr>
      <vt:lpstr>Brochet</vt:lpstr>
      <vt:lpstr>Fort Chipewyan</vt:lpstr>
      <vt:lpstr>Fort Good Hope</vt:lpstr>
      <vt:lpstr>Fort McPherson</vt:lpstr>
      <vt:lpstr>Fort Simpson</vt:lpstr>
      <vt:lpstr>Francois</vt:lpstr>
      <vt:lpstr>Inukjuak</vt:lpstr>
      <vt:lpstr>Iqaluit</vt:lpstr>
      <vt:lpstr>Kangiqsualujjuaq</vt:lpstr>
      <vt:lpstr>Kangiqsujuaq</vt:lpstr>
      <vt:lpstr>Keewaywin</vt:lpstr>
      <vt:lpstr>Kingfisher Lake</vt:lpstr>
      <vt:lpstr>Kuujjuaq</vt:lpstr>
      <vt:lpstr>Kwadacha</vt:lpstr>
      <vt:lpstr>Makkovik</vt:lpstr>
      <vt:lpstr>Natuashish</vt:lpstr>
      <vt:lpstr>Naujaat</vt:lpstr>
      <vt:lpstr>Old Crow</vt:lpstr>
      <vt:lpstr>Old Masset</vt:lpstr>
      <vt:lpstr>Peawanuck</vt:lpstr>
      <vt:lpstr>Pond Inlet</vt:lpstr>
      <vt:lpstr>Port Clements</vt:lpstr>
      <vt:lpstr>Port Hope Simpson</vt:lpstr>
      <vt:lpstr>Ramea</vt:lpstr>
      <vt:lpstr>Rankin Inlet</vt:lpstr>
      <vt:lpstr>Resolute Bay</vt:lpstr>
      <vt:lpstr>Shamattawa</vt:lpstr>
      <vt:lpstr>Tadoule Lake</vt:lpstr>
      <vt:lpstr>Tsiigehtchic</vt:lpstr>
      <vt:lpstr>Umiujaq</vt:lpstr>
      <vt:lpstr>Watson Lake</vt:lpstr>
      <vt:lpstr>Weagamow Lake</vt:lpstr>
      <vt:lpstr>Whati</vt:lpstr>
      <vt:lpstr>Wrigley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MacKay</cp:lastModifiedBy>
  <dcterms:created xsi:type="dcterms:W3CDTF">2025-02-25T12:27:54Z</dcterms:created>
  <dcterms:modified xsi:type="dcterms:W3CDTF">2025-02-28T15:45:56Z</dcterms:modified>
</cp:coreProperties>
</file>